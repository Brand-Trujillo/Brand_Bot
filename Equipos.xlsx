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ntAdvisor\Desktop\ChatBot Nyce\"/>
    </mc:Choice>
  </mc:AlternateContent>
  <xr:revisionPtr revIDLastSave="0" documentId="13_ncr:1_{2E4BA07C-4E2F-4766-81AB-FA31A7E91F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ibración" sheetId="1" r:id="rId1"/>
    <sheet name="Dados de baja 1" sheetId="7" r:id="rId2"/>
    <sheet name="Dados de baja" sheetId="2" r:id="rId3"/>
    <sheet name="Otros" sheetId="3" r:id="rId4"/>
  </sheets>
  <externalReferences>
    <externalReference r:id="rId5"/>
  </externalReferences>
  <definedNames>
    <definedName name="_xlnm._FilterDatabase" localSheetId="0" hidden="1">Calibración!$A$6:$U$216</definedName>
    <definedName name="_xlnm._FilterDatabase" localSheetId="2" hidden="1">'Dados de baja'!$A$6:$V$11</definedName>
    <definedName name="_xlnm._FilterDatabase" localSheetId="1" hidden="1">'Dados de baja 1'!$A$6:$N$191</definedName>
    <definedName name="_xlnm._FilterDatabase" localSheetId="3" hidden="1">Otros!$A$6:$W$15</definedName>
    <definedName name="_xlnm.Print_Area" localSheetId="0">Calibración!$A$1:$U$222</definedName>
    <definedName name="_xlnm.Print_Area" localSheetId="1">'Dados de baja 1'!$A$1:$N$197</definedName>
    <definedName name="_xlnm.Print_Titles" localSheetId="0">Calibración!$1:$3</definedName>
    <definedName name="_xlnm.Print_Titles" localSheetId="2">'Dados de baja'!$1:$3</definedName>
    <definedName name="_xlnm.Print_Titles" localSheetId="1">'Dados de baja 1'!$1:$3</definedName>
    <definedName name="_xlnm.Print_Titles" localSheetId="3">Otros!$1:$3</definedName>
  </definedNames>
  <calcPr calcId="191028" iterate="1" iterateCount="5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7" l="1"/>
  <c r="Q200" i="1" l="1"/>
  <c r="R200" i="1" s="1"/>
  <c r="S200" i="1" s="1"/>
  <c r="Q7" i="1"/>
  <c r="Q91" i="1"/>
  <c r="R91" i="1" s="1"/>
  <c r="Q90" i="1"/>
  <c r="R90" i="1" s="1"/>
  <c r="Q88" i="1"/>
  <c r="R88" i="1" s="1"/>
  <c r="Q87" i="1"/>
  <c r="R87" i="1" s="1"/>
  <c r="Q9" i="1" l="1"/>
  <c r="Q194" i="1"/>
  <c r="R194" i="1" s="1"/>
  <c r="S194" i="1" s="1"/>
  <c r="Q193" i="1"/>
  <c r="R193" i="1" s="1"/>
  <c r="S193" i="1" s="1"/>
  <c r="Q89" i="1" l="1"/>
  <c r="S89" i="1" s="1"/>
  <c r="Q159" i="1"/>
  <c r="Q160" i="1"/>
  <c r="Q161" i="1"/>
  <c r="Q162" i="1"/>
  <c r="Q163" i="1"/>
  <c r="Q164" i="1"/>
  <c r="R164" i="1" l="1"/>
  <c r="S164" i="1" s="1"/>
  <c r="R163" i="1"/>
  <c r="S163" i="1" s="1"/>
  <c r="R162" i="1"/>
  <c r="S162" i="1" s="1"/>
  <c r="R161" i="1"/>
  <c r="S161" i="1" s="1"/>
  <c r="R160" i="1"/>
  <c r="S160" i="1" s="1"/>
  <c r="R159" i="1"/>
  <c r="S159" i="1" s="1"/>
  <c r="R89" i="1"/>
  <c r="Q185" i="1"/>
  <c r="Q26" i="1"/>
  <c r="Q33" i="1"/>
  <c r="Q184" i="1"/>
  <c r="Q183" i="1"/>
  <c r="Q133" i="1"/>
  <c r="Q19" i="1"/>
  <c r="Q31" i="1"/>
  <c r="Q21" i="1"/>
  <c r="Q22" i="1"/>
  <c r="Q32" i="1"/>
  <c r="R133" i="1" l="1"/>
  <c r="S133" i="1" s="1"/>
  <c r="R183" i="1"/>
  <c r="S183" i="1" s="1"/>
  <c r="R185" i="1"/>
  <c r="S185" i="1" s="1"/>
  <c r="R21" i="1"/>
  <c r="S21" i="1" s="1"/>
  <c r="R32" i="1"/>
  <c r="S32" i="1" s="1"/>
  <c r="R31" i="1"/>
  <c r="S31" i="1" s="1"/>
  <c r="R33" i="1"/>
  <c r="S33" i="1" s="1"/>
  <c r="R22" i="1"/>
  <c r="S22" i="1" s="1"/>
  <c r="R26" i="1"/>
  <c r="S26" i="1" s="1"/>
  <c r="R19" i="1"/>
  <c r="S19" i="1" s="1"/>
  <c r="R184" i="1"/>
  <c r="S184" i="1" s="1"/>
  <c r="R12" i="3" l="1"/>
  <c r="S12" i="3" s="1"/>
  <c r="T12" i="3" s="1"/>
  <c r="R15" i="3"/>
  <c r="S15" i="3" s="1"/>
  <c r="T15" i="3" s="1"/>
  <c r="R14" i="3" l="1"/>
  <c r="S14" i="3" s="1"/>
  <c r="T14" i="3" s="1"/>
  <c r="R13" i="3"/>
  <c r="S13" i="3" s="1"/>
  <c r="T13" i="3" s="1"/>
  <c r="R11" i="3"/>
  <c r="S11" i="3" s="1"/>
  <c r="T11" i="3" s="1"/>
  <c r="R10" i="3"/>
  <c r="S10" i="3" s="1"/>
  <c r="T10" i="3" s="1"/>
  <c r="R9" i="3"/>
  <c r="S9" i="3" s="1"/>
  <c r="T9" i="3" s="1"/>
  <c r="R8" i="3"/>
  <c r="S8" i="3" s="1"/>
  <c r="T8" i="3" s="1"/>
  <c r="R7" i="3"/>
  <c r="S7" i="3" s="1"/>
  <c r="T7" i="3" s="1"/>
  <c r="C4" i="3"/>
  <c r="R9" i="2"/>
  <c r="S9" i="2" s="1"/>
  <c r="T9" i="2" s="1"/>
  <c r="R8" i="2"/>
  <c r="S8" i="2" s="1"/>
  <c r="T8" i="2" s="1"/>
  <c r="C4" i="2"/>
  <c r="Q199" i="1"/>
  <c r="Q198" i="1"/>
  <c r="Q197" i="1"/>
  <c r="Q196" i="1"/>
  <c r="Q195" i="1"/>
  <c r="Q192" i="1"/>
  <c r="Q191" i="1"/>
  <c r="Q190" i="1"/>
  <c r="Q189" i="1"/>
  <c r="Q188" i="1"/>
  <c r="Q187" i="1"/>
  <c r="Q186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N168" i="1"/>
  <c r="Q167" i="1"/>
  <c r="N167" i="1"/>
  <c r="Q166" i="1"/>
  <c r="N166" i="1"/>
  <c r="Q165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L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18" i="1"/>
  <c r="Q101" i="1"/>
  <c r="Q100" i="1"/>
  <c r="Q99" i="1"/>
  <c r="Q98" i="1"/>
  <c r="Q97" i="1"/>
  <c r="Q96" i="1"/>
  <c r="Q95" i="1"/>
  <c r="Q94" i="1"/>
  <c r="Q93" i="1"/>
  <c r="Q92" i="1"/>
  <c r="Q86" i="1"/>
  <c r="Q85" i="1"/>
  <c r="Q84" i="1"/>
  <c r="Q83" i="1"/>
  <c r="Q77" i="1"/>
  <c r="Q76" i="1"/>
  <c r="Q75" i="1"/>
  <c r="Q74" i="1"/>
  <c r="Q73" i="1"/>
  <c r="Q70" i="1"/>
  <c r="Q69" i="1"/>
  <c r="Q68" i="1"/>
  <c r="Q65" i="1"/>
  <c r="Q64" i="1"/>
  <c r="Q63" i="1"/>
  <c r="Q62" i="1"/>
  <c r="Q61" i="1"/>
  <c r="Q54" i="1"/>
  <c r="Q53" i="1"/>
  <c r="Q52" i="1"/>
  <c r="Q51" i="1"/>
  <c r="Q50" i="1"/>
  <c r="Q45" i="1"/>
  <c r="Q44" i="1"/>
  <c r="Q43" i="1"/>
  <c r="Q41" i="1"/>
  <c r="Q40" i="1"/>
  <c r="Q39" i="1"/>
  <c r="Q38" i="1"/>
  <c r="Q37" i="1"/>
  <c r="Q36" i="1"/>
  <c r="Q34" i="1"/>
  <c r="Q30" i="1"/>
  <c r="Q29" i="1"/>
  <c r="Q28" i="1"/>
  <c r="Q27" i="1"/>
  <c r="Q25" i="1"/>
  <c r="Q24" i="1"/>
  <c r="Q16" i="1"/>
  <c r="Q15" i="1"/>
  <c r="Q14" i="1"/>
  <c r="Q13" i="1"/>
  <c r="Q12" i="1"/>
  <c r="Q11" i="1"/>
  <c r="Q10" i="1"/>
  <c r="Q8" i="1"/>
  <c r="C4" i="1"/>
  <c r="R37" i="1" l="1"/>
  <c r="S37" i="1" s="1"/>
  <c r="R43" i="1"/>
  <c r="S43" i="1" s="1"/>
  <c r="R28" i="1"/>
  <c r="S28" i="1" s="1"/>
  <c r="R70" i="1"/>
  <c r="S70" i="1" s="1"/>
  <c r="R51" i="1"/>
  <c r="S51" i="1" s="1"/>
  <c r="R73" i="1"/>
  <c r="S73" i="1" s="1"/>
  <c r="R65" i="1"/>
  <c r="S65" i="1"/>
  <c r="R34" i="1"/>
  <c r="S34" i="1" s="1"/>
  <c r="R68" i="1"/>
  <c r="S68" i="1" s="1"/>
  <c r="R74" i="1"/>
  <c r="S74" i="1" s="1"/>
  <c r="R36" i="1"/>
  <c r="S36" i="1" s="1"/>
  <c r="R53" i="1"/>
  <c r="S53" i="1" s="1"/>
  <c r="R75" i="1"/>
  <c r="S75" i="1" s="1"/>
  <c r="R54" i="1"/>
  <c r="S54" i="1" s="1"/>
  <c r="R76" i="1"/>
  <c r="S76" i="1" s="1"/>
  <c r="R69" i="1"/>
  <c r="S69" i="1" s="1"/>
  <c r="R16" i="1"/>
  <c r="S16" i="1" s="1"/>
  <c r="R44" i="1"/>
  <c r="S44" i="1" s="1"/>
  <c r="R45" i="1"/>
  <c r="S45" i="1" s="1"/>
  <c r="R77" i="1"/>
  <c r="S77" i="1" s="1"/>
  <c r="R24" i="1"/>
  <c r="S24" i="1" s="1"/>
  <c r="R83" i="1"/>
  <c r="R86" i="1"/>
  <c r="S86" i="1" s="1"/>
  <c r="R30" i="1"/>
  <c r="S30" i="1" s="1"/>
  <c r="R52" i="1"/>
  <c r="S52" i="1" s="1"/>
  <c r="R61" i="1"/>
  <c r="S61" i="1" s="1"/>
  <c r="R62" i="1"/>
  <c r="S62" i="1" s="1"/>
  <c r="R25" i="1"/>
  <c r="S25" i="1" s="1"/>
  <c r="R40" i="1"/>
  <c r="S40" i="1" s="1"/>
  <c r="R63" i="1"/>
  <c r="S63" i="1" s="1"/>
  <c r="R84" i="1"/>
  <c r="R29" i="1"/>
  <c r="S29" i="1" s="1"/>
  <c r="R50" i="1"/>
  <c r="S50" i="1" s="1"/>
  <c r="R38" i="1"/>
  <c r="S38" i="1" s="1"/>
  <c r="R39" i="1"/>
  <c r="S39" i="1" s="1"/>
  <c r="R27" i="1"/>
  <c r="S27" i="1" s="1"/>
  <c r="R41" i="1"/>
  <c r="S41" i="1" s="1"/>
  <c r="R64" i="1"/>
  <c r="S64" i="1" s="1"/>
  <c r="R85" i="1"/>
  <c r="S85" i="1" s="1"/>
  <c r="R15" i="1"/>
  <c r="S15" i="1" s="1"/>
  <c r="R14" i="1"/>
  <c r="S14" i="1" s="1"/>
  <c r="R13" i="1"/>
  <c r="S13" i="1" s="1"/>
  <c r="R11" i="1"/>
  <c r="S11" i="1" s="1"/>
  <c r="R10" i="1"/>
  <c r="S10" i="1" s="1"/>
  <c r="R9" i="1"/>
  <c r="S9" i="1" s="1"/>
  <c r="R8" i="1"/>
  <c r="S8" i="1" s="1"/>
  <c r="R7" i="1"/>
  <c r="S7" i="1" s="1"/>
  <c r="R92" i="1"/>
  <c r="S92" i="1" s="1"/>
  <c r="R107" i="1"/>
  <c r="S107" i="1" s="1"/>
  <c r="R120" i="1"/>
  <c r="S120" i="1" s="1"/>
  <c r="R132" i="1"/>
  <c r="S132" i="1" s="1"/>
  <c r="R144" i="1"/>
  <c r="S144" i="1" s="1"/>
  <c r="R155" i="1"/>
  <c r="S155" i="1" s="1"/>
  <c r="R170" i="1"/>
  <c r="S170" i="1" s="1"/>
  <c r="R182" i="1"/>
  <c r="S182" i="1" s="1"/>
  <c r="R196" i="1"/>
  <c r="S196" i="1" s="1"/>
  <c r="R93" i="1"/>
  <c r="S93" i="1" s="1"/>
  <c r="R97" i="1"/>
  <c r="S97" i="1" s="1"/>
  <c r="R101" i="1"/>
  <c r="S101" i="1" s="1"/>
  <c r="R104" i="1"/>
  <c r="S104" i="1" s="1"/>
  <c r="R108" i="1"/>
  <c r="S108" i="1" s="1"/>
  <c r="R112" i="1"/>
  <c r="S112" i="1" s="1"/>
  <c r="R116" i="1"/>
  <c r="S116" i="1" s="1"/>
  <c r="R121" i="1"/>
  <c r="S121" i="1" s="1"/>
  <c r="R125" i="1"/>
  <c r="S125" i="1" s="1"/>
  <c r="R129" i="1"/>
  <c r="S129" i="1" s="1"/>
  <c r="R137" i="1"/>
  <c r="S137" i="1" s="1"/>
  <c r="R141" i="1"/>
  <c r="S141" i="1" s="1"/>
  <c r="R145" i="1"/>
  <c r="S145" i="1" s="1"/>
  <c r="R148" i="1"/>
  <c r="S148" i="1" s="1"/>
  <c r="R152" i="1"/>
  <c r="S152" i="1" s="1"/>
  <c r="R156" i="1"/>
  <c r="S156" i="1" s="1"/>
  <c r="R171" i="1"/>
  <c r="S171" i="1" s="1"/>
  <c r="R175" i="1"/>
  <c r="S175" i="1" s="1"/>
  <c r="R179" i="1"/>
  <c r="S179" i="1" s="1"/>
  <c r="R186" i="1"/>
  <c r="S186" i="1" s="1"/>
  <c r="R189" i="1"/>
  <c r="R197" i="1"/>
  <c r="R12" i="1"/>
  <c r="S12" i="1" s="1"/>
  <c r="R96" i="1"/>
  <c r="S96" i="1" s="1"/>
  <c r="R103" i="1"/>
  <c r="S103" i="1" s="1"/>
  <c r="R115" i="1"/>
  <c r="S115" i="1" s="1"/>
  <c r="R124" i="1"/>
  <c r="S124" i="1" s="1"/>
  <c r="R136" i="1"/>
  <c r="S136" i="1" s="1"/>
  <c r="R147" i="1"/>
  <c r="S147" i="1" s="1"/>
  <c r="R165" i="1"/>
  <c r="S165" i="1" s="1"/>
  <c r="R174" i="1"/>
  <c r="S174" i="1" s="1"/>
  <c r="R94" i="1"/>
  <c r="S94" i="1" s="1"/>
  <c r="R98" i="1"/>
  <c r="S98" i="1" s="1"/>
  <c r="R118" i="1"/>
  <c r="S118" i="1" s="1"/>
  <c r="R105" i="1"/>
  <c r="S105" i="1" s="1"/>
  <c r="R109" i="1"/>
  <c r="S109" i="1" s="1"/>
  <c r="R113" i="1"/>
  <c r="S113" i="1" s="1"/>
  <c r="R117" i="1"/>
  <c r="S117" i="1" s="1"/>
  <c r="R122" i="1"/>
  <c r="S122" i="1" s="1"/>
  <c r="R126" i="1"/>
  <c r="S126" i="1" s="1"/>
  <c r="R130" i="1"/>
  <c r="S130" i="1" s="1"/>
  <c r="R134" i="1"/>
  <c r="S134" i="1" s="1"/>
  <c r="R138" i="1"/>
  <c r="S138" i="1" s="1"/>
  <c r="R142" i="1"/>
  <c r="S142" i="1" s="1"/>
  <c r="R146" i="1"/>
  <c r="S146" i="1" s="1"/>
  <c r="R149" i="1"/>
  <c r="S149" i="1" s="1"/>
  <c r="R153" i="1"/>
  <c r="S153" i="1" s="1"/>
  <c r="R157" i="1"/>
  <c r="S157" i="1" s="1"/>
  <c r="R166" i="1"/>
  <c r="S166" i="1" s="1"/>
  <c r="R168" i="1"/>
  <c r="S168" i="1" s="1"/>
  <c r="R172" i="1"/>
  <c r="S172" i="1" s="1"/>
  <c r="R176" i="1"/>
  <c r="S176" i="1" s="1"/>
  <c r="R180" i="1"/>
  <c r="S180" i="1" s="1"/>
  <c r="R187" i="1"/>
  <c r="S187" i="1" s="1"/>
  <c r="R190" i="1"/>
  <c r="S190" i="1" s="1"/>
  <c r="R198" i="1"/>
  <c r="S198" i="1" s="1"/>
  <c r="R100" i="1"/>
  <c r="S100" i="1" s="1"/>
  <c r="R111" i="1"/>
  <c r="R128" i="1"/>
  <c r="S128" i="1" s="1"/>
  <c r="R140" i="1"/>
  <c r="S140" i="1" s="1"/>
  <c r="R151" i="1"/>
  <c r="S151" i="1" s="1"/>
  <c r="R167" i="1"/>
  <c r="S167" i="1" s="1"/>
  <c r="R178" i="1"/>
  <c r="S178" i="1" s="1"/>
  <c r="R192" i="1"/>
  <c r="S192" i="1" s="1"/>
  <c r="R95" i="1"/>
  <c r="S95" i="1" s="1"/>
  <c r="R99" i="1"/>
  <c r="S99" i="1" s="1"/>
  <c r="R102" i="1"/>
  <c r="S102" i="1" s="1"/>
  <c r="R106" i="1"/>
  <c r="S106" i="1" s="1"/>
  <c r="R110" i="1"/>
  <c r="S110" i="1" s="1"/>
  <c r="R114" i="1"/>
  <c r="R119" i="1"/>
  <c r="S119" i="1" s="1"/>
  <c r="R123" i="1"/>
  <c r="S123" i="1" s="1"/>
  <c r="R127" i="1"/>
  <c r="S127" i="1" s="1"/>
  <c r="R131" i="1"/>
  <c r="S131" i="1" s="1"/>
  <c r="R135" i="1"/>
  <c r="S135" i="1" s="1"/>
  <c r="R139" i="1"/>
  <c r="S139" i="1" s="1"/>
  <c r="R143" i="1"/>
  <c r="S143" i="1" s="1"/>
  <c r="R150" i="1"/>
  <c r="S150" i="1" s="1"/>
  <c r="R154" i="1"/>
  <c r="S154" i="1" s="1"/>
  <c r="R158" i="1"/>
  <c r="S158" i="1" s="1"/>
  <c r="R169" i="1"/>
  <c r="S169" i="1" s="1"/>
  <c r="R173" i="1"/>
  <c r="S173" i="1" s="1"/>
  <c r="R177" i="1"/>
  <c r="S177" i="1" s="1"/>
  <c r="R181" i="1"/>
  <c r="S181" i="1" s="1"/>
  <c r="R188" i="1"/>
  <c r="R191" i="1"/>
  <c r="S191" i="1" s="1"/>
  <c r="R195" i="1"/>
  <c r="S195" i="1" s="1"/>
  <c r="R199" i="1"/>
  <c r="S19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6" authorId="0" shapeId="0" xr:uid="{00000000-0006-0000-0000-000001000000}">
      <text>
        <r>
          <rPr>
            <sz val="9"/>
            <color indexed="81"/>
            <rFont val="Tahoma"/>
            <family val="2"/>
          </rPr>
          <t>De acuerdo a los métodos de ensayos del alcance de la acreditación</t>
        </r>
      </text>
    </comment>
    <comment ref="M6" authorId="0" shapeId="0" xr:uid="{00000000-0006-0000-0000-000002000000}">
      <text>
        <r>
          <rPr>
            <sz val="9"/>
            <color indexed="81"/>
            <rFont val="Tahoma"/>
            <family val="2"/>
          </rPr>
          <t>Valor en meses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6" authorId="0" shapeId="0" xr:uid="{00000000-0006-0000-0100-000001000000}">
      <text>
        <r>
          <rPr>
            <sz val="9"/>
            <color indexed="81"/>
            <rFont val="Tahoma"/>
            <family val="2"/>
          </rPr>
          <t>De acuerdo a los métodos de ensayos del alcance de la acreditación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6" authorId="0" shapeId="0" xr:uid="{00000000-0006-0000-0200-000001000000}">
      <text>
        <r>
          <rPr>
            <sz val="9"/>
            <color indexed="81"/>
            <rFont val="Tahoma"/>
            <family val="2"/>
          </rPr>
          <t>De acuerdo a los métodos de ensayos del alcance de la acreditación</t>
        </r>
      </text>
    </comment>
    <comment ref="M6" authorId="0" shapeId="0" xr:uid="{00000000-0006-0000-0200-000002000000}">
      <text>
        <r>
          <rPr>
            <sz val="9"/>
            <color indexed="81"/>
            <rFont val="Tahoma"/>
            <family val="2"/>
          </rPr>
          <t>Valor en meses</t>
        </r>
      </text>
    </comment>
    <comment ref="O6" authorId="0" shapeId="0" xr:uid="{00000000-0006-0000-0200-000003000000}">
      <text>
        <r>
          <rPr>
            <sz val="9"/>
            <color indexed="81"/>
            <rFont val="Tahoma"/>
            <family val="2"/>
          </rPr>
          <t>Costos de envio, transporte, embalaje etc.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6" authorId="0" shapeId="0" xr:uid="{00000000-0006-0000-0300-000001000000}">
      <text>
        <r>
          <rPr>
            <sz val="9"/>
            <color indexed="81"/>
            <rFont val="Tahoma"/>
            <family val="2"/>
          </rPr>
          <t>De acuerdo a los métodos de ensayos del alcance de la acreditación</t>
        </r>
      </text>
    </comment>
    <comment ref="M6" authorId="0" shapeId="0" xr:uid="{00000000-0006-0000-0300-000002000000}">
      <text>
        <r>
          <rPr>
            <sz val="9"/>
            <color indexed="81"/>
            <rFont val="Tahoma"/>
            <family val="2"/>
          </rPr>
          <t>Valor en meses</t>
        </r>
      </text>
    </comment>
    <comment ref="O6" authorId="0" shapeId="0" xr:uid="{00000000-0006-0000-0300-000003000000}">
      <text>
        <r>
          <rPr>
            <sz val="9"/>
            <color indexed="81"/>
            <rFont val="Tahoma"/>
            <family val="2"/>
          </rPr>
          <t>Costos de envio, transporte, embalaje etc.</t>
        </r>
      </text>
    </comment>
  </commentList>
</comments>
</file>

<file path=xl/sharedStrings.xml><?xml version="1.0" encoding="utf-8"?>
<sst xmlns="http://schemas.openxmlformats.org/spreadsheetml/2006/main" count="3885" uniqueCount="866">
  <si>
    <t>PROGRAMA DE CALIBRACIONES, COMPROBACIONES Y MANTENIMIENTO</t>
  </si>
  <si>
    <t>PROGRAMA DE CALIBRACIÓN</t>
  </si>
  <si>
    <t>F2T09-03</t>
  </si>
  <si>
    <t>EQUIPO</t>
  </si>
  <si>
    <t>IDENTIFICACIÓN INTERNA</t>
  </si>
  <si>
    <t>SERIE</t>
  </si>
  <si>
    <t>MARCA</t>
  </si>
  <si>
    <t>MODELO</t>
  </si>
  <si>
    <t>MAGNITUD</t>
  </si>
  <si>
    <t>UNIDADES</t>
  </si>
  <si>
    <t>DIVISIÓN DE ESCALA</t>
  </si>
  <si>
    <t>RANGO</t>
  </si>
  <si>
    <t>EXACTITUD</t>
  </si>
  <si>
    <t>CALIBRACIÓN ACREDITADA</t>
  </si>
  <si>
    <t>PUNTOS A CALIBRAR</t>
  </si>
  <si>
    <t>PERIODO</t>
  </si>
  <si>
    <t>COSTO DE ULTIMA CALIBRACION</t>
  </si>
  <si>
    <t>ULTIMA CALIBRACIÓN</t>
  </si>
  <si>
    <t>CALIBRADO POR</t>
  </si>
  <si>
    <t>PROXIMA CALIBRACIÓN</t>
  </si>
  <si>
    <t>TIEMPO DE ALARMA</t>
  </si>
  <si>
    <t>ESTADO DE CALIBRACIÓN</t>
  </si>
  <si>
    <t>ESTADO ACTUAL DEL EQUIPO</t>
  </si>
  <si>
    <t>OBSERVACIONES</t>
  </si>
  <si>
    <t>Micrómetro</t>
  </si>
  <si>
    <t>LENC-EP-001</t>
  </si>
  <si>
    <t>Mitutoyo</t>
  </si>
  <si>
    <t>293-240-30</t>
  </si>
  <si>
    <t>Longitud</t>
  </si>
  <si>
    <t xml:space="preserve">mm </t>
  </si>
  <si>
    <t>0 - 25 mm</t>
  </si>
  <si>
    <t>SI</t>
  </si>
  <si>
    <t>Full Scale</t>
  </si>
  <si>
    <t>Equipos y Controles ECI</t>
  </si>
  <si>
    <t>USO</t>
  </si>
  <si>
    <t>Regla graduada</t>
  </si>
  <si>
    <t>LENC-EP-002</t>
  </si>
  <si>
    <t>182-302</t>
  </si>
  <si>
    <t>0 - 150 mm</t>
  </si>
  <si>
    <t>Pinzuar</t>
  </si>
  <si>
    <t>LENC-EP-003</t>
  </si>
  <si>
    <t>182-305</t>
  </si>
  <si>
    <t>0 - 300 mm</t>
  </si>
  <si>
    <t>LENC-EP-004</t>
  </si>
  <si>
    <t>182-307</t>
  </si>
  <si>
    <t>0 - 500 mm</t>
  </si>
  <si>
    <t>LENC-EP-005</t>
  </si>
  <si>
    <t>182-309</t>
  </si>
  <si>
    <t>0 - 1000 mm</t>
  </si>
  <si>
    <t xml:space="preserve">Pie de rey </t>
  </si>
  <si>
    <t>LENC-EP-008</t>
  </si>
  <si>
    <t xml:space="preserve">A25192860 </t>
  </si>
  <si>
    <t xml:space="preserve">500-197-30 (CD-8 "ASX) </t>
  </si>
  <si>
    <t>mm</t>
  </si>
  <si>
    <t>0 a 200mm</t>
  </si>
  <si>
    <t>Equipos y Controles</t>
  </si>
  <si>
    <t>Equipo nuevo-pendiente por llegar</t>
  </si>
  <si>
    <t>Rigidez dielectrica</t>
  </si>
  <si>
    <t>LENC-EP-009</t>
  </si>
  <si>
    <t>Kikusui</t>
  </si>
  <si>
    <t>TOS 5051</t>
  </si>
  <si>
    <t>Tensión</t>
  </si>
  <si>
    <t>kV</t>
  </si>
  <si>
    <t>Tensión continua 500 V a 5000 V
Tensión alterna 500 V a 5000 V</t>
  </si>
  <si>
    <t>500 VAC a 5000 VAC
500 VDC a 5000 VDC</t>
  </si>
  <si>
    <t>Colmetrik</t>
  </si>
  <si>
    <t>Tiempo</t>
  </si>
  <si>
    <t>s</t>
  </si>
  <si>
    <t xml:space="preserve"> 5 s; 30 s ; 60 s</t>
  </si>
  <si>
    <t>5 s
30 s
60 s</t>
  </si>
  <si>
    <t>Corriente de Fuga</t>
  </si>
  <si>
    <t>mA</t>
  </si>
  <si>
    <t>Corriente continua 0,1 mA a 10 mA
Corriente alterna 0,1 mA a 110 mA</t>
  </si>
  <si>
    <t>(0,1 - 0,5 - 0,9 - 1 - 5 - 9 - 10 - 50 - 100) mA</t>
  </si>
  <si>
    <t>Colmetrik
SAE</t>
  </si>
  <si>
    <t>Medidor de temperatura de 20 canales</t>
  </si>
  <si>
    <t>LENC-EP-010</t>
  </si>
  <si>
    <t>S5D200842</t>
  </si>
  <si>
    <t>Yokogawa</t>
  </si>
  <si>
    <t>DX220-1-2</t>
  </si>
  <si>
    <t>Temperatura</t>
  </si>
  <si>
    <t>°C</t>
  </si>
  <si>
    <t>10°C, 25°C; 50°C; 100°C</t>
  </si>
  <si>
    <t>0,4% rdg + 1°C</t>
  </si>
  <si>
    <t>25°C, 70°C, 130°C</t>
  </si>
  <si>
    <t>ATE medical group</t>
  </si>
  <si>
    <t>LENC-EP-011</t>
  </si>
  <si>
    <t>LENC-EP-012</t>
  </si>
  <si>
    <t xml:space="preserve">Hilo incandescente </t>
  </si>
  <si>
    <t>LENC-EP-013</t>
  </si>
  <si>
    <t>1ITU718693</t>
  </si>
  <si>
    <t>UT35A</t>
  </si>
  <si>
    <t>635°C; 850°C; 975°C</t>
  </si>
  <si>
    <t>0,1% rdg + 1°C</t>
  </si>
  <si>
    <t>635°C, 850°C, 975°C</t>
  </si>
  <si>
    <t>Unión Metrologíca</t>
  </si>
  <si>
    <t>LENC-EP-014</t>
  </si>
  <si>
    <t>Camara de temperatura y humedad</t>
  </si>
  <si>
    <t>LENC-EP-015</t>
  </si>
  <si>
    <t>sin especificar</t>
  </si>
  <si>
    <t>C.A Korea</t>
  </si>
  <si>
    <t>TEM12500</t>
  </si>
  <si>
    <t>-50°C a 150°C</t>
  </si>
  <si>
    <t>-25, -5, 25, 70 y 127 °C</t>
  </si>
  <si>
    <t>N/A</t>
  </si>
  <si>
    <t>Ya no se calibrara el equipo, ya que deja de ser equipo principal</t>
  </si>
  <si>
    <t>Humedad Relativa</t>
  </si>
  <si>
    <t>%HR</t>
  </si>
  <si>
    <t>0%HR a 100%HR</t>
  </si>
  <si>
    <t>45, 55, 90 y 95 %</t>
  </si>
  <si>
    <t>Banco de Impacto</t>
  </si>
  <si>
    <t>LENC-EA-016</t>
  </si>
  <si>
    <t>Cronometro</t>
  </si>
  <si>
    <t>LENC-EP-017</t>
  </si>
  <si>
    <t>4FV70</t>
  </si>
  <si>
    <t>Extech Instrimens</t>
  </si>
  <si>
    <t>HW30</t>
  </si>
  <si>
    <t xml:space="preserve">0 a 09:59:50 </t>
  </si>
  <si>
    <t>Luxometro</t>
  </si>
  <si>
    <t>LENC-EP-018</t>
  </si>
  <si>
    <t>Konica Minolta</t>
  </si>
  <si>
    <t>T10</t>
  </si>
  <si>
    <t>Luxometria</t>
  </si>
  <si>
    <t>LX</t>
  </si>
  <si>
    <t>0 a 2999000</t>
  </si>
  <si>
    <t>Higielectronix</t>
  </si>
  <si>
    <t>LENC-EP-019</t>
  </si>
  <si>
    <t>500-193-30 (CD-12"ASX</t>
  </si>
  <si>
    <t>0 a 300mm</t>
  </si>
  <si>
    <t>Torcometro</t>
  </si>
  <si>
    <t>LENC-EP-020</t>
  </si>
  <si>
    <t>6ES100549</t>
  </si>
  <si>
    <t>Mountz</t>
  </si>
  <si>
    <t>800-456-1828</t>
  </si>
  <si>
    <t>Par Torsional</t>
  </si>
  <si>
    <t>Nm</t>
  </si>
  <si>
    <t>0.4 a 6 Nm</t>
  </si>
  <si>
    <t>Dishegro</t>
  </si>
  <si>
    <t>LENC-EP-021</t>
  </si>
  <si>
    <t>419306J</t>
  </si>
  <si>
    <t>Tohnichi</t>
  </si>
  <si>
    <t>RTS120CN</t>
  </si>
  <si>
    <t>cNm</t>
  </si>
  <si>
    <t>20 - 120 cNm</t>
  </si>
  <si>
    <t>20 % ; 60 % ; 100 %</t>
  </si>
  <si>
    <t>Medidor de pH</t>
  </si>
  <si>
    <t>LENC-EP-022</t>
  </si>
  <si>
    <t>H01300495</t>
  </si>
  <si>
    <t>Hanna</t>
  </si>
  <si>
    <t>HI 98100</t>
  </si>
  <si>
    <t>Potencial de Hidrogeno</t>
  </si>
  <si>
    <t>ph</t>
  </si>
  <si>
    <t>2 ph a 14 ph</t>
  </si>
  <si>
    <t>2 pH a 12 pH</t>
  </si>
  <si>
    <t>CM &amp; CIA</t>
  </si>
  <si>
    <t>CALIBRACION</t>
  </si>
  <si>
    <t>Dinamometro</t>
  </si>
  <si>
    <t>LENC-EP-023</t>
  </si>
  <si>
    <t>14-0009-02</t>
  </si>
  <si>
    <t>Mecmesin</t>
  </si>
  <si>
    <t>BFG 200N</t>
  </si>
  <si>
    <t>Fuerza</t>
  </si>
  <si>
    <t>N</t>
  </si>
  <si>
    <t>0 a 200N</t>
  </si>
  <si>
    <t>0,5N a 200N</t>
  </si>
  <si>
    <t>SERVINTEGRAL LTDA</t>
  </si>
  <si>
    <t>Medidor de temperatura y humedad Dataloger</t>
  </si>
  <si>
    <t>LENC-EP-024</t>
  </si>
  <si>
    <t>RHT20</t>
  </si>
  <si>
    <t>-15 to +158 °C</t>
  </si>
  <si>
    <t>5 °C, 15 °C, 20 °C, 35 °C, 50 °C, 70 °C</t>
  </si>
  <si>
    <t>CONAMET</t>
  </si>
  <si>
    <t>% HR</t>
  </si>
  <si>
    <t>0 a 100%</t>
  </si>
  <si>
    <t>40%,45%, 55%, 65%,80%,95%</t>
  </si>
  <si>
    <t>Balanza Electronica</t>
  </si>
  <si>
    <t>LENC-EP-025</t>
  </si>
  <si>
    <t>Vibra</t>
  </si>
  <si>
    <t>AB3202</t>
  </si>
  <si>
    <t>Masa</t>
  </si>
  <si>
    <t>g</t>
  </si>
  <si>
    <t>0,001 a 3200 g</t>
  </si>
  <si>
    <t>Flexometro</t>
  </si>
  <si>
    <t>LENC-EP-026</t>
  </si>
  <si>
    <t>Tajima</t>
  </si>
  <si>
    <t>HILOCK-19</t>
  </si>
  <si>
    <t>0.01m a 5m</t>
  </si>
  <si>
    <t>En espera de que el equipo sea eviado a ATE MEDICAL</t>
  </si>
  <si>
    <t>LENC-EP-027</t>
  </si>
  <si>
    <t>Multimetro</t>
  </si>
  <si>
    <t>LENC-EP-028</t>
  </si>
  <si>
    <t>3146A37000</t>
  </si>
  <si>
    <t>Hewlett Packard</t>
  </si>
  <si>
    <t xml:space="preserve">HP34401 </t>
  </si>
  <si>
    <t>V</t>
  </si>
  <si>
    <t xml:space="preserve">100mV a 750V AC, 1A a 3A AC, 100mV a 1000V DC, 10mA a 3A DC                                         </t>
  </si>
  <si>
    <t>1,00% + 0,03%</t>
  </si>
  <si>
    <t xml:space="preserve">100mV a 750V AC
100mV a 1000V DC                  </t>
  </si>
  <si>
    <t>MANTENIMIENTO Y CALIBRACION</t>
  </si>
  <si>
    <t>Corriente</t>
  </si>
  <si>
    <t>A</t>
  </si>
  <si>
    <t>1,00% + 0,04%</t>
  </si>
  <si>
    <t xml:space="preserve">0,0002 mA a 3A                        </t>
  </si>
  <si>
    <t>Resistencia</t>
  </si>
  <si>
    <t>Ω</t>
  </si>
  <si>
    <t>0,0030% + 0,0030</t>
  </si>
  <si>
    <t>Frecuencia</t>
  </si>
  <si>
    <t>Hz</t>
  </si>
  <si>
    <t>Medidor de resistencia de aislamiento</t>
  </si>
  <si>
    <t>LENC-EP-029</t>
  </si>
  <si>
    <t>UK001516</t>
  </si>
  <si>
    <t>TOS 7200</t>
  </si>
  <si>
    <t>Tenión continua 100 V a 1000 V</t>
  </si>
  <si>
    <t xml:space="preserve">1% + 1V </t>
  </si>
  <si>
    <t xml:space="preserve"> 2 MΩ a 1000MΩ</t>
  </si>
  <si>
    <t>2% / ±(100 ppm+20 ms)</t>
  </si>
  <si>
    <t>Resistencia 2 MΩ a 1000MΩ</t>
  </si>
  <si>
    <t>LENC-EP-030</t>
  </si>
  <si>
    <t>Medidor de baja resistencia</t>
  </si>
  <si>
    <t>LENC-EP-031</t>
  </si>
  <si>
    <t>SF002709</t>
  </si>
  <si>
    <t>Resistencia 1 mΩ a 100mΩ</t>
  </si>
  <si>
    <t xml:space="preserve"> ± 2% + 0,003</t>
  </si>
  <si>
    <t>1 mΩ a 100mΩ</t>
  </si>
  <si>
    <t>6A a 60A</t>
  </si>
  <si>
    <t xml:space="preserve"> ± 1% +0,4</t>
  </si>
  <si>
    <t>0V a 6V</t>
  </si>
  <si>
    <t>± 1% + 0,02</t>
  </si>
  <si>
    <t>0,01 V a 6 V</t>
  </si>
  <si>
    <t>Compresor</t>
  </si>
  <si>
    <t>LENC-EA-032</t>
  </si>
  <si>
    <t>Base para micrometro</t>
  </si>
  <si>
    <t>LENC-EA-033</t>
  </si>
  <si>
    <t>Espectroradiometro</t>
  </si>
  <si>
    <t>LENC-EP-034</t>
  </si>
  <si>
    <t>LENC-EP-035</t>
  </si>
  <si>
    <t>Analizador de redes</t>
  </si>
  <si>
    <t>LENC-EP-036</t>
  </si>
  <si>
    <t>WXXYQ100038</t>
  </si>
  <si>
    <t>Lisun Group</t>
  </si>
  <si>
    <t>LS2010</t>
  </si>
  <si>
    <t>0,5 A a 20 A</t>
  </si>
  <si>
    <t>(0,4 read value + 0,1% range + 1 digito</t>
  </si>
  <si>
    <t>Frecuencua</t>
  </si>
  <si>
    <t xml:space="preserve"> Hz</t>
  </si>
  <si>
    <t>45 HZ a 70 HZ</t>
  </si>
  <si>
    <t>± (0,1% read value + 1 digito) Hz / 0,5%</t>
  </si>
  <si>
    <t>Potencia</t>
  </si>
  <si>
    <t>W</t>
  </si>
  <si>
    <t>30 W a 600 W</t>
  </si>
  <si>
    <t>Factor de Potencia</t>
  </si>
  <si>
    <t>F.P</t>
  </si>
  <si>
    <t>0,3 a 0,9</t>
  </si>
  <si>
    <t>Asmet</t>
  </si>
  <si>
    <t>Armonicos</t>
  </si>
  <si>
    <t>%</t>
  </si>
  <si>
    <t>THD = 1.8 %, THD = 35.1 %</t>
  </si>
  <si>
    <t>CENAM</t>
  </si>
  <si>
    <t>Fuente de voltaje en DC</t>
  </si>
  <si>
    <t>LENC-EA-037</t>
  </si>
  <si>
    <t>Fuente de voltaje en AC</t>
  </si>
  <si>
    <t>LENC-EA-038</t>
  </si>
  <si>
    <r>
      <t>Esfera 4</t>
    </r>
    <r>
      <rPr>
        <sz val="11"/>
        <rFont val="Calibri"/>
        <family val="2"/>
      </rPr>
      <t>π</t>
    </r>
  </si>
  <si>
    <t>LENC-EA-039</t>
  </si>
  <si>
    <t>Bombilla de verificación</t>
  </si>
  <si>
    <t>LENC-EA-040</t>
  </si>
  <si>
    <t>LENC-EA-041</t>
  </si>
  <si>
    <t>Ducha grado de protección IP X3-X4</t>
  </si>
  <si>
    <t>LENC-EP-043</t>
  </si>
  <si>
    <t>Z1054</t>
  </si>
  <si>
    <t>JL 34S</t>
  </si>
  <si>
    <t>Presión</t>
  </si>
  <si>
    <t>psi</t>
  </si>
  <si>
    <t>Presión 0,1 a 30 psi</t>
  </si>
  <si>
    <t>3 psi a 30 psi</t>
  </si>
  <si>
    <t>Arco grado de protección IP X3 -X4</t>
  </si>
  <si>
    <t>LENC-EP-044</t>
  </si>
  <si>
    <t>SOLS20180519-A11</t>
  </si>
  <si>
    <t>Flujo</t>
  </si>
  <si>
    <t>l/min</t>
  </si>
  <si>
    <t>2.5 l/min; 3.5 l/min; 5 l/min</t>
  </si>
  <si>
    <t>SOLS20180519-A11
HC686552720801</t>
  </si>
  <si>
    <t>0,1 a 30 psi</t>
  </si>
  <si>
    <t>Grado de protección IP X5 -X6</t>
  </si>
  <si>
    <t>LENC-EP-045</t>
  </si>
  <si>
    <t>T1808022/T201811022</t>
  </si>
  <si>
    <t>JL 56</t>
  </si>
  <si>
    <t>10-12-15  l/min</t>
  </si>
  <si>
    <t>T1811026/T201811022</t>
  </si>
  <si>
    <t>95-100-105 l/min</t>
  </si>
  <si>
    <t>Tanque IP X7</t>
  </si>
  <si>
    <t>LENC-EP-046</t>
  </si>
  <si>
    <t>Galgas de IP</t>
  </si>
  <si>
    <t>LENC-EP-047</t>
  </si>
  <si>
    <t>Cabina de polvo</t>
  </si>
  <si>
    <t>LENC-EP-048</t>
  </si>
  <si>
    <t>SOLS20180519-A10- IE4Z-61949</t>
  </si>
  <si>
    <t>SC-015</t>
  </si>
  <si>
    <t>Kpa</t>
  </si>
  <si>
    <t>0,1 a 0,5 psi</t>
  </si>
  <si>
    <t>No Especifica</t>
  </si>
  <si>
    <t>Camara Salina</t>
  </si>
  <si>
    <t>LENC-EP-049</t>
  </si>
  <si>
    <t>SOLS20180571</t>
  </si>
  <si>
    <t>YWX/Q-010</t>
  </si>
  <si>
    <t>0 A 30 psi</t>
  </si>
  <si>
    <t>0 A 30 PSI</t>
  </si>
  <si>
    <t>35°C</t>
  </si>
  <si>
    <t>Banco de vibraciones</t>
  </si>
  <si>
    <t>LENC-EA-051</t>
  </si>
  <si>
    <t>Quemador de aguja</t>
  </si>
  <si>
    <t>LENC-EP-052</t>
  </si>
  <si>
    <t>T201811018</t>
  </si>
  <si>
    <t>ZY-3</t>
  </si>
  <si>
    <t>10 s a 60 s</t>
  </si>
  <si>
    <t>Pendiente aprobación de PO</t>
  </si>
  <si>
    <t>100 °C a 700 °C</t>
  </si>
  <si>
    <t>Flamabilidad horizontal y vertical</t>
  </si>
  <si>
    <t>LENC-EP-053</t>
  </si>
  <si>
    <t>T201811019</t>
  </si>
  <si>
    <t>HVR-LS</t>
  </si>
  <si>
    <t>Dispositivo de presión de bola</t>
  </si>
  <si>
    <t>LENC-EP-054</t>
  </si>
  <si>
    <t>T201811020</t>
  </si>
  <si>
    <t>ZBP-T</t>
  </si>
  <si>
    <t>NA</t>
  </si>
  <si>
    <t>2000 g</t>
  </si>
  <si>
    <t>Verificación interna</t>
  </si>
  <si>
    <t>Salinometro</t>
  </si>
  <si>
    <t>LENC-EP-060</t>
  </si>
  <si>
    <t>Brixco</t>
  </si>
  <si>
    <t>Porcentaje</t>
  </si>
  <si>
    <t>kg/m3</t>
  </si>
  <si>
    <t>0 - 10</t>
  </si>
  <si>
    <t>Metrología Análitica</t>
  </si>
  <si>
    <t>FUERA DE USO</t>
  </si>
  <si>
    <t>Densimetro</t>
  </si>
  <si>
    <t>LENC-EP-061</t>
  </si>
  <si>
    <t>Gravedad Especifica</t>
  </si>
  <si>
    <t>1,000 - 1,100</t>
  </si>
  <si>
    <t>Masa para aplastamiento 20Kg</t>
  </si>
  <si>
    <t>LENC-EP-068</t>
  </si>
  <si>
    <t>NYCE Colombia</t>
  </si>
  <si>
    <t>No Normalizada</t>
  </si>
  <si>
    <t>20000 g</t>
  </si>
  <si>
    <t>Masa para aplastamiento  9 kg</t>
  </si>
  <si>
    <t>LENC-EP-069</t>
  </si>
  <si>
    <t>9000 g</t>
  </si>
  <si>
    <t>Impacto IK 02</t>
  </si>
  <si>
    <t>LENC-EP-070</t>
  </si>
  <si>
    <t>T201811013</t>
  </si>
  <si>
    <t>IKO2</t>
  </si>
  <si>
    <t>Energia de Impacto</t>
  </si>
  <si>
    <t>J</t>
  </si>
  <si>
    <t>0,20 J</t>
  </si>
  <si>
    <t>Institute of product quality supervision</t>
  </si>
  <si>
    <t>No se calibra, según su uso se realiza compra</t>
  </si>
  <si>
    <t>Impacto IK 03</t>
  </si>
  <si>
    <t>LENC-EP-071</t>
  </si>
  <si>
    <t>T201811014</t>
  </si>
  <si>
    <t>IKO3</t>
  </si>
  <si>
    <t>0,35 J</t>
  </si>
  <si>
    <t>Impacto IK 04</t>
  </si>
  <si>
    <t>LENC-EP-072</t>
  </si>
  <si>
    <t>T201811015</t>
  </si>
  <si>
    <t>IKO4</t>
  </si>
  <si>
    <t>0,50 J</t>
  </si>
  <si>
    <t>Impacto IK 05</t>
  </si>
  <si>
    <t>LENC-EP-073</t>
  </si>
  <si>
    <t>T201811016</t>
  </si>
  <si>
    <t>IKO5</t>
  </si>
  <si>
    <t>0,70 J</t>
  </si>
  <si>
    <t>Impacto IK 06</t>
  </si>
  <si>
    <t>LENC-EP-074</t>
  </si>
  <si>
    <t>T201811017</t>
  </si>
  <si>
    <t>IKO6</t>
  </si>
  <si>
    <t>1 J</t>
  </si>
  <si>
    <t>Fuente de Tensión</t>
  </si>
  <si>
    <t>LENC-EP-076</t>
  </si>
  <si>
    <t>LSP-5KVAS PWM</t>
  </si>
  <si>
    <t xml:space="preserve"> 1 V a 300 V</t>
  </si>
  <si>
    <t>30 V a 270 V</t>
  </si>
  <si>
    <t>Bascula</t>
  </si>
  <si>
    <t>LENC-EP-077</t>
  </si>
  <si>
    <t>JK180351</t>
  </si>
  <si>
    <t>TRUMAX</t>
  </si>
  <si>
    <t>Xteel-W-ll SS</t>
  </si>
  <si>
    <t>kg</t>
  </si>
  <si>
    <t>0 - 50Kg</t>
  </si>
  <si>
    <t>LENC-EP-079</t>
  </si>
  <si>
    <t>Masa para aplastamiento 11Kg</t>
  </si>
  <si>
    <t>LENC-EP-080</t>
  </si>
  <si>
    <t>11 kg</t>
  </si>
  <si>
    <t>Masa para aplastamiento 9Kg</t>
  </si>
  <si>
    <t>LENC-EP-081</t>
  </si>
  <si>
    <t>9 kg</t>
  </si>
  <si>
    <t>LENC-EP-082</t>
  </si>
  <si>
    <t>LENC-EP-083</t>
  </si>
  <si>
    <t>LENC-EP-084</t>
  </si>
  <si>
    <t>Soporte de 10Kg</t>
  </si>
  <si>
    <t>LENC-EP-085</t>
  </si>
  <si>
    <t>10 kg</t>
  </si>
  <si>
    <t>Masa de 1 Kg</t>
  </si>
  <si>
    <t>LENC-EP-091</t>
  </si>
  <si>
    <t>Cilindro con Gancho</t>
  </si>
  <si>
    <t>1 kg</t>
  </si>
  <si>
    <t>Martillo IK 07</t>
  </si>
  <si>
    <t>LENC-EP-092</t>
  </si>
  <si>
    <t>Martillo IK 08</t>
  </si>
  <si>
    <t>LENC-EP-093</t>
  </si>
  <si>
    <t>Martillo IK 09</t>
  </si>
  <si>
    <t>LENC-EP-094</t>
  </si>
  <si>
    <t>Martillo IK 10</t>
  </si>
  <si>
    <t>LENC-EP-095</t>
  </si>
  <si>
    <t>5000 g</t>
  </si>
  <si>
    <t>Martillo de IK03 a IK05</t>
  </si>
  <si>
    <t>LENC-EP-096</t>
  </si>
  <si>
    <t>Martillo para 150g</t>
  </si>
  <si>
    <t>LENC-EP-097</t>
  </si>
  <si>
    <t>Medidor de vibraciones</t>
  </si>
  <si>
    <t>LENC-EP-098</t>
  </si>
  <si>
    <t>1808030  6721</t>
  </si>
  <si>
    <t>HY-103</t>
  </si>
  <si>
    <t>Velocidad</t>
  </si>
  <si>
    <t>m/s</t>
  </si>
  <si>
    <t>10 Hz - 55 Hz</t>
  </si>
  <si>
    <t>Metas</t>
  </si>
  <si>
    <t>Tamiz camara de polvo</t>
  </si>
  <si>
    <t>LENC-EA-099</t>
  </si>
  <si>
    <t>Granotest</t>
  </si>
  <si>
    <t>µm</t>
  </si>
  <si>
    <t>Full</t>
  </si>
  <si>
    <r>
      <t xml:space="preserve">Diametro alambre: 50 </t>
    </r>
    <r>
      <rPr>
        <sz val="11"/>
        <color theme="1"/>
        <rFont val="Aptos Narrow"/>
        <family val="2"/>
      </rPr>
      <t>µ</t>
    </r>
    <r>
      <rPr>
        <sz val="11"/>
        <color theme="1"/>
        <rFont val="Calibri"/>
        <family val="2"/>
        <scheme val="minor"/>
      </rPr>
      <t>m
Aberturas: 75 µm</t>
    </r>
  </si>
  <si>
    <t xml:space="preserve">Probeta Plastica de camara salina - 1  </t>
  </si>
  <si>
    <t>LENC-EA-103</t>
  </si>
  <si>
    <t>Volumen</t>
  </si>
  <si>
    <t>ml</t>
  </si>
  <si>
    <t xml:space="preserve">0 - 50 </t>
  </si>
  <si>
    <t>CALIBRAR Y COMPRAR REPUESTO</t>
  </si>
  <si>
    <t>Manometro analógico</t>
  </si>
  <si>
    <t>LENC-EP-107</t>
  </si>
  <si>
    <t>Z0239</t>
  </si>
  <si>
    <t>Winters</t>
  </si>
  <si>
    <t>PFQ-ZR</t>
  </si>
  <si>
    <t xml:space="preserve">0 - 60 </t>
  </si>
  <si>
    <t>PRESENTA DAÑO - EN PROCESO DE COMPRA</t>
  </si>
  <si>
    <t>LENC-EP-108</t>
  </si>
  <si>
    <t>±1,5% Full Escala</t>
  </si>
  <si>
    <t>Programado bajo cotizacion</t>
  </si>
  <si>
    <t>Torcometro digital</t>
  </si>
  <si>
    <t>LENC-EP-110</t>
  </si>
  <si>
    <t>PD106178</t>
  </si>
  <si>
    <t>BMS Paddy</t>
  </si>
  <si>
    <t>10 Nm - 100 Nm</t>
  </si>
  <si>
    <t>Medidor de temperatura</t>
  </si>
  <si>
    <t>LENC-EP-111</t>
  </si>
  <si>
    <t>F0057272</t>
  </si>
  <si>
    <t>HI-146-00</t>
  </si>
  <si>
    <t>10 °C - 70°C</t>
  </si>
  <si>
    <t>Dado de baja</t>
  </si>
  <si>
    <t>Medidor de conductividad</t>
  </si>
  <si>
    <t>LENC-EP-113</t>
  </si>
  <si>
    <t>HI98308</t>
  </si>
  <si>
    <t>Conductividad</t>
  </si>
  <si>
    <t>µS</t>
  </si>
  <si>
    <t>1µS a 20µS</t>
  </si>
  <si>
    <t>1µS a 100µS</t>
  </si>
  <si>
    <t>Horno</t>
  </si>
  <si>
    <t>LENC-EP-114</t>
  </si>
  <si>
    <t>PG-2001</t>
  </si>
  <si>
    <t>25°C 70°C 127°C - 200°C</t>
  </si>
  <si>
    <t>Masa de 2 kg</t>
  </si>
  <si>
    <t>LENC-EP-116</t>
  </si>
  <si>
    <t>Masa de 130 g</t>
  </si>
  <si>
    <t>LENC-EP-117</t>
  </si>
  <si>
    <t>Disco</t>
  </si>
  <si>
    <t>Masa de 450 g</t>
  </si>
  <si>
    <t>LENC-EP-119</t>
  </si>
  <si>
    <t>Pinza Amperimetrica</t>
  </si>
  <si>
    <t>LENC-EP-120</t>
  </si>
  <si>
    <t>Extech</t>
  </si>
  <si>
    <t>MA 620</t>
  </si>
  <si>
    <t>Corriente Alterna</t>
  </si>
  <si>
    <t>15 A - 500 A</t>
  </si>
  <si>
    <t>15 A - 600 A</t>
  </si>
  <si>
    <t>Servimeters</t>
  </si>
  <si>
    <t>Datalogger</t>
  </si>
  <si>
    <t>LENC-EP-121</t>
  </si>
  <si>
    <t>TESTO</t>
  </si>
  <si>
    <t>174H</t>
  </si>
  <si>
    <t>% hr</t>
  </si>
  <si>
    <t>45 % hr - 70 % hr</t>
  </si>
  <si>
    <t>15 °C - 35°C</t>
  </si>
  <si>
    <t>15 °C, 20 °C, 35°C</t>
  </si>
  <si>
    <t>LENC-EP-122</t>
  </si>
  <si>
    <t xml:space="preserve">CONAMET </t>
  </si>
  <si>
    <t>15 °C, 20 °C,  35°C</t>
  </si>
  <si>
    <t>Micrometro de peso muerto</t>
  </si>
  <si>
    <t>LENC-EP-123</t>
  </si>
  <si>
    <t>002</t>
  </si>
  <si>
    <t>Clockwise Tools</t>
  </si>
  <si>
    <t>0,1 mm - 12,70 mm</t>
  </si>
  <si>
    <t>AJUSTE Y CALIBRACION</t>
  </si>
  <si>
    <t>Goniómetro Digital</t>
  </si>
  <si>
    <t>LENC-EP-124</t>
  </si>
  <si>
    <t>Gemred</t>
  </si>
  <si>
    <t>Angulo</t>
  </si>
  <si>
    <t>°</t>
  </si>
  <si>
    <t>1 ° - 360°</t>
  </si>
  <si>
    <t>Galga E27</t>
  </si>
  <si>
    <t>LENC-EA-126</t>
  </si>
  <si>
    <t>LS19080501 / LS19080503 / LS19080502</t>
  </si>
  <si>
    <t>E27 7006-27B-1 / Casquillo E27 7006-27C-1 /   E27 7006-28A-1</t>
  </si>
  <si>
    <t>Plano</t>
  </si>
  <si>
    <t>Medidor de Energía</t>
  </si>
  <si>
    <t>LENC-EP-133</t>
  </si>
  <si>
    <t>ELNET</t>
  </si>
  <si>
    <t>LT</t>
  </si>
  <si>
    <t>Energía</t>
  </si>
  <si>
    <t>kWh</t>
  </si>
  <si>
    <t>5 %, 100%</t>
  </si>
  <si>
    <t>Digitron</t>
  </si>
  <si>
    <t>LENC-EP-134</t>
  </si>
  <si>
    <t>LENC-EP-135</t>
  </si>
  <si>
    <t>Esfera de Impacto</t>
  </si>
  <si>
    <t>LENC-EP-136</t>
  </si>
  <si>
    <t>Baja</t>
  </si>
  <si>
    <t>Reticula de medición</t>
  </si>
  <si>
    <t>LENC-EA-137</t>
  </si>
  <si>
    <t>MICRSCOPE MIROMETER</t>
  </si>
  <si>
    <t>0,03 mm - 10 mm</t>
  </si>
  <si>
    <t>LENC-EP-138</t>
  </si>
  <si>
    <t>PFQ Series</t>
  </si>
  <si>
    <t>0 psi - 60 psi</t>
  </si>
  <si>
    <t>6, 15, 30, 45, 60</t>
  </si>
  <si>
    <t>ATE Medical Group</t>
  </si>
  <si>
    <t>Ok</t>
  </si>
  <si>
    <t>LENC-EP-139</t>
  </si>
  <si>
    <t>PQR Series</t>
  </si>
  <si>
    <t>LENC-EP-140</t>
  </si>
  <si>
    <t>LENC-EP-141</t>
  </si>
  <si>
    <t>OK</t>
  </si>
  <si>
    <t>Transformador de corriente</t>
  </si>
  <si>
    <t>LENC-EP-142</t>
  </si>
  <si>
    <t>0700242-3</t>
  </si>
  <si>
    <t>Blox</t>
  </si>
  <si>
    <t>HS600 (Barra)</t>
  </si>
  <si>
    <t>Relación de transformación</t>
  </si>
  <si>
    <t>VA</t>
  </si>
  <si>
    <t>1 A  a 30 A</t>
  </si>
  <si>
    <t>2,5 (100% In)</t>
  </si>
  <si>
    <t>Metrobit</t>
  </si>
  <si>
    <t>Pendiente recoger equipo METROBIT</t>
  </si>
  <si>
    <t>LENC-EP-143</t>
  </si>
  <si>
    <t>0700243-3</t>
  </si>
  <si>
    <t>LENC-EP-144</t>
  </si>
  <si>
    <t>0700244-3</t>
  </si>
  <si>
    <t>Torcometro Digital</t>
  </si>
  <si>
    <t>LENC-EP-145</t>
  </si>
  <si>
    <t>JHDCA050008</t>
  </si>
  <si>
    <t>CH338</t>
  </si>
  <si>
    <t>0,00 a 10,00</t>
  </si>
  <si>
    <t>Tipo I Clase C</t>
  </si>
  <si>
    <t>2, 6, 10</t>
  </si>
  <si>
    <t>Servintegral</t>
  </si>
  <si>
    <t>En calibración</t>
  </si>
  <si>
    <t>Medidor de volumen</t>
  </si>
  <si>
    <t>LENC-EP-148</t>
  </si>
  <si>
    <t>K06011650030022</t>
  </si>
  <si>
    <t>SIEMENS</t>
  </si>
  <si>
    <t>FM100</t>
  </si>
  <si>
    <t>L</t>
  </si>
  <si>
    <t>0 a 9999</t>
  </si>
  <si>
    <t xml:space="preserve">5L - 100 L - 250 L </t>
  </si>
  <si>
    <t>LENC-EP-149</t>
  </si>
  <si>
    <t>K06011650030005</t>
  </si>
  <si>
    <t>LENC-EP-150</t>
  </si>
  <si>
    <t>K06011650030009</t>
  </si>
  <si>
    <t>LENC-EP-151</t>
  </si>
  <si>
    <t>Z101285060</t>
  </si>
  <si>
    <t>ALEMITE</t>
  </si>
  <si>
    <t>LENC-EP-152</t>
  </si>
  <si>
    <t>Z101285058</t>
  </si>
  <si>
    <t>LENC-EP-153</t>
  </si>
  <si>
    <t>Z101285063</t>
  </si>
  <si>
    <t>Masa No Normalizada</t>
  </si>
  <si>
    <t>LENC-EP-154</t>
  </si>
  <si>
    <t>LENC-EP-155</t>
  </si>
  <si>
    <t>LENC-EP-156</t>
  </si>
  <si>
    <t>Masa No Normalizada 15</t>
  </si>
  <si>
    <t>LENC-EP-157</t>
  </si>
  <si>
    <t>Soporte Masa No Normalizada 15</t>
  </si>
  <si>
    <t>LENC-EP-158</t>
  </si>
  <si>
    <t>Masa 7,35 kg</t>
  </si>
  <si>
    <t>LENC-EP-159</t>
  </si>
  <si>
    <t>LENC-EP-160</t>
  </si>
  <si>
    <t>2020 g</t>
  </si>
  <si>
    <t>LENC-EP-161</t>
  </si>
  <si>
    <t>3030 g</t>
  </si>
  <si>
    <t>LENC-EP-162</t>
  </si>
  <si>
    <t>4040 g</t>
  </si>
  <si>
    <t>LENC-EP-163</t>
  </si>
  <si>
    <t>5050 g</t>
  </si>
  <si>
    <t>0.5</t>
  </si>
  <si>
    <t>LENC-EP-165</t>
  </si>
  <si>
    <t>8005111125F</t>
  </si>
  <si>
    <t>LSP-5KVAS</t>
  </si>
  <si>
    <t>0 - 300 V</t>
  </si>
  <si>
    <t>30, 90, 150, 210, 270 V</t>
  </si>
  <si>
    <t>Termometro Data Logger</t>
  </si>
  <si>
    <t>LENC-EP-166-01</t>
  </si>
  <si>
    <t>0102-002433</t>
  </si>
  <si>
    <t>Omega</t>
  </si>
  <si>
    <t>RDXL6SD-USB</t>
  </si>
  <si>
    <t>0 a 200 °C</t>
  </si>
  <si>
    <t>0°C, 5°C, 12°C, 25°C, 70°C, 130°C; y 220°C</t>
  </si>
  <si>
    <t>LENC-EP-166-02</t>
  </si>
  <si>
    <t>LENC-EP-166-03</t>
  </si>
  <si>
    <t>LENC-EP-166-04</t>
  </si>
  <si>
    <t>LENC-EP-166-05</t>
  </si>
  <si>
    <t>0 a 130 °C</t>
  </si>
  <si>
    <t>0°C, 5°C, 12°C, 25°C, 70°C y 130°C</t>
  </si>
  <si>
    <t>TERMOPAR PARA MEDICIÓN DE AGUA</t>
  </si>
  <si>
    <t>LENC-EP-166-06</t>
  </si>
  <si>
    <t>LENC-EP-166-07</t>
  </si>
  <si>
    <t>LENC-EP-169</t>
  </si>
  <si>
    <t>143097UEDV</t>
  </si>
  <si>
    <t>AEMC</t>
  </si>
  <si>
    <t>405 / 6000-36-2-0.1</t>
  </si>
  <si>
    <t>0A - 1000A -AC</t>
  </si>
  <si>
    <t>10 a 910</t>
  </si>
  <si>
    <t>Medidor de temperatura modulo 1</t>
  </si>
  <si>
    <t>LENC-EP-170</t>
  </si>
  <si>
    <t>Varias</t>
  </si>
  <si>
    <t>SENSA</t>
  </si>
  <si>
    <t>-40 a 250</t>
  </si>
  <si>
    <t>-21 a 20°C</t>
  </si>
  <si>
    <t>Medidor de temperatura modulo 2</t>
  </si>
  <si>
    <t>LENC-EP-170-91</t>
  </si>
  <si>
    <t>Medidor de temperatura modulo 3</t>
  </si>
  <si>
    <t>LENC-EP-170-92</t>
  </si>
  <si>
    <t>Medidor de potencia multifuncional</t>
  </si>
  <si>
    <t>LENC-EP-173</t>
  </si>
  <si>
    <t>ELECNOVA</t>
  </si>
  <si>
    <t>PD194Z-E20</t>
  </si>
  <si>
    <t>0 - 5 A</t>
  </si>
  <si>
    <t>6 A, 8 A, 10 A</t>
  </si>
  <si>
    <t>0 - 3800 W</t>
  </si>
  <si>
    <t>Temporizador</t>
  </si>
  <si>
    <t>LENC-EP-174</t>
  </si>
  <si>
    <t>F100WEB21030030</t>
  </si>
  <si>
    <t>UPSILON AUTOMATION TECHNOLOGY CO</t>
  </si>
  <si>
    <t>F6100WE</t>
  </si>
  <si>
    <t>2160 a 43200</t>
  </si>
  <si>
    <t>Cuarto Frio</t>
  </si>
  <si>
    <t>LENC-EP-175</t>
  </si>
  <si>
    <t>LCI-EQ-002-21</t>
  </si>
  <si>
    <t>LOSS CONTROL INSTRUMENTS COLOMBIA S.A.S</t>
  </si>
  <si>
    <t>M12721</t>
  </si>
  <si>
    <t>8, 25, 45 °C</t>
  </si>
  <si>
    <t>Conamet / ATE</t>
  </si>
  <si>
    <t>Anemometro</t>
  </si>
  <si>
    <t>LENC-EP-179</t>
  </si>
  <si>
    <t>Sin identificar</t>
  </si>
  <si>
    <t>Renke</t>
  </si>
  <si>
    <t>RS-FSJT-N01</t>
  </si>
  <si>
    <t>Velocidad de Aire</t>
  </si>
  <si>
    <t>0 a 70 m/s</t>
  </si>
  <si>
    <t>0,17, 0,26, 0,36, 5,00, 6,91 m/s</t>
  </si>
  <si>
    <t>Industries Incymed SAS DE CV</t>
  </si>
  <si>
    <t>LENC-EP-180</t>
  </si>
  <si>
    <t>LENC-EP-181</t>
  </si>
  <si>
    <t>LENC-EP-182</t>
  </si>
  <si>
    <t>LENC-EP-183</t>
  </si>
  <si>
    <t>LENC-EP-184</t>
  </si>
  <si>
    <t>LENC-EP-185</t>
  </si>
  <si>
    <t>LENC-EP-186</t>
  </si>
  <si>
    <t>LENC-EP-187</t>
  </si>
  <si>
    <t>LENC-EP-188</t>
  </si>
  <si>
    <t>Masa para aplastamiento 14Kg</t>
  </si>
  <si>
    <t>LENC-EP-189</t>
  </si>
  <si>
    <t xml:space="preserve"> Medidor de espesores digital</t>
  </si>
  <si>
    <t>LENC-EP-190</t>
  </si>
  <si>
    <t>YK05638</t>
  </si>
  <si>
    <t>ELCOMETER</t>
  </si>
  <si>
    <r>
      <rPr>
        <sz val="11"/>
        <color theme="1"/>
        <rFont val="Aptos Narrow"/>
        <family val="2"/>
      </rPr>
      <t>µ</t>
    </r>
    <r>
      <rPr>
        <sz val="8.8000000000000007"/>
        <color theme="1"/>
        <rFont val="Calibri"/>
        <family val="2"/>
      </rPr>
      <t>m</t>
    </r>
  </si>
  <si>
    <t>0,1 um</t>
  </si>
  <si>
    <t>0,001 um a 1600 um</t>
  </si>
  <si>
    <t>0,001 um a 1533,90 um</t>
  </si>
  <si>
    <t>ICCLAB</t>
  </si>
  <si>
    <t>Analizador de calidad de energía</t>
  </si>
  <si>
    <t>LENC-EP-191</t>
  </si>
  <si>
    <t>HIOKI</t>
  </si>
  <si>
    <t>PQ3100</t>
  </si>
  <si>
    <t>Voltaje
Corriente
Potencia
Frecuencia
Factor de potencia</t>
  </si>
  <si>
    <t>V
A
W
Hz
PF</t>
  </si>
  <si>
    <t>0,01
0,01
0,001
0,001
0,0001</t>
  </si>
  <si>
    <t>0-1000V
0-3000A
0-10kW
1
45-65</t>
  </si>
  <si>
    <t>SET GAD Metrologia</t>
  </si>
  <si>
    <t>Medidor de coriente de fuga</t>
  </si>
  <si>
    <t>LENC-EP-192</t>
  </si>
  <si>
    <t>GW INSTEC</t>
  </si>
  <si>
    <t>GLC-10000</t>
  </si>
  <si>
    <t>µA / mA</t>
  </si>
  <si>
    <t>0,01
0,1</t>
  </si>
  <si>
    <t>4,0 µA 50 mA</t>
  </si>
  <si>
    <t>4µA a 9 mA</t>
  </si>
  <si>
    <t>Electrical Safety Analyzer</t>
  </si>
  <si>
    <t>LENC-EP-193</t>
  </si>
  <si>
    <t>GPT 15000</t>
  </si>
  <si>
    <t>VAC
VDC</t>
  </si>
  <si>
    <t>0.050kV a 5.000kV
0.050kV a 6.000kV</t>
  </si>
  <si>
    <t>N/E</t>
  </si>
  <si>
    <t>EN CALIBRACIÓN</t>
  </si>
  <si>
    <t>Corriente fuga</t>
  </si>
  <si>
    <t>0,001
0,01
0,1</t>
  </si>
  <si>
    <t>1μA a 100.0mA AC
1μAa 20.00mA DC</t>
  </si>
  <si>
    <t>Barómetro Digital</t>
  </si>
  <si>
    <t>LENC-EP-194</t>
  </si>
  <si>
    <t>A.135719</t>
  </si>
  <si>
    <t>EXTECH</t>
  </si>
  <si>
    <t>SD700</t>
  </si>
  <si>
    <t>hPa</t>
  </si>
  <si>
    <t>10 hPa A hPa 1100 hPa</t>
  </si>
  <si>
    <t>1 % F.S</t>
  </si>
  <si>
    <t>504,0 - 564,0 - 623,9 - 683,8 - 743,8 - 803,7 - 863, 6 - 923,5 - 1043,4 - 1103,3</t>
  </si>
  <si>
    <t>Temperatura
Humedad</t>
  </si>
  <si>
    <t>°C
%hr</t>
  </si>
  <si>
    <t>0,1 °C
0,1 %hr</t>
  </si>
  <si>
    <t>10 °C a 50 °C
30 %hr a 95 %hr</t>
  </si>
  <si>
    <t>10,6 - 25,7 - 44,8
32,6 - 50,6 - 87,1</t>
  </si>
  <si>
    <t>Tacómetro</t>
  </si>
  <si>
    <t>LENC-EP-195</t>
  </si>
  <si>
    <t>C252220667</t>
  </si>
  <si>
    <t>UNI-T</t>
  </si>
  <si>
    <t>UT373</t>
  </si>
  <si>
    <t>Revoluciones por minuto</t>
  </si>
  <si>
    <t>RPM</t>
  </si>
  <si>
    <t>2 RPM a 9999 RPM</t>
  </si>
  <si>
    <t>10- 100 - 500 - 700 - 1000 - 5000 - 7500
10000 - 50000  - 75000 - 99999</t>
  </si>
  <si>
    <t>SET &amp; GAD Metrología</t>
  </si>
  <si>
    <t>LENC-EP-196</t>
  </si>
  <si>
    <t>A.135707</t>
  </si>
  <si>
    <t>Micrometro</t>
  </si>
  <si>
    <t>LENC-EP-197</t>
  </si>
  <si>
    <t>293-330-30</t>
  </si>
  <si>
    <t>0.001</t>
  </si>
  <si>
    <t>0 a 25,4</t>
  </si>
  <si>
    <t>+/- 0.001</t>
  </si>
  <si>
    <t>Equipos y Controles Industriales ECI</t>
  </si>
  <si>
    <t>LENC-EP-198</t>
  </si>
  <si>
    <t>Sin especificar</t>
  </si>
  <si>
    <t>0,5 mm</t>
  </si>
  <si>
    <t>300 mm</t>
  </si>
  <si>
    <t xml:space="preserve"> ±0,15 mm</t>
  </si>
  <si>
    <t>Cronómetro</t>
  </si>
  <si>
    <t>LENC-EP-199</t>
  </si>
  <si>
    <t>J507Q01</t>
  </si>
  <si>
    <t>CASIO</t>
  </si>
  <si>
    <t>HS-70W</t>
  </si>
  <si>
    <t>0 a 09:59:59</t>
  </si>
  <si>
    <t xml:space="preserve">+/- 0,035 </t>
  </si>
  <si>
    <t>Manómetro</t>
  </si>
  <si>
    <t>LENC-EP-200</t>
  </si>
  <si>
    <t>EXL-227211 J</t>
  </si>
  <si>
    <t>EXCEL</t>
  </si>
  <si>
    <t>MEXG60IB</t>
  </si>
  <si>
    <t>0 a 60</t>
  </si>
  <si>
    <t>±1,5%</t>
  </si>
  <si>
    <t>DISHEGRO S.A.S</t>
  </si>
  <si>
    <t>Torcómetro</t>
  </si>
  <si>
    <t>LENC-EP-201</t>
  </si>
  <si>
    <t>SNAP-ON</t>
  </si>
  <si>
    <t>ATECH1FQS240</t>
  </si>
  <si>
    <t>Par torsional</t>
  </si>
  <si>
    <t>12lbf los demás puntos Full Scale</t>
  </si>
  <si>
    <t>Cinta Métrica</t>
  </si>
  <si>
    <t>LENC-EP-202</t>
  </si>
  <si>
    <t>STANLEY</t>
  </si>
  <si>
    <t>30-615</t>
  </si>
  <si>
    <t>0 mm a 5000 mm</t>
  </si>
  <si>
    <t>AT MEDICAL</t>
  </si>
  <si>
    <t>LCI-T-0370-21</t>
  </si>
  <si>
    <t>Se prohíbe la impresión y  reproducción total o parcial previa autorización</t>
  </si>
  <si>
    <t>f</t>
  </si>
  <si>
    <t>FECHA DE ENTRADA EN VIGOR</t>
  </si>
  <si>
    <t>2021-05-26</t>
  </si>
  <si>
    <t>Adriana Garzón</t>
  </si>
  <si>
    <t>Eduardo Salcedo</t>
  </si>
  <si>
    <t>William Vizcaíno</t>
  </si>
  <si>
    <t>Elabora</t>
  </si>
  <si>
    <t>Revisa</t>
  </si>
  <si>
    <t>Aprueba</t>
  </si>
  <si>
    <t>FECHA DE PUESTA EN MARCHA</t>
  </si>
  <si>
    <t>FECHA DE RETIRO</t>
  </si>
  <si>
    <t>MOTIVO DE RETIRO</t>
  </si>
  <si>
    <t>DAÑO Y POCA VISIBILIDAD EN LA MARCACIÓN</t>
  </si>
  <si>
    <t>SE REALIZA COMPRA DE UN NUEVO EQUIPO Y SE LE ASIGNA LA MISMA IDENTIFICACIÓN INTERNA</t>
  </si>
  <si>
    <t>Wattmetro</t>
  </si>
  <si>
    <t>AQ32/2884</t>
  </si>
  <si>
    <t>Voltech</t>
  </si>
  <si>
    <t>PM100</t>
  </si>
  <si>
    <t>10 min a 3 h</t>
  </si>
  <si>
    <t>OBSOLETO</t>
  </si>
  <si>
    <t>LA IDENTIFICACIÓN INTERN QUEDA LIBRE  PARA SU USO</t>
  </si>
  <si>
    <t>Capri Tools</t>
  </si>
  <si>
    <t>DC202-8</t>
  </si>
  <si>
    <t>0 a 200mm / 0 a 8in</t>
  </si>
  <si>
    <t>MANTENIMIENTO SIN CALIBRACION</t>
  </si>
  <si>
    <t>Micrómetro de Exteriores Digital</t>
  </si>
  <si>
    <t>FECHA DE ACTUALIZACIÓN:</t>
  </si>
  <si>
    <t>COSTO DE CALIBRACIÓN</t>
  </si>
  <si>
    <t>COSTOS ADICIONALES</t>
  </si>
  <si>
    <t>FECHA</t>
  </si>
  <si>
    <t>LENC-EP-112</t>
  </si>
  <si>
    <t>F0034156</t>
  </si>
  <si>
    <t>BAJA</t>
  </si>
  <si>
    <t>Motivo: Rompe el cable de la sonda y no es necesario su recuperación</t>
  </si>
  <si>
    <t>Medidor de Agua</t>
  </si>
  <si>
    <t>LENC-EP-132</t>
  </si>
  <si>
    <t>Q19HA020203E</t>
  </si>
  <si>
    <t>JANZ</t>
  </si>
  <si>
    <t>JV600</t>
  </si>
  <si>
    <t>m3</t>
  </si>
  <si>
    <t xml:space="preserve">Motivo: Calibración con errores muy altos </t>
  </si>
  <si>
    <t>SIN USO</t>
  </si>
  <si>
    <t>No se realiza calibración en tiempo ya que se cambiaron los equipos y dicha calibración ya no es necesaria</t>
  </si>
  <si>
    <t>Medidor de agua fria</t>
  </si>
  <si>
    <t>LENC-EP-078</t>
  </si>
  <si>
    <t>17 095884</t>
  </si>
  <si>
    <t>Controlagua</t>
  </si>
  <si>
    <t>LXSG-13D3/LFN1</t>
  </si>
  <si>
    <t>5-100</t>
  </si>
  <si>
    <t>Hidrometrica</t>
  </si>
  <si>
    <t>Medidor de agua caliente</t>
  </si>
  <si>
    <t>LENC-EP-109</t>
  </si>
  <si>
    <t>Q17EA080549</t>
  </si>
  <si>
    <t>CUW1515</t>
  </si>
  <si>
    <t>100 L- 100 L</t>
  </si>
  <si>
    <t>LENC-EP-146</t>
  </si>
  <si>
    <t>CAM4BB050R100PR</t>
  </si>
  <si>
    <t>25 a 2500 L/h</t>
  </si>
  <si>
    <t>Q1: 25 L/h; Q2: 40 L/h: Q3: 2500 L/h</t>
  </si>
  <si>
    <t>LENC-EP-147</t>
  </si>
  <si>
    <t>SLS-100W Standard Light Source</t>
  </si>
  <si>
    <t>CAL02B0211</t>
  </si>
  <si>
    <t>SLS-100W</t>
  </si>
  <si>
    <t>Temperatura de Color</t>
  </si>
  <si>
    <t>K</t>
  </si>
  <si>
    <t>Shangai institute of quality inspection and technical research</t>
  </si>
  <si>
    <t>Se remplazo por una nueva</t>
  </si>
  <si>
    <t>RLS-100W Standard Light Source</t>
  </si>
  <si>
    <t>CAL201807002</t>
  </si>
  <si>
    <t>RLS-100W</t>
  </si>
  <si>
    <t>Auxiliar</t>
  </si>
  <si>
    <t>SLS-100 W  Lamp Test Set</t>
  </si>
  <si>
    <t>LENC-EA-050</t>
  </si>
  <si>
    <t>CAL02B0215</t>
  </si>
  <si>
    <t>3000 K</t>
  </si>
  <si>
    <t>3020 K</t>
  </si>
  <si>
    <t>DYGXE120148</t>
  </si>
  <si>
    <t>LMS-900B</t>
  </si>
  <si>
    <t>Longitud de Onda</t>
  </si>
  <si>
    <t>nm</t>
  </si>
  <si>
    <t>380nm a 780nm</t>
  </si>
  <si>
    <t>No calibrable, se manejara por comprobaciones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</si>
</sst>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"/>
    <numFmt numFmtId="165" formatCode="yyyy/mm/dd;@"/>
    <numFmt numFmtId="166" formatCode="yyyy\-mm\-dd;@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0"/>
      <color theme="1"/>
      <name val="Calibri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8.8000000000000007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91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1858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 wrapText="1"/>
    </xf>
    <xf numFmtId="0" fontId="0" fillId="0" borderId="3" xfId="0" applyBorder="1"/>
    <xf numFmtId="166" fontId="0" fillId="0" borderId="3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5" fillId="0" borderId="0" xfId="0" applyFont="1" applyAlignment="1">
      <alignment vertical="center" wrapText="1"/>
    </xf>
    <xf numFmtId="49" fontId="6" fillId="0" borderId="0" xfId="0" quotePrefix="1" applyNumberFormat="1" applyFont="1" applyAlignment="1">
      <alignment vertical="center" wrapText="1"/>
    </xf>
    <xf numFmtId="49" fontId="6" fillId="0" borderId="0" xfId="0" quotePrefix="1" applyNumberFormat="1" applyFont="1" applyAlignment="1">
      <alignment horizontal="center" vertical="center"/>
    </xf>
    <xf numFmtId="49" fontId="6" fillId="0" borderId="0" xfId="0" quotePrefix="1" applyNumberFormat="1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0" xfId="0" applyFont="1"/>
    <xf numFmtId="0" fontId="0" fillId="5" borderId="3" xfId="0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" fontId="0" fillId="0" borderId="3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1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3" xfId="0" applyFill="1" applyBorder="1" applyAlignment="1">
      <alignment vertical="center" wrapText="1"/>
    </xf>
    <xf numFmtId="0" fontId="10" fillId="7" borderId="3" xfId="0" applyFont="1" applyFill="1" applyBorder="1" applyAlignment="1">
      <alignment vertical="center" wrapText="1"/>
    </xf>
    <xf numFmtId="0" fontId="0" fillId="7" borderId="3" xfId="0" applyFill="1" applyBorder="1" applyAlignment="1">
      <alignment vertical="center"/>
    </xf>
    <xf numFmtId="0" fontId="0" fillId="7" borderId="3" xfId="0" applyFill="1" applyBorder="1" applyAlignment="1">
      <alignment horizontal="left" vertical="center" wrapText="1"/>
    </xf>
    <xf numFmtId="0" fontId="0" fillId="8" borderId="3" xfId="0" applyFill="1" applyBorder="1" applyAlignment="1">
      <alignment vertical="center" wrapText="1"/>
    </xf>
    <xf numFmtId="165" fontId="0" fillId="7" borderId="3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6" fillId="0" borderId="0" xfId="0" applyFont="1"/>
    <xf numFmtId="0" fontId="14" fillId="0" borderId="3" xfId="0" applyFont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165" fontId="0" fillId="10" borderId="3" xfId="0" applyNumberFormat="1" applyFill="1" applyBorder="1" applyAlignment="1">
      <alignment horizontal="center" vertical="center" wrapText="1"/>
    </xf>
    <xf numFmtId="165" fontId="0" fillId="11" borderId="3" xfId="0" applyNumberForma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</cellXfs>
  <cellStyles count="2">
    <cellStyle name="Hyperlink" xfId="1" xr:uid="{00000000-0005-0000-0000-000000000000}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83343</xdr:colOff>
      <xdr:row>0</xdr:row>
      <xdr:rowOff>42863</xdr:rowOff>
    </xdr:from>
    <xdr:to>
      <xdr:col>0</xdr:col>
      <xdr:colOff>2369342</xdr:colOff>
      <xdr:row>4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77"/>
        <a:stretch/>
      </xdr:blipFill>
      <xdr:spPr bwMode="auto">
        <a:xfrm>
          <a:off x="83343" y="42863"/>
          <a:ext cx="2285999" cy="11239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83343</xdr:colOff>
      <xdr:row>0</xdr:row>
      <xdr:rowOff>42863</xdr:rowOff>
    </xdr:from>
    <xdr:to>
      <xdr:col>0</xdr:col>
      <xdr:colOff>2369342</xdr:colOff>
      <xdr:row>4</xdr:row>
      <xdr:rowOff>54428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77"/>
        <a:stretch/>
      </xdr:blipFill>
      <xdr:spPr bwMode="auto">
        <a:xfrm>
          <a:off x="83343" y="42863"/>
          <a:ext cx="2285999" cy="1128712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1798320</xdr:colOff>
      <xdr:row>2</xdr:row>
      <xdr:rowOff>325120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77"/>
        <a:stretch/>
      </xdr:blipFill>
      <xdr:spPr bwMode="auto">
        <a:xfrm>
          <a:off x="0" y="19050"/>
          <a:ext cx="1798320" cy="85852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1798320</xdr:colOff>
      <xdr:row>2</xdr:row>
      <xdr:rowOff>325120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77"/>
        <a:stretch/>
      </xdr:blipFill>
      <xdr:spPr bwMode="auto">
        <a:xfrm>
          <a:off x="0" y="19050"/>
          <a:ext cx="1798320" cy="85852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ycesc.sharepoint.com/Users/Adriana%20Garzon/NYCE/NYCE%20COLOMBIA%20-%20SG%20General/Manual_Politicas_Declaracion/Declaracion/Historico/F2T09-02%20Programa%20de%20Calibraci&#243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ció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X224"/>
  <sheetViews>
    <sheetView showGridLines="0" tabSelected="1" view="pageBreakPreview" topLeftCell="A6" zoomScaleNormal="100" zoomScaleSheetLayoutView="100" workbookViewId="0">
      <pane xSplit="1" ySplit="1" topLeftCell="B33" activePane="bottomRight" state="frozen"/>
      <selection pane="topRight" activeCell="B6" sqref="B6"/>
      <selection pane="bottomLeft" activeCell="A7" sqref="A7"/>
      <selection pane="bottomRight" activeCell="B35" sqref="B35"/>
    </sheetView>
  </sheetViews>
  <sheetFormatPr baseColWidth="10" defaultColWidth="11.42578125" defaultRowHeight="15" x14ac:dyDescent="0.25"/>
  <cols>
    <col min="1" max="1" width="36.7109375" style="1" customWidth="1"/>
    <col min="2" max="2" width="21" style="2" customWidth="1"/>
    <col min="3" max="3" width="18.42578125" customWidth="1"/>
    <col min="4" max="4" width="18.42578125" style="4" customWidth="1"/>
    <col min="5" max="5" width="14" style="16" customWidth="1"/>
    <col min="6" max="6" width="17.5703125" customWidth="1"/>
    <col min="7" max="7" width="14.140625" customWidth="1"/>
    <col min="8" max="8" width="16.42578125" customWidth="1"/>
    <col min="9" max="9" width="35" customWidth="1"/>
    <col min="10" max="10" width="17" customWidth="1"/>
    <col min="11" max="11" width="23.42578125" customWidth="1"/>
    <col min="12" max="12" width="34.5703125" customWidth="1"/>
    <col min="13" max="13" width="16.28515625" customWidth="1"/>
    <col min="14" max="14" width="27" hidden="1" customWidth="1"/>
    <col min="15" max="15" width="18.5703125" customWidth="1"/>
    <col min="16" max="16" width="23" customWidth="1"/>
    <col min="17" max="17" width="19" customWidth="1"/>
    <col min="18" max="18" width="17.7109375" customWidth="1"/>
    <col min="19" max="19" width="19" customWidth="1"/>
    <col min="20" max="20" width="24" style="2" customWidth="1"/>
    <col min="21" max="21" width="38.140625" style="16" customWidth="1"/>
    <col min="22" max="24" width="11.42578125" customWidth="1"/>
  </cols>
  <sheetData>
    <row r="1" spans="1:21" ht="15" customHeight="1" x14ac:dyDescent="0.25">
      <c r="A1" s="84" t="s">
        <v>0</v>
      </c>
      <c r="B1" s="86" t="s">
        <v>1</v>
      </c>
      <c r="C1" s="86"/>
      <c r="D1" s="86"/>
      <c r="E1" s="86"/>
      <c r="F1" s="87"/>
      <c r="G1" s="87"/>
      <c r="H1" s="87"/>
      <c r="I1" s="87"/>
      <c r="J1" s="87"/>
      <c r="K1" s="87"/>
      <c r="L1" s="87"/>
      <c r="M1" s="87"/>
      <c r="N1" s="87"/>
      <c r="O1" s="86"/>
      <c r="P1" s="86"/>
      <c r="Q1" s="86"/>
      <c r="R1" s="87"/>
      <c r="S1" s="86"/>
      <c r="T1" s="86"/>
      <c r="U1" s="86"/>
    </row>
    <row r="2" spans="1:21" ht="28.5" customHeight="1" x14ac:dyDescent="0.25">
      <c r="A2" s="84"/>
      <c r="B2" s="86"/>
      <c r="C2" s="86"/>
      <c r="D2" s="86"/>
      <c r="E2" s="86"/>
      <c r="F2" s="87"/>
      <c r="G2" s="87"/>
      <c r="H2" s="87"/>
      <c r="I2" s="87"/>
      <c r="J2" s="87"/>
      <c r="K2" s="87"/>
      <c r="L2" s="87"/>
      <c r="M2" s="87"/>
      <c r="N2" s="87"/>
      <c r="O2" s="86"/>
      <c r="P2" s="86"/>
      <c r="Q2" s="86"/>
      <c r="R2" s="87"/>
      <c r="S2" s="86"/>
      <c r="T2" s="86"/>
      <c r="U2" s="86"/>
    </row>
    <row r="3" spans="1:21" ht="30" customHeight="1" x14ac:dyDescent="0.25">
      <c r="A3" s="84"/>
      <c r="B3" s="86"/>
      <c r="C3" s="86"/>
      <c r="D3" s="86"/>
      <c r="E3" s="86"/>
      <c r="F3" s="87"/>
      <c r="G3" s="87"/>
      <c r="H3" s="87"/>
      <c r="I3" s="87"/>
      <c r="J3" s="87"/>
      <c r="K3" s="87"/>
      <c r="L3" s="87"/>
      <c r="M3" s="87"/>
      <c r="N3" s="87"/>
      <c r="O3" s="86"/>
      <c r="P3" s="86"/>
      <c r="Q3" s="86"/>
      <c r="R3" s="87"/>
      <c r="S3" s="86"/>
      <c r="T3" s="86"/>
      <c r="U3" s="86"/>
    </row>
    <row r="4" spans="1:21" x14ac:dyDescent="0.25">
      <c r="A4" s="84"/>
      <c r="B4" s="56"/>
      <c r="C4" s="57">
        <f ca="1">TODAY()</f>
        <v>46213</v>
      </c>
      <c r="D4"/>
      <c r="E4" s="7"/>
      <c r="F4" s="12"/>
      <c r="G4" s="12"/>
      <c r="H4" s="12"/>
      <c r="I4" s="12"/>
      <c r="J4" s="12"/>
      <c r="K4" s="12"/>
      <c r="T4" s="2" t="s">
        <v>2</v>
      </c>
      <c r="U4" s="5" t="s">
        <v>2</v>
      </c>
    </row>
    <row r="5" spans="1:21" ht="7.5" customHeight="1" x14ac:dyDescent="0.25">
      <c r="A5" s="85"/>
      <c r="C5" s="13"/>
      <c r="D5" s="13"/>
      <c r="E5" s="7"/>
      <c r="F5" s="13"/>
      <c r="G5" s="13"/>
      <c r="H5" s="13"/>
      <c r="I5" s="13"/>
      <c r="J5" s="13"/>
      <c r="K5" s="13"/>
    </row>
    <row r="6" spans="1:21" s="66" customFormat="1" ht="50.25" customHeight="1" x14ac:dyDescent="0.25">
      <c r="A6" s="64" t="s">
        <v>3</v>
      </c>
      <c r="B6" s="64" t="s">
        <v>4</v>
      </c>
      <c r="C6" s="64" t="s">
        <v>5</v>
      </c>
      <c r="D6" s="64" t="s">
        <v>6</v>
      </c>
      <c r="E6" s="64" t="s">
        <v>7</v>
      </c>
      <c r="F6" s="64" t="s">
        <v>8</v>
      </c>
      <c r="G6" s="64" t="s">
        <v>9</v>
      </c>
      <c r="H6" s="64" t="s">
        <v>10</v>
      </c>
      <c r="I6" s="64" t="s">
        <v>11</v>
      </c>
      <c r="J6" s="64" t="s">
        <v>12</v>
      </c>
      <c r="K6" s="65" t="s">
        <v>13</v>
      </c>
      <c r="L6" s="64" t="s">
        <v>14</v>
      </c>
      <c r="M6" s="64" t="s">
        <v>15</v>
      </c>
      <c r="N6" s="64" t="s">
        <v>16</v>
      </c>
      <c r="O6" s="64" t="s">
        <v>17</v>
      </c>
      <c r="P6" s="64" t="s">
        <v>18</v>
      </c>
      <c r="Q6" s="64" t="s">
        <v>19</v>
      </c>
      <c r="R6" s="64" t="s">
        <v>20</v>
      </c>
      <c r="S6" s="64" t="s">
        <v>21</v>
      </c>
      <c r="T6" s="64" t="s">
        <v>22</v>
      </c>
      <c r="U6" s="64" t="s">
        <v>23</v>
      </c>
    </row>
    <row r="7" spans="1:21" ht="33" customHeight="1" x14ac:dyDescent="0.25">
      <c r="A7" s="67" t="s">
        <v>24</v>
      </c>
      <c r="B7" s="18" t="s">
        <v>25</v>
      </c>
      <c r="C7" s="18">
        <v>67313137</v>
      </c>
      <c r="D7" s="19" t="s">
        <v>26</v>
      </c>
      <c r="E7" s="18" t="s">
        <v>27</v>
      </c>
      <c r="F7" s="18" t="s">
        <v>28</v>
      </c>
      <c r="G7" s="18" t="s">
        <v>29</v>
      </c>
      <c r="H7" s="18">
        <v>1E-3</v>
      </c>
      <c r="I7" s="19" t="s">
        <v>30</v>
      </c>
      <c r="J7" s="19">
        <v>4.0000000000000001E-3</v>
      </c>
      <c r="K7" s="19" t="s">
        <v>31</v>
      </c>
      <c r="L7" s="19" t="s">
        <v>32</v>
      </c>
      <c r="M7" s="18">
        <v>73</v>
      </c>
      <c r="N7" s="20">
        <v>191530</v>
      </c>
      <c r="O7" s="21">
        <v>46148</v>
      </c>
      <c r="P7" s="22" t="s">
        <v>33</v>
      </c>
      <c r="Q7" s="21">
        <f t="shared" ref="Q7:Q16" si="0">EDATE(O7,M7)</f>
        <v>48371</v>
      </c>
      <c r="R7" s="72">
        <f>Q7-60</f>
        <v>48311</v>
      </c>
      <c r="S7" s="18" t="str">
        <f ca="1">IF(TODAY()&gt;Q7,"VENCIDO",IF(AND(TODAY()&gt;R7,TODAY()&lt;Q7),"PROGRAMADO",IF(AND(TODAY()&gt;O7,TODAY()&lt;=Q7),"CALIBRADO","VERIFICADO")))</f>
        <v>CALIBRADO</v>
      </c>
      <c r="T7" s="18" t="s">
        <v>34</v>
      </c>
      <c r="U7" s="19"/>
    </row>
    <row r="8" spans="1:21" ht="33" customHeight="1" x14ac:dyDescent="0.25">
      <c r="A8" s="67" t="s">
        <v>35</v>
      </c>
      <c r="B8" s="18" t="s">
        <v>36</v>
      </c>
      <c r="C8" s="18">
        <v>1709</v>
      </c>
      <c r="D8" s="19" t="s">
        <v>26</v>
      </c>
      <c r="E8" s="18" t="s">
        <v>37</v>
      </c>
      <c r="F8" s="18" t="s">
        <v>28</v>
      </c>
      <c r="G8" s="18" t="s">
        <v>29</v>
      </c>
      <c r="H8" s="18">
        <v>1</v>
      </c>
      <c r="I8" s="19" t="s">
        <v>38</v>
      </c>
      <c r="J8" s="19">
        <v>0.1</v>
      </c>
      <c r="K8" s="19" t="s">
        <v>31</v>
      </c>
      <c r="L8" s="19" t="s">
        <v>32</v>
      </c>
      <c r="M8" s="18">
        <v>75</v>
      </c>
      <c r="N8" s="20">
        <v>0</v>
      </c>
      <c r="O8" s="21">
        <v>43927</v>
      </c>
      <c r="P8" s="22" t="s">
        <v>39</v>
      </c>
      <c r="Q8" s="21">
        <f t="shared" si="0"/>
        <v>46209</v>
      </c>
      <c r="R8" s="72">
        <f>Q8-60</f>
        <v>46149</v>
      </c>
      <c r="S8" s="18" t="str">
        <f t="shared" ref="S8:S37" ca="1" si="1">IF(TODAY()&gt;Q8,"VENCIDO",IF(AND(TODAY()&gt;R8,TODAY()&lt;Q8),"PROGRAMADO",IF(AND(TODAY()&gt;O8,TODAY()&lt;=Q8),"CALIBRADO",0)))</f>
        <v>VENCIDO</v>
      </c>
      <c r="T8" s="18" t="s">
        <v>34</v>
      </c>
      <c r="U8" s="19"/>
    </row>
    <row r="9" spans="1:21" ht="33" customHeight="1" x14ac:dyDescent="0.25">
      <c r="A9" s="67" t="s">
        <v>35</v>
      </c>
      <c r="B9" s="18" t="s">
        <v>40</v>
      </c>
      <c r="C9" s="18">
        <v>1612</v>
      </c>
      <c r="D9" s="19" t="s">
        <v>26</v>
      </c>
      <c r="E9" s="18" t="s">
        <v>41</v>
      </c>
      <c r="F9" s="18" t="s">
        <v>28</v>
      </c>
      <c r="G9" s="18" t="s">
        <v>29</v>
      </c>
      <c r="H9" s="18">
        <v>1</v>
      </c>
      <c r="I9" s="19" t="s">
        <v>42</v>
      </c>
      <c r="J9" s="19">
        <v>0.13</v>
      </c>
      <c r="K9" s="19" t="s">
        <v>31</v>
      </c>
      <c r="L9" s="19" t="s">
        <v>32</v>
      </c>
      <c r="M9" s="18">
        <v>72</v>
      </c>
      <c r="N9" s="20">
        <v>92000</v>
      </c>
      <c r="O9" s="21">
        <v>44511</v>
      </c>
      <c r="P9" s="22" t="s">
        <v>39</v>
      </c>
      <c r="Q9" s="21">
        <f t="shared" si="0"/>
        <v>46702</v>
      </c>
      <c r="R9" s="72">
        <f>Q9-60</f>
        <v>46642</v>
      </c>
      <c r="S9" s="18" t="str">
        <f t="shared" ca="1" si="1"/>
        <v>CALIBRADO</v>
      </c>
      <c r="T9" s="18" t="s">
        <v>34</v>
      </c>
      <c r="U9" s="19"/>
    </row>
    <row r="10" spans="1:21" ht="33" customHeight="1" x14ac:dyDescent="0.25">
      <c r="A10" s="67" t="s">
        <v>35</v>
      </c>
      <c r="B10" s="18" t="s">
        <v>43</v>
      </c>
      <c r="C10" s="18">
        <v>1608</v>
      </c>
      <c r="D10" s="19" t="s">
        <v>26</v>
      </c>
      <c r="E10" s="18" t="s">
        <v>44</v>
      </c>
      <c r="F10" s="18" t="s">
        <v>28</v>
      </c>
      <c r="G10" s="18" t="s">
        <v>29</v>
      </c>
      <c r="H10" s="18">
        <v>1</v>
      </c>
      <c r="I10" s="19" t="s">
        <v>45</v>
      </c>
      <c r="J10" s="19">
        <v>0.2</v>
      </c>
      <c r="K10" s="19" t="s">
        <v>31</v>
      </c>
      <c r="L10" s="19" t="s">
        <v>32</v>
      </c>
      <c r="M10" s="18">
        <v>75</v>
      </c>
      <c r="N10" s="20">
        <v>0</v>
      </c>
      <c r="O10" s="21">
        <v>43927</v>
      </c>
      <c r="P10" s="22" t="s">
        <v>39</v>
      </c>
      <c r="Q10" s="21">
        <f t="shared" si="0"/>
        <v>46209</v>
      </c>
      <c r="R10" s="72">
        <f>Q10-60</f>
        <v>46149</v>
      </c>
      <c r="S10" s="18" t="str">
        <f t="shared" ca="1" si="1"/>
        <v>VENCIDO</v>
      </c>
      <c r="T10" s="18" t="s">
        <v>34</v>
      </c>
      <c r="U10" s="19"/>
    </row>
    <row r="11" spans="1:21" ht="33" customHeight="1" x14ac:dyDescent="0.25">
      <c r="A11" s="67" t="s">
        <v>35</v>
      </c>
      <c r="B11" s="18" t="s">
        <v>46</v>
      </c>
      <c r="C11" s="18">
        <v>1708</v>
      </c>
      <c r="D11" s="19" t="s">
        <v>26</v>
      </c>
      <c r="E11" s="18" t="s">
        <v>47</v>
      </c>
      <c r="F11" s="18" t="s">
        <v>28</v>
      </c>
      <c r="G11" s="18" t="s">
        <v>29</v>
      </c>
      <c r="H11" s="18">
        <v>1</v>
      </c>
      <c r="I11" s="19" t="s">
        <v>48</v>
      </c>
      <c r="J11" s="19">
        <v>0.2</v>
      </c>
      <c r="K11" s="19" t="s">
        <v>31</v>
      </c>
      <c r="L11" s="19" t="s">
        <v>32</v>
      </c>
      <c r="M11" s="18">
        <v>72</v>
      </c>
      <c r="N11" s="20">
        <v>101000</v>
      </c>
      <c r="O11" s="21">
        <v>44511</v>
      </c>
      <c r="P11" s="22" t="s">
        <v>39</v>
      </c>
      <c r="Q11" s="21">
        <f t="shared" si="0"/>
        <v>46702</v>
      </c>
      <c r="R11" s="72">
        <f>Q11-60</f>
        <v>46642</v>
      </c>
      <c r="S11" s="18" t="str">
        <f t="shared" ca="1" si="1"/>
        <v>CALIBRADO</v>
      </c>
      <c r="T11" s="18" t="s">
        <v>34</v>
      </c>
      <c r="U11" s="19"/>
    </row>
    <row r="12" spans="1:21" ht="33" customHeight="1" x14ac:dyDescent="0.25">
      <c r="A12" s="67" t="s">
        <v>49</v>
      </c>
      <c r="B12" s="18" t="s">
        <v>50</v>
      </c>
      <c r="C12" s="18" t="s">
        <v>51</v>
      </c>
      <c r="D12" s="19" t="s">
        <v>26</v>
      </c>
      <c r="E12" s="19" t="s">
        <v>52</v>
      </c>
      <c r="F12" s="24" t="s">
        <v>28</v>
      </c>
      <c r="G12" s="18" t="s">
        <v>53</v>
      </c>
      <c r="H12" s="18">
        <v>0.01</v>
      </c>
      <c r="I12" s="19" t="s">
        <v>54</v>
      </c>
      <c r="J12" s="18">
        <v>0.01</v>
      </c>
      <c r="K12" s="19" t="s">
        <v>31</v>
      </c>
      <c r="L12" s="19" t="s">
        <v>32</v>
      </c>
      <c r="M12" s="18">
        <v>12</v>
      </c>
      <c r="N12" s="20"/>
      <c r="O12" s="21">
        <v>46156</v>
      </c>
      <c r="P12" s="22" t="s">
        <v>55</v>
      </c>
      <c r="Q12" s="21">
        <f t="shared" si="0"/>
        <v>46521</v>
      </c>
      <c r="R12" s="72">
        <f>Q12-45</f>
        <v>46476</v>
      </c>
      <c r="S12" s="18" t="str">
        <f t="shared" ca="1" si="1"/>
        <v>CALIBRADO</v>
      </c>
      <c r="T12" s="18" t="s">
        <v>34</v>
      </c>
      <c r="U12" s="19" t="s">
        <v>56</v>
      </c>
    </row>
    <row r="13" spans="1:21" ht="29.25" customHeight="1" x14ac:dyDescent="0.25">
      <c r="A13" s="67" t="s">
        <v>57</v>
      </c>
      <c r="B13" s="18" t="s">
        <v>58</v>
      </c>
      <c r="C13" s="18">
        <v>15091366</v>
      </c>
      <c r="D13" s="19" t="s">
        <v>59</v>
      </c>
      <c r="E13" s="18" t="s">
        <v>60</v>
      </c>
      <c r="F13" s="18" t="s">
        <v>61</v>
      </c>
      <c r="G13" s="18" t="s">
        <v>62</v>
      </c>
      <c r="H13" s="18">
        <v>1</v>
      </c>
      <c r="I13" s="19" t="s">
        <v>63</v>
      </c>
      <c r="J13" s="19">
        <v>0.05</v>
      </c>
      <c r="K13" s="19" t="s">
        <v>31</v>
      </c>
      <c r="L13" s="19" t="s">
        <v>64</v>
      </c>
      <c r="M13" s="18">
        <v>42</v>
      </c>
      <c r="N13" s="20">
        <v>550000</v>
      </c>
      <c r="O13" s="21">
        <v>45007</v>
      </c>
      <c r="P13" s="22" t="s">
        <v>65</v>
      </c>
      <c r="Q13" s="21">
        <f t="shared" si="0"/>
        <v>46287</v>
      </c>
      <c r="R13" s="72">
        <f t="shared" ref="R13:R88" si="2">Q13-60</f>
        <v>46227</v>
      </c>
      <c r="S13" s="18" t="str">
        <f t="shared" ca="1" si="1"/>
        <v>CALIBRADO</v>
      </c>
      <c r="T13" s="18" t="s">
        <v>34</v>
      </c>
      <c r="U13" s="19"/>
    </row>
    <row r="14" spans="1:21" ht="29.25" customHeight="1" x14ac:dyDescent="0.25">
      <c r="A14" s="67" t="s">
        <v>57</v>
      </c>
      <c r="B14" s="18" t="s">
        <v>58</v>
      </c>
      <c r="C14" s="18">
        <v>15091366</v>
      </c>
      <c r="D14" s="19" t="s">
        <v>59</v>
      </c>
      <c r="E14" s="18" t="s">
        <v>60</v>
      </c>
      <c r="F14" s="18" t="s">
        <v>66</v>
      </c>
      <c r="G14" s="18" t="s">
        <v>67</v>
      </c>
      <c r="H14" s="18">
        <v>0.1</v>
      </c>
      <c r="I14" s="19" t="s">
        <v>68</v>
      </c>
      <c r="J14" s="19">
        <v>0.05</v>
      </c>
      <c r="K14" s="19" t="s">
        <v>31</v>
      </c>
      <c r="L14" s="19" t="s">
        <v>69</v>
      </c>
      <c r="M14" s="18">
        <v>42</v>
      </c>
      <c r="N14" s="20">
        <v>0</v>
      </c>
      <c r="O14" s="21">
        <v>45008</v>
      </c>
      <c r="P14" s="22" t="s">
        <v>65</v>
      </c>
      <c r="Q14" s="21">
        <f t="shared" si="0"/>
        <v>46288</v>
      </c>
      <c r="R14" s="72">
        <f t="shared" si="2"/>
        <v>46228</v>
      </c>
      <c r="S14" s="18" t="str">
        <f t="shared" ca="1" si="1"/>
        <v>CALIBRADO</v>
      </c>
      <c r="T14" s="18" t="s">
        <v>34</v>
      </c>
      <c r="U14" s="19"/>
    </row>
    <row r="15" spans="1:21" ht="29.25" customHeight="1" x14ac:dyDescent="0.25">
      <c r="A15" s="67" t="s">
        <v>57</v>
      </c>
      <c r="B15" s="18" t="s">
        <v>58</v>
      </c>
      <c r="C15" s="18">
        <v>15091366</v>
      </c>
      <c r="D15" s="19" t="s">
        <v>59</v>
      </c>
      <c r="E15" s="18" t="s">
        <v>60</v>
      </c>
      <c r="F15" s="58" t="s">
        <v>70</v>
      </c>
      <c r="G15" s="24" t="s">
        <v>71</v>
      </c>
      <c r="H15" s="18">
        <v>0.1</v>
      </c>
      <c r="I15" s="19" t="s">
        <v>72</v>
      </c>
      <c r="J15" s="19">
        <v>0.05</v>
      </c>
      <c r="K15" s="19" t="s">
        <v>31</v>
      </c>
      <c r="L15" s="19" t="s">
        <v>73</v>
      </c>
      <c r="M15" s="18">
        <v>36</v>
      </c>
      <c r="N15" s="20">
        <v>0</v>
      </c>
      <c r="O15" s="21">
        <v>45369</v>
      </c>
      <c r="P15" s="22" t="s">
        <v>74</v>
      </c>
      <c r="Q15" s="21">
        <f t="shared" si="0"/>
        <v>46464</v>
      </c>
      <c r="R15" s="72">
        <f t="shared" si="2"/>
        <v>46404</v>
      </c>
      <c r="S15" s="18" t="str">
        <f t="shared" ca="1" si="1"/>
        <v>CALIBRADO</v>
      </c>
      <c r="T15" s="18" t="s">
        <v>34</v>
      </c>
      <c r="U15" s="19"/>
    </row>
    <row r="16" spans="1:21" ht="29.25" customHeight="1" x14ac:dyDescent="0.25">
      <c r="A16" s="67" t="s">
        <v>75</v>
      </c>
      <c r="B16" s="18" t="s">
        <v>76</v>
      </c>
      <c r="C16" s="18" t="s">
        <v>77</v>
      </c>
      <c r="D16" s="19" t="s">
        <v>78</v>
      </c>
      <c r="E16" s="18" t="s">
        <v>79</v>
      </c>
      <c r="F16" s="24" t="s">
        <v>80</v>
      </c>
      <c r="G16" s="24" t="s">
        <v>81</v>
      </c>
      <c r="H16" s="18">
        <v>0.1</v>
      </c>
      <c r="I16" s="19" t="s">
        <v>82</v>
      </c>
      <c r="J16" s="19" t="s">
        <v>83</v>
      </c>
      <c r="K16" s="19" t="s">
        <v>31</v>
      </c>
      <c r="L16" s="19" t="s">
        <v>84</v>
      </c>
      <c r="M16" s="18">
        <v>36</v>
      </c>
      <c r="N16" s="20">
        <v>0</v>
      </c>
      <c r="O16" s="21">
        <v>45912</v>
      </c>
      <c r="P16" s="22" t="s">
        <v>85</v>
      </c>
      <c r="Q16" s="21">
        <f t="shared" si="0"/>
        <v>47008</v>
      </c>
      <c r="R16" s="72">
        <f t="shared" si="2"/>
        <v>46948</v>
      </c>
      <c r="S16" s="18" t="str">
        <f t="shared" ca="1" si="1"/>
        <v>CALIBRADO</v>
      </c>
      <c r="T16" s="18" t="s">
        <v>34</v>
      </c>
      <c r="U16" s="19"/>
    </row>
    <row r="17" spans="1:21" ht="29.25" customHeight="1" x14ac:dyDescent="0.25">
      <c r="A17" s="67"/>
      <c r="B17" s="18" t="s">
        <v>86</v>
      </c>
      <c r="C17" s="18"/>
      <c r="D17" s="19"/>
      <c r="E17" s="18"/>
      <c r="F17" s="24"/>
      <c r="G17" s="24"/>
      <c r="H17" s="18"/>
      <c r="I17" s="19"/>
      <c r="J17" s="19"/>
      <c r="K17" s="19"/>
      <c r="L17" s="19"/>
      <c r="M17" s="18"/>
      <c r="N17" s="20"/>
      <c r="O17" s="21"/>
      <c r="P17" s="22"/>
      <c r="Q17" s="21"/>
      <c r="R17" s="72"/>
      <c r="S17" s="18"/>
      <c r="T17" s="18"/>
      <c r="U17" s="19"/>
    </row>
    <row r="18" spans="1:21" ht="29.25" customHeight="1" x14ac:dyDescent="0.25">
      <c r="A18" s="67"/>
      <c r="B18" s="18" t="s">
        <v>87</v>
      </c>
      <c r="C18" s="18"/>
      <c r="D18" s="19"/>
      <c r="E18" s="18"/>
      <c r="F18" s="24"/>
      <c r="G18" s="24"/>
      <c r="H18" s="18"/>
      <c r="I18" s="19"/>
      <c r="J18" s="19"/>
      <c r="K18" s="19"/>
      <c r="L18" s="19"/>
      <c r="M18" s="18"/>
      <c r="N18" s="20"/>
      <c r="O18" s="21"/>
      <c r="P18" s="22"/>
      <c r="Q18" s="21"/>
      <c r="R18" s="72"/>
      <c r="S18" s="18"/>
      <c r="T18" s="18"/>
      <c r="U18" s="19"/>
    </row>
    <row r="19" spans="1:21" ht="29.25" customHeight="1" x14ac:dyDescent="0.25">
      <c r="A19" s="67" t="s">
        <v>88</v>
      </c>
      <c r="B19" s="18" t="s">
        <v>89</v>
      </c>
      <c r="C19" s="18" t="s">
        <v>90</v>
      </c>
      <c r="D19" s="19" t="s">
        <v>78</v>
      </c>
      <c r="E19" s="18" t="s">
        <v>91</v>
      </c>
      <c r="F19" s="24" t="s">
        <v>80</v>
      </c>
      <c r="G19" s="24" t="s">
        <v>81</v>
      </c>
      <c r="H19" s="18">
        <v>0.1</v>
      </c>
      <c r="I19" s="19" t="s">
        <v>92</v>
      </c>
      <c r="J19" s="19" t="s">
        <v>93</v>
      </c>
      <c r="K19" s="19" t="s">
        <v>31</v>
      </c>
      <c r="L19" s="19" t="s">
        <v>94</v>
      </c>
      <c r="M19" s="18">
        <v>24</v>
      </c>
      <c r="N19" s="20">
        <v>380000</v>
      </c>
      <c r="O19" s="21">
        <v>45567</v>
      </c>
      <c r="P19" s="22" t="s">
        <v>95</v>
      </c>
      <c r="Q19" s="21">
        <f>EDATE(O19,M19)</f>
        <v>46297</v>
      </c>
      <c r="R19" s="72">
        <f t="shared" si="2"/>
        <v>46237</v>
      </c>
      <c r="S19" s="18" t="str">
        <f t="shared" ca="1" si="1"/>
        <v>CALIBRADO</v>
      </c>
      <c r="T19" s="18" t="s">
        <v>34</v>
      </c>
      <c r="U19" s="19"/>
    </row>
    <row r="20" spans="1:21" ht="29.25" customHeight="1" x14ac:dyDescent="0.25">
      <c r="A20" s="67"/>
      <c r="B20" s="18" t="s">
        <v>96</v>
      </c>
      <c r="C20" s="18"/>
      <c r="D20" s="19"/>
      <c r="E20" s="18"/>
      <c r="F20" s="24"/>
      <c r="G20" s="24"/>
      <c r="H20" s="18"/>
      <c r="I20" s="19"/>
      <c r="J20" s="19"/>
      <c r="K20" s="19"/>
      <c r="L20" s="19"/>
      <c r="M20" s="18"/>
      <c r="N20" s="20"/>
      <c r="O20" s="21"/>
      <c r="P20" s="22"/>
      <c r="Q20" s="21"/>
      <c r="R20" s="72"/>
      <c r="S20" s="18"/>
      <c r="T20" s="18"/>
      <c r="U20" s="19"/>
    </row>
    <row r="21" spans="1:21" ht="29.25" customHeight="1" x14ac:dyDescent="0.25">
      <c r="A21" s="67" t="s">
        <v>97</v>
      </c>
      <c r="B21" s="18" t="s">
        <v>98</v>
      </c>
      <c r="C21" s="18" t="s">
        <v>99</v>
      </c>
      <c r="D21" s="19" t="s">
        <v>100</v>
      </c>
      <c r="E21" s="18" t="s">
        <v>101</v>
      </c>
      <c r="F21" s="24" t="s">
        <v>80</v>
      </c>
      <c r="G21" s="24" t="s">
        <v>81</v>
      </c>
      <c r="H21" s="18">
        <v>0.01</v>
      </c>
      <c r="I21" s="25" t="s">
        <v>102</v>
      </c>
      <c r="J21" s="19">
        <v>0.03</v>
      </c>
      <c r="K21" s="19" t="s">
        <v>31</v>
      </c>
      <c r="L21" s="25" t="s">
        <v>103</v>
      </c>
      <c r="M21" s="18" t="s">
        <v>104</v>
      </c>
      <c r="N21" s="20">
        <v>1038870</v>
      </c>
      <c r="O21" s="21">
        <v>46119</v>
      </c>
      <c r="P21" s="22" t="s">
        <v>95</v>
      </c>
      <c r="Q21" s="21" t="e">
        <f>EDATE(O21,M21)</f>
        <v>#VALUE!</v>
      </c>
      <c r="R21" s="72" t="e">
        <f t="shared" si="2"/>
        <v>#VALUE!</v>
      </c>
      <c r="S21" s="18" t="e">
        <f t="shared" ca="1" si="1"/>
        <v>#VALUE!</v>
      </c>
      <c r="T21" s="18" t="s">
        <v>34</v>
      </c>
      <c r="U21" s="19" t="s">
        <v>105</v>
      </c>
    </row>
    <row r="22" spans="1:21" ht="29.25" customHeight="1" x14ac:dyDescent="0.25">
      <c r="A22" s="67" t="s">
        <v>97</v>
      </c>
      <c r="B22" s="18" t="s">
        <v>98</v>
      </c>
      <c r="C22" s="18" t="s">
        <v>99</v>
      </c>
      <c r="D22" s="19" t="s">
        <v>100</v>
      </c>
      <c r="E22" s="18" t="s">
        <v>101</v>
      </c>
      <c r="F22" s="58" t="s">
        <v>106</v>
      </c>
      <c r="G22" s="24" t="s">
        <v>107</v>
      </c>
      <c r="H22" s="18">
        <v>0.1</v>
      </c>
      <c r="I22" s="19" t="s">
        <v>108</v>
      </c>
      <c r="J22" s="19">
        <v>0.03</v>
      </c>
      <c r="K22" s="19" t="s">
        <v>31</v>
      </c>
      <c r="L22" s="19" t="s">
        <v>109</v>
      </c>
      <c r="M22" s="18" t="s">
        <v>104</v>
      </c>
      <c r="N22" s="20">
        <v>724710</v>
      </c>
      <c r="O22" s="21">
        <v>46119</v>
      </c>
      <c r="P22" s="22" t="s">
        <v>95</v>
      </c>
      <c r="Q22" s="21" t="e">
        <f>EDATE(O22,M22)</f>
        <v>#VALUE!</v>
      </c>
      <c r="R22" s="72" t="e">
        <f t="shared" si="2"/>
        <v>#VALUE!</v>
      </c>
      <c r="S22" s="18" t="e">
        <f t="shared" ca="1" si="1"/>
        <v>#VALUE!</v>
      </c>
      <c r="T22" s="18" t="s">
        <v>34</v>
      </c>
      <c r="U22" s="19" t="s">
        <v>105</v>
      </c>
    </row>
    <row r="23" spans="1:21" ht="29.25" customHeight="1" x14ac:dyDescent="0.25">
      <c r="A23" s="67" t="s">
        <v>110</v>
      </c>
      <c r="B23" s="18" t="s">
        <v>111</v>
      </c>
      <c r="C23" s="18"/>
      <c r="D23" s="19"/>
      <c r="E23" s="18"/>
      <c r="F23" s="58"/>
      <c r="G23" s="24"/>
      <c r="H23" s="18"/>
      <c r="I23" s="19"/>
      <c r="J23" s="19"/>
      <c r="K23" s="19"/>
      <c r="L23" s="19"/>
      <c r="M23" s="18"/>
      <c r="N23" s="20"/>
      <c r="O23" s="21"/>
      <c r="P23" s="22"/>
      <c r="Q23" s="21"/>
      <c r="R23" s="72"/>
      <c r="S23" s="18"/>
      <c r="T23" s="18"/>
      <c r="U23" s="19"/>
    </row>
    <row r="24" spans="1:21" ht="29.25" customHeight="1" x14ac:dyDescent="0.25">
      <c r="A24" s="67" t="s">
        <v>112</v>
      </c>
      <c r="B24" s="18" t="s">
        <v>113</v>
      </c>
      <c r="C24" s="18" t="s">
        <v>114</v>
      </c>
      <c r="D24" s="19" t="s">
        <v>115</v>
      </c>
      <c r="E24" s="18" t="s">
        <v>116</v>
      </c>
      <c r="F24" s="24" t="s">
        <v>66</v>
      </c>
      <c r="G24" s="24" t="s">
        <v>67</v>
      </c>
      <c r="H24" s="18">
        <v>0.01</v>
      </c>
      <c r="I24" s="19" t="s">
        <v>117</v>
      </c>
      <c r="J24" s="19">
        <v>5.8E-5</v>
      </c>
      <c r="K24" s="19" t="s">
        <v>31</v>
      </c>
      <c r="L24" s="19" t="s">
        <v>117</v>
      </c>
      <c r="M24" s="18">
        <v>72</v>
      </c>
      <c r="N24" s="20">
        <v>469526</v>
      </c>
      <c r="O24" s="21">
        <v>46123</v>
      </c>
      <c r="P24" s="22" t="s">
        <v>65</v>
      </c>
      <c r="Q24" s="21">
        <f t="shared" ref="Q24:Q34" si="3">EDATE(O24,M24)</f>
        <v>48315</v>
      </c>
      <c r="R24" s="72">
        <f t="shared" si="2"/>
        <v>48255</v>
      </c>
      <c r="S24" s="18" t="str">
        <f t="shared" ca="1" si="1"/>
        <v>CALIBRADO</v>
      </c>
      <c r="T24" s="18" t="s">
        <v>34</v>
      </c>
      <c r="U24" s="19"/>
    </row>
    <row r="25" spans="1:21" ht="29.25" customHeight="1" x14ac:dyDescent="0.25">
      <c r="A25" s="67" t="s">
        <v>118</v>
      </c>
      <c r="B25" s="18" t="s">
        <v>119</v>
      </c>
      <c r="C25" s="18">
        <v>56036075</v>
      </c>
      <c r="D25" s="19" t="s">
        <v>120</v>
      </c>
      <c r="E25" s="18" t="s">
        <v>121</v>
      </c>
      <c r="F25" s="24" t="s">
        <v>122</v>
      </c>
      <c r="G25" s="24" t="s">
        <v>123</v>
      </c>
      <c r="H25" s="18">
        <v>0.1</v>
      </c>
      <c r="I25" s="19" t="s">
        <v>124</v>
      </c>
      <c r="J25" s="19">
        <v>0.05</v>
      </c>
      <c r="K25" s="19" t="s">
        <v>31</v>
      </c>
      <c r="L25" s="19">
        <v>48</v>
      </c>
      <c r="M25" s="18">
        <v>60</v>
      </c>
      <c r="N25" s="20">
        <v>450000</v>
      </c>
      <c r="O25" s="21">
        <v>45218</v>
      </c>
      <c r="P25" s="22" t="s">
        <v>125</v>
      </c>
      <c r="Q25" s="21">
        <f t="shared" si="3"/>
        <v>47045</v>
      </c>
      <c r="R25" s="72">
        <f t="shared" si="2"/>
        <v>46985</v>
      </c>
      <c r="S25" s="18" t="str">
        <f t="shared" ca="1" si="1"/>
        <v>CALIBRADO</v>
      </c>
      <c r="T25" s="18" t="s">
        <v>34</v>
      </c>
      <c r="U25" s="19"/>
    </row>
    <row r="26" spans="1:21" ht="29.25" customHeight="1" x14ac:dyDescent="0.25">
      <c r="A26" s="67" t="s">
        <v>49</v>
      </c>
      <c r="B26" s="18" t="s">
        <v>126</v>
      </c>
      <c r="C26" s="18">
        <v>94206</v>
      </c>
      <c r="D26" s="19" t="s">
        <v>26</v>
      </c>
      <c r="E26" s="19" t="s">
        <v>127</v>
      </c>
      <c r="F26" s="24" t="s">
        <v>28</v>
      </c>
      <c r="G26" s="24" t="s">
        <v>53</v>
      </c>
      <c r="H26" s="18">
        <v>0.01</v>
      </c>
      <c r="I26" s="19" t="s">
        <v>128</v>
      </c>
      <c r="J26" s="19">
        <v>0.01</v>
      </c>
      <c r="K26" s="19" t="s">
        <v>31</v>
      </c>
      <c r="L26" s="19" t="s">
        <v>32</v>
      </c>
      <c r="M26" s="18">
        <v>12</v>
      </c>
      <c r="N26" s="20">
        <v>179809</v>
      </c>
      <c r="O26" s="21">
        <v>46161</v>
      </c>
      <c r="P26" s="22" t="s">
        <v>55</v>
      </c>
      <c r="Q26" s="21">
        <f t="shared" si="3"/>
        <v>46526</v>
      </c>
      <c r="R26" s="72">
        <f t="shared" si="2"/>
        <v>46466</v>
      </c>
      <c r="S26" s="18" t="str">
        <f t="shared" ca="1" si="1"/>
        <v>CALIBRADO</v>
      </c>
      <c r="T26" s="18" t="s">
        <v>34</v>
      </c>
      <c r="U26" s="19"/>
    </row>
    <row r="27" spans="1:21" ht="29.25" customHeight="1" x14ac:dyDescent="0.25">
      <c r="A27" s="67" t="s">
        <v>129</v>
      </c>
      <c r="B27" s="18" t="s">
        <v>130</v>
      </c>
      <c r="C27" s="18" t="s">
        <v>131</v>
      </c>
      <c r="D27" s="19" t="s">
        <v>132</v>
      </c>
      <c r="E27" s="18" t="s">
        <v>133</v>
      </c>
      <c r="F27" s="24" t="s">
        <v>134</v>
      </c>
      <c r="G27" s="24" t="s">
        <v>135</v>
      </c>
      <c r="H27" s="18">
        <v>1E-3</v>
      </c>
      <c r="I27" s="19" t="s">
        <v>136</v>
      </c>
      <c r="J27" s="19">
        <v>0.06</v>
      </c>
      <c r="K27" s="19" t="s">
        <v>31</v>
      </c>
      <c r="L27" s="19" t="s">
        <v>32</v>
      </c>
      <c r="M27" s="60">
        <v>17</v>
      </c>
      <c r="N27" s="20">
        <v>0</v>
      </c>
      <c r="O27" s="21">
        <v>45924</v>
      </c>
      <c r="P27" s="22" t="s">
        <v>137</v>
      </c>
      <c r="Q27" s="21">
        <f t="shared" si="3"/>
        <v>46442</v>
      </c>
      <c r="R27" s="72">
        <f t="shared" si="2"/>
        <v>46382</v>
      </c>
      <c r="S27" s="18" t="str">
        <f t="shared" ca="1" si="1"/>
        <v>CALIBRADO</v>
      </c>
      <c r="T27" s="18" t="s">
        <v>34</v>
      </c>
      <c r="U27" s="19"/>
    </row>
    <row r="28" spans="1:21" ht="29.25" customHeight="1" x14ac:dyDescent="0.25">
      <c r="A28" s="67" t="s">
        <v>129</v>
      </c>
      <c r="B28" s="18" t="s">
        <v>138</v>
      </c>
      <c r="C28" s="18" t="s">
        <v>139</v>
      </c>
      <c r="D28" s="19" t="s">
        <v>140</v>
      </c>
      <c r="E28" s="18" t="s">
        <v>141</v>
      </c>
      <c r="F28" s="24" t="s">
        <v>134</v>
      </c>
      <c r="G28" s="18" t="s">
        <v>142</v>
      </c>
      <c r="H28" s="18">
        <v>1</v>
      </c>
      <c r="I28" s="19" t="s">
        <v>143</v>
      </c>
      <c r="J28" s="19">
        <v>0.06</v>
      </c>
      <c r="K28" s="19" t="s">
        <v>31</v>
      </c>
      <c r="L28" s="19" t="s">
        <v>144</v>
      </c>
      <c r="M28" s="18">
        <v>24</v>
      </c>
      <c r="N28" s="20">
        <v>195000</v>
      </c>
      <c r="O28" s="21">
        <v>45924</v>
      </c>
      <c r="P28" s="22" t="s">
        <v>137</v>
      </c>
      <c r="Q28" s="21">
        <f t="shared" si="3"/>
        <v>46654</v>
      </c>
      <c r="R28" s="72">
        <f t="shared" si="2"/>
        <v>46594</v>
      </c>
      <c r="S28" s="18" t="str">
        <f t="shared" ca="1" si="1"/>
        <v>CALIBRADO</v>
      </c>
      <c r="T28" s="18" t="s">
        <v>34</v>
      </c>
      <c r="U28" s="19"/>
    </row>
    <row r="29" spans="1:21" ht="29.25" customHeight="1" x14ac:dyDescent="0.25">
      <c r="A29" s="67" t="s">
        <v>145</v>
      </c>
      <c r="B29" s="18" t="s">
        <v>146</v>
      </c>
      <c r="C29" s="18" t="s">
        <v>147</v>
      </c>
      <c r="D29" s="19" t="s">
        <v>148</v>
      </c>
      <c r="E29" s="18" t="s">
        <v>149</v>
      </c>
      <c r="F29" s="19" t="s">
        <v>150</v>
      </c>
      <c r="G29" s="18" t="s">
        <v>151</v>
      </c>
      <c r="H29" s="18">
        <v>0.01</v>
      </c>
      <c r="I29" s="19" t="s">
        <v>152</v>
      </c>
      <c r="J29" s="19">
        <v>0.2</v>
      </c>
      <c r="K29" s="19" t="s">
        <v>31</v>
      </c>
      <c r="L29" s="19" t="s">
        <v>153</v>
      </c>
      <c r="M29" s="18">
        <v>72</v>
      </c>
      <c r="N29" s="20">
        <v>0</v>
      </c>
      <c r="O29" s="21">
        <v>44012</v>
      </c>
      <c r="P29" s="22" t="s">
        <v>154</v>
      </c>
      <c r="Q29" s="21">
        <f t="shared" si="3"/>
        <v>46203</v>
      </c>
      <c r="R29" s="72">
        <f t="shared" si="2"/>
        <v>46143</v>
      </c>
      <c r="S29" s="18" t="str">
        <f t="shared" ca="1" si="1"/>
        <v>VENCIDO</v>
      </c>
      <c r="T29" s="18" t="s">
        <v>34</v>
      </c>
      <c r="U29" s="19" t="s">
        <v>155</v>
      </c>
    </row>
    <row r="30" spans="1:21" ht="29.25" customHeight="1" x14ac:dyDescent="0.25">
      <c r="A30" s="67" t="s">
        <v>156</v>
      </c>
      <c r="B30" s="18" t="s">
        <v>157</v>
      </c>
      <c r="C30" s="18" t="s">
        <v>158</v>
      </c>
      <c r="D30" s="19" t="s">
        <v>159</v>
      </c>
      <c r="E30" s="18" t="s">
        <v>160</v>
      </c>
      <c r="F30" s="18" t="s">
        <v>161</v>
      </c>
      <c r="G30" s="18" t="s">
        <v>162</v>
      </c>
      <c r="H30" s="18">
        <v>1E-3</v>
      </c>
      <c r="I30" s="19" t="s">
        <v>163</v>
      </c>
      <c r="J30" s="19">
        <v>5.0000000000000001E-3</v>
      </c>
      <c r="K30" s="19" t="s">
        <v>31</v>
      </c>
      <c r="L30" s="19" t="s">
        <v>164</v>
      </c>
      <c r="M30" s="18">
        <v>28</v>
      </c>
      <c r="N30" s="20">
        <v>743096</v>
      </c>
      <c r="O30" s="21">
        <v>46083</v>
      </c>
      <c r="P30" s="22" t="s">
        <v>165</v>
      </c>
      <c r="Q30" s="21">
        <f t="shared" si="3"/>
        <v>46936</v>
      </c>
      <c r="R30" s="72">
        <f t="shared" si="2"/>
        <v>46876</v>
      </c>
      <c r="S30" s="18" t="str">
        <f t="shared" ca="1" si="1"/>
        <v>CALIBRADO</v>
      </c>
      <c r="T30" s="18" t="s">
        <v>34</v>
      </c>
      <c r="U30" s="19"/>
    </row>
    <row r="31" spans="1:21" ht="29.25" customHeight="1" x14ac:dyDescent="0.25">
      <c r="A31" s="67" t="s">
        <v>166</v>
      </c>
      <c r="B31" s="18" t="s">
        <v>167</v>
      </c>
      <c r="C31" s="18">
        <v>180815807</v>
      </c>
      <c r="D31" s="19" t="s">
        <v>115</v>
      </c>
      <c r="E31" s="18" t="s">
        <v>168</v>
      </c>
      <c r="F31" s="18" t="s">
        <v>80</v>
      </c>
      <c r="G31" s="18" t="s">
        <v>81</v>
      </c>
      <c r="H31" s="18">
        <v>0.1</v>
      </c>
      <c r="I31" s="25" t="s">
        <v>169</v>
      </c>
      <c r="J31" s="19">
        <v>1</v>
      </c>
      <c r="K31" s="19" t="s">
        <v>31</v>
      </c>
      <c r="L31" s="19" t="s">
        <v>170</v>
      </c>
      <c r="M31" s="18">
        <v>60</v>
      </c>
      <c r="N31" s="20">
        <v>595000</v>
      </c>
      <c r="O31" s="21">
        <v>46106</v>
      </c>
      <c r="P31" s="22" t="s">
        <v>171</v>
      </c>
      <c r="Q31" s="21">
        <f t="shared" si="3"/>
        <v>47932</v>
      </c>
      <c r="R31" s="72">
        <f t="shared" si="2"/>
        <v>47872</v>
      </c>
      <c r="S31" s="18" t="str">
        <f t="shared" ca="1" si="1"/>
        <v>CALIBRADO</v>
      </c>
      <c r="T31" s="18" t="s">
        <v>34</v>
      </c>
      <c r="U31" s="19" t="s">
        <v>155</v>
      </c>
    </row>
    <row r="32" spans="1:21" ht="29.25" customHeight="1" x14ac:dyDescent="0.25">
      <c r="A32" s="67" t="s">
        <v>166</v>
      </c>
      <c r="B32" s="18" t="s">
        <v>167</v>
      </c>
      <c r="C32" s="19">
        <v>180815807</v>
      </c>
      <c r="D32" s="19" t="s">
        <v>115</v>
      </c>
      <c r="E32" s="18" t="s">
        <v>168</v>
      </c>
      <c r="F32" s="19" t="s">
        <v>106</v>
      </c>
      <c r="G32" s="18" t="s">
        <v>172</v>
      </c>
      <c r="H32" s="18">
        <v>0.1</v>
      </c>
      <c r="I32" s="19" t="s">
        <v>173</v>
      </c>
      <c r="J32" s="19">
        <v>0.03</v>
      </c>
      <c r="K32" s="19" t="s">
        <v>31</v>
      </c>
      <c r="L32" s="19" t="s">
        <v>174</v>
      </c>
      <c r="M32" s="18">
        <v>60</v>
      </c>
      <c r="N32" s="20">
        <v>595000</v>
      </c>
      <c r="O32" s="21">
        <v>46098</v>
      </c>
      <c r="P32" s="22" t="s">
        <v>171</v>
      </c>
      <c r="Q32" s="21">
        <f t="shared" si="3"/>
        <v>47924</v>
      </c>
      <c r="R32" s="72">
        <f t="shared" si="2"/>
        <v>47864</v>
      </c>
      <c r="S32" s="18" t="str">
        <f t="shared" ca="1" si="1"/>
        <v>CALIBRADO</v>
      </c>
      <c r="T32" s="18" t="s">
        <v>34</v>
      </c>
      <c r="U32" s="19" t="s">
        <v>155</v>
      </c>
    </row>
    <row r="33" spans="1:21" ht="29.25" customHeight="1" x14ac:dyDescent="0.25">
      <c r="A33" s="67" t="s">
        <v>175</v>
      </c>
      <c r="B33" s="18" t="s">
        <v>176</v>
      </c>
      <c r="C33" s="19">
        <v>190010615</v>
      </c>
      <c r="D33" s="19" t="s">
        <v>177</v>
      </c>
      <c r="E33" s="18" t="s">
        <v>178</v>
      </c>
      <c r="F33" s="18" t="s">
        <v>179</v>
      </c>
      <c r="G33" s="18" t="s">
        <v>180</v>
      </c>
      <c r="H33" s="18">
        <v>0.01</v>
      </c>
      <c r="I33" s="19" t="s">
        <v>181</v>
      </c>
      <c r="J33" s="19">
        <v>0.01</v>
      </c>
      <c r="K33" s="19" t="s">
        <v>31</v>
      </c>
      <c r="L33" s="19" t="s">
        <v>181</v>
      </c>
      <c r="M33" s="18">
        <v>36</v>
      </c>
      <c r="N33" s="20">
        <v>273000</v>
      </c>
      <c r="O33" s="21">
        <v>45588</v>
      </c>
      <c r="P33" s="22" t="s">
        <v>95</v>
      </c>
      <c r="Q33" s="21">
        <f t="shared" si="3"/>
        <v>46683</v>
      </c>
      <c r="R33" s="72">
        <f t="shared" si="2"/>
        <v>46623</v>
      </c>
      <c r="S33" s="18" t="str">
        <f t="shared" ca="1" si="1"/>
        <v>CALIBRADO</v>
      </c>
      <c r="T33" s="18" t="s">
        <v>34</v>
      </c>
      <c r="U33" s="19"/>
    </row>
    <row r="34" spans="1:21" ht="29.25" customHeight="1" x14ac:dyDescent="0.25">
      <c r="A34" s="67" t="s">
        <v>182</v>
      </c>
      <c r="B34" s="18" t="s">
        <v>183</v>
      </c>
      <c r="C34" s="19" t="s">
        <v>99</v>
      </c>
      <c r="D34" s="19" t="s">
        <v>184</v>
      </c>
      <c r="E34" s="18" t="s">
        <v>185</v>
      </c>
      <c r="F34" s="18" t="s">
        <v>28</v>
      </c>
      <c r="G34" s="18" t="s">
        <v>53</v>
      </c>
      <c r="H34" s="18">
        <v>1</v>
      </c>
      <c r="I34" s="19" t="s">
        <v>186</v>
      </c>
      <c r="J34" s="19">
        <v>1</v>
      </c>
      <c r="K34" s="19" t="s">
        <v>31</v>
      </c>
      <c r="L34" s="19" t="s">
        <v>32</v>
      </c>
      <c r="M34" s="18">
        <v>30</v>
      </c>
      <c r="N34" s="20">
        <v>136900</v>
      </c>
      <c r="O34" s="21">
        <v>45217</v>
      </c>
      <c r="P34" s="22" t="s">
        <v>39</v>
      </c>
      <c r="Q34" s="21">
        <f t="shared" si="3"/>
        <v>46130</v>
      </c>
      <c r="R34" s="72">
        <f t="shared" si="2"/>
        <v>46070</v>
      </c>
      <c r="S34" s="18" t="str">
        <f t="shared" ca="1" si="1"/>
        <v>VENCIDO</v>
      </c>
      <c r="T34" s="18" t="s">
        <v>34</v>
      </c>
      <c r="U34" s="19" t="s">
        <v>187</v>
      </c>
    </row>
    <row r="35" spans="1:21" ht="29.25" customHeight="1" x14ac:dyDescent="0.25">
      <c r="A35" s="67"/>
      <c r="B35" s="18" t="s">
        <v>188</v>
      </c>
      <c r="C35" s="19"/>
      <c r="D35" s="19"/>
      <c r="E35" s="18"/>
      <c r="F35" s="18"/>
      <c r="G35" s="18"/>
      <c r="H35" s="18"/>
      <c r="I35" s="19"/>
      <c r="J35" s="19"/>
      <c r="K35" s="19"/>
      <c r="L35" s="19"/>
      <c r="M35" s="18"/>
      <c r="N35" s="20"/>
      <c r="O35" s="21"/>
      <c r="P35" s="22"/>
      <c r="Q35" s="21"/>
      <c r="R35" s="72"/>
      <c r="S35" s="18"/>
      <c r="T35" s="18"/>
      <c r="U35" s="19"/>
    </row>
    <row r="36" spans="1:21" ht="29.25" customHeight="1" x14ac:dyDescent="0.25">
      <c r="A36" s="67" t="s">
        <v>189</v>
      </c>
      <c r="B36" s="18" t="s">
        <v>190</v>
      </c>
      <c r="C36" s="19" t="s">
        <v>191</v>
      </c>
      <c r="D36" s="19" t="s">
        <v>192</v>
      </c>
      <c r="E36" s="18" t="s">
        <v>193</v>
      </c>
      <c r="F36" s="18" t="s">
        <v>61</v>
      </c>
      <c r="G36" s="18" t="s">
        <v>194</v>
      </c>
      <c r="H36" s="18">
        <v>1E-3</v>
      </c>
      <c r="I36" s="19" t="s">
        <v>195</v>
      </c>
      <c r="J36" s="19" t="s">
        <v>196</v>
      </c>
      <c r="K36" s="19" t="s">
        <v>31</v>
      </c>
      <c r="L36" s="19" t="s">
        <v>197</v>
      </c>
      <c r="M36" s="18">
        <v>30</v>
      </c>
      <c r="N36" s="20">
        <v>1045000</v>
      </c>
      <c r="O36" s="21">
        <v>45225</v>
      </c>
      <c r="P36" s="22" t="s">
        <v>65</v>
      </c>
      <c r="Q36" s="21">
        <f t="shared" ref="Q36:Q41" si="4">EDATE(O36,M36)</f>
        <v>46138</v>
      </c>
      <c r="R36" s="72">
        <f t="shared" si="2"/>
        <v>46078</v>
      </c>
      <c r="S36" s="18" t="str">
        <f t="shared" ca="1" si="1"/>
        <v>VENCIDO</v>
      </c>
      <c r="T36" s="18" t="s">
        <v>34</v>
      </c>
      <c r="U36" s="19" t="s">
        <v>198</v>
      </c>
    </row>
    <row r="37" spans="1:21" ht="29.25" customHeight="1" x14ac:dyDescent="0.25">
      <c r="A37" s="67" t="s">
        <v>189</v>
      </c>
      <c r="B37" s="18" t="s">
        <v>190</v>
      </c>
      <c r="C37" s="19" t="s">
        <v>191</v>
      </c>
      <c r="D37" s="19" t="s">
        <v>192</v>
      </c>
      <c r="E37" s="18" t="s">
        <v>193</v>
      </c>
      <c r="F37" s="18" t="s">
        <v>199</v>
      </c>
      <c r="G37" s="18" t="s">
        <v>200</v>
      </c>
      <c r="H37" s="18">
        <v>1.0000000000000001E-5</v>
      </c>
      <c r="I37" s="19" t="s">
        <v>195</v>
      </c>
      <c r="J37" s="19" t="s">
        <v>201</v>
      </c>
      <c r="K37" s="19" t="s">
        <v>31</v>
      </c>
      <c r="L37" s="19" t="s">
        <v>202</v>
      </c>
      <c r="M37" s="18">
        <v>30</v>
      </c>
      <c r="N37" s="20">
        <v>0</v>
      </c>
      <c r="O37" s="21">
        <v>45225</v>
      </c>
      <c r="P37" s="22" t="s">
        <v>65</v>
      </c>
      <c r="Q37" s="21">
        <f t="shared" si="4"/>
        <v>46138</v>
      </c>
      <c r="R37" s="72">
        <f t="shared" si="2"/>
        <v>46078</v>
      </c>
      <c r="S37" s="18" t="str">
        <f t="shared" ca="1" si="1"/>
        <v>VENCIDO</v>
      </c>
      <c r="T37" s="18" t="s">
        <v>34</v>
      </c>
      <c r="U37" s="19" t="s">
        <v>198</v>
      </c>
    </row>
    <row r="38" spans="1:21" ht="29.25" customHeight="1" x14ac:dyDescent="0.25">
      <c r="A38" s="67" t="s">
        <v>189</v>
      </c>
      <c r="B38" s="18" t="s">
        <v>190</v>
      </c>
      <c r="C38" s="19" t="s">
        <v>191</v>
      </c>
      <c r="D38" s="19" t="s">
        <v>192</v>
      </c>
      <c r="E38" s="18" t="s">
        <v>193</v>
      </c>
      <c r="F38" s="18" t="s">
        <v>203</v>
      </c>
      <c r="G38" s="61" t="s">
        <v>204</v>
      </c>
      <c r="H38" s="18">
        <v>1E-3</v>
      </c>
      <c r="I38" s="19" t="s">
        <v>195</v>
      </c>
      <c r="J38" s="19" t="s">
        <v>205</v>
      </c>
      <c r="K38" s="19" t="s">
        <v>31</v>
      </c>
      <c r="L38" s="19" t="s">
        <v>195</v>
      </c>
      <c r="M38" s="18">
        <v>30</v>
      </c>
      <c r="N38" s="20">
        <v>0</v>
      </c>
      <c r="O38" s="21">
        <v>45225</v>
      </c>
      <c r="P38" s="22" t="s">
        <v>65</v>
      </c>
      <c r="Q38" s="21">
        <f t="shared" si="4"/>
        <v>46138</v>
      </c>
      <c r="R38" s="72">
        <f t="shared" si="2"/>
        <v>46078</v>
      </c>
      <c r="S38" s="18" t="str">
        <f t="shared" ref="S38:S86" ca="1" si="5">IF(TODAY()&gt;Q38,"VENCIDO",IF(AND(TODAY()&gt;R38,TODAY()&lt;Q38),"PROGRAMADO",IF(AND(TODAY()&gt;O38,TODAY()&lt;=Q38),"CALIBRADO",0)))</f>
        <v>VENCIDO</v>
      </c>
      <c r="T38" s="18" t="s">
        <v>34</v>
      </c>
      <c r="U38" s="19" t="s">
        <v>198</v>
      </c>
    </row>
    <row r="39" spans="1:21" ht="29.25" customHeight="1" x14ac:dyDescent="0.25">
      <c r="A39" s="67" t="s">
        <v>189</v>
      </c>
      <c r="B39" s="18" t="s">
        <v>190</v>
      </c>
      <c r="C39" s="19" t="s">
        <v>191</v>
      </c>
      <c r="D39" s="19" t="s">
        <v>192</v>
      </c>
      <c r="E39" s="18" t="s">
        <v>193</v>
      </c>
      <c r="F39" s="18" t="s">
        <v>206</v>
      </c>
      <c r="G39" s="18" t="s">
        <v>207</v>
      </c>
      <c r="H39" s="18">
        <v>1E-3</v>
      </c>
      <c r="I39" s="19" t="s">
        <v>195</v>
      </c>
      <c r="J39" s="19">
        <v>2.0000000000000001E-4</v>
      </c>
      <c r="K39" s="19" t="s">
        <v>31</v>
      </c>
      <c r="L39" s="19" t="s">
        <v>195</v>
      </c>
      <c r="M39" s="18">
        <v>30</v>
      </c>
      <c r="N39" s="20">
        <v>0</v>
      </c>
      <c r="O39" s="21">
        <v>45225</v>
      </c>
      <c r="P39" s="22" t="s">
        <v>65</v>
      </c>
      <c r="Q39" s="21">
        <f t="shared" si="4"/>
        <v>46138</v>
      </c>
      <c r="R39" s="72">
        <f t="shared" si="2"/>
        <v>46078</v>
      </c>
      <c r="S39" s="18" t="str">
        <f t="shared" ca="1" si="5"/>
        <v>VENCIDO</v>
      </c>
      <c r="T39" s="18" t="s">
        <v>34</v>
      </c>
      <c r="U39" s="19" t="s">
        <v>198</v>
      </c>
    </row>
    <row r="40" spans="1:21" ht="29.25" customHeight="1" x14ac:dyDescent="0.25">
      <c r="A40" s="67" t="s">
        <v>208</v>
      </c>
      <c r="B40" s="18" t="s">
        <v>209</v>
      </c>
      <c r="C40" s="19" t="s">
        <v>210</v>
      </c>
      <c r="D40" s="19" t="s">
        <v>59</v>
      </c>
      <c r="E40" s="18" t="s">
        <v>211</v>
      </c>
      <c r="F40" s="18" t="s">
        <v>61</v>
      </c>
      <c r="G40" s="18" t="s">
        <v>194</v>
      </c>
      <c r="H40" s="18">
        <v>0.1</v>
      </c>
      <c r="I40" s="19" t="s">
        <v>212</v>
      </c>
      <c r="J40" s="19" t="s">
        <v>213</v>
      </c>
      <c r="K40" s="19" t="s">
        <v>31</v>
      </c>
      <c r="L40" s="19" t="s">
        <v>212</v>
      </c>
      <c r="M40" s="18">
        <v>40</v>
      </c>
      <c r="N40" s="20">
        <v>0</v>
      </c>
      <c r="O40" s="21">
        <v>45229</v>
      </c>
      <c r="P40" s="22" t="s">
        <v>65</v>
      </c>
      <c r="Q40" s="21">
        <f t="shared" si="4"/>
        <v>46446</v>
      </c>
      <c r="R40" s="72">
        <f t="shared" si="2"/>
        <v>46386</v>
      </c>
      <c r="S40" s="18" t="str">
        <f t="shared" ca="1" si="5"/>
        <v>CALIBRADO</v>
      </c>
      <c r="T40" s="18" t="s">
        <v>34</v>
      </c>
      <c r="U40" s="19"/>
    </row>
    <row r="41" spans="1:21" ht="29.25" customHeight="1" x14ac:dyDescent="0.25">
      <c r="A41" s="67" t="s">
        <v>208</v>
      </c>
      <c r="B41" s="18" t="s">
        <v>209</v>
      </c>
      <c r="C41" s="19" t="s">
        <v>210</v>
      </c>
      <c r="D41" s="19" t="s">
        <v>59</v>
      </c>
      <c r="E41" s="18" t="s">
        <v>211</v>
      </c>
      <c r="F41" s="18" t="s">
        <v>203</v>
      </c>
      <c r="G41" s="18" t="s">
        <v>204</v>
      </c>
      <c r="H41" s="18">
        <v>1E-3</v>
      </c>
      <c r="I41" s="19" t="s">
        <v>214</v>
      </c>
      <c r="J41" s="19" t="s">
        <v>215</v>
      </c>
      <c r="K41" s="19" t="s">
        <v>31</v>
      </c>
      <c r="L41" s="19" t="s">
        <v>216</v>
      </c>
      <c r="M41" s="18">
        <v>40</v>
      </c>
      <c r="N41" s="20">
        <v>0</v>
      </c>
      <c r="O41" s="21">
        <v>45224</v>
      </c>
      <c r="P41" s="22" t="s">
        <v>65</v>
      </c>
      <c r="Q41" s="21">
        <f t="shared" si="4"/>
        <v>46443</v>
      </c>
      <c r="R41" s="72">
        <f t="shared" si="2"/>
        <v>46383</v>
      </c>
      <c r="S41" s="18" t="str">
        <f t="shared" ca="1" si="5"/>
        <v>CALIBRADO</v>
      </c>
      <c r="T41" s="18" t="s">
        <v>34</v>
      </c>
      <c r="U41" s="19"/>
    </row>
    <row r="42" spans="1:21" ht="29.25" customHeight="1" x14ac:dyDescent="0.25">
      <c r="A42" s="67"/>
      <c r="B42" s="18" t="s">
        <v>217</v>
      </c>
      <c r="C42" s="19"/>
      <c r="D42" s="19"/>
      <c r="E42" s="18"/>
      <c r="F42" s="18"/>
      <c r="G42" s="18"/>
      <c r="H42" s="18"/>
      <c r="I42" s="19"/>
      <c r="J42" s="19"/>
      <c r="K42" s="19"/>
      <c r="L42" s="19"/>
      <c r="M42" s="18"/>
      <c r="N42" s="20"/>
      <c r="O42" s="21"/>
      <c r="P42" s="22"/>
      <c r="Q42" s="21"/>
      <c r="R42" s="72"/>
      <c r="S42" s="18"/>
      <c r="T42" s="18"/>
      <c r="U42" s="19"/>
    </row>
    <row r="43" spans="1:21" ht="29.25" customHeight="1" x14ac:dyDescent="0.25">
      <c r="A43" s="67" t="s">
        <v>218</v>
      </c>
      <c r="B43" s="18" t="s">
        <v>219</v>
      </c>
      <c r="C43" s="19" t="s">
        <v>220</v>
      </c>
      <c r="D43" s="19" t="s">
        <v>59</v>
      </c>
      <c r="E43" s="18">
        <v>6210</v>
      </c>
      <c r="F43" s="18" t="s">
        <v>203</v>
      </c>
      <c r="G43" s="18" t="s">
        <v>204</v>
      </c>
      <c r="H43" s="18">
        <v>1E-3</v>
      </c>
      <c r="I43" s="19" t="s">
        <v>221</v>
      </c>
      <c r="J43" s="19" t="s">
        <v>222</v>
      </c>
      <c r="K43" s="19" t="s">
        <v>31</v>
      </c>
      <c r="L43" s="19" t="s">
        <v>223</v>
      </c>
      <c r="M43" s="18">
        <v>66</v>
      </c>
      <c r="N43" s="20">
        <v>676117</v>
      </c>
      <c r="O43" s="21">
        <v>46121</v>
      </c>
      <c r="P43" s="22" t="s">
        <v>65</v>
      </c>
      <c r="Q43" s="21">
        <f>EDATE(O43,M43)</f>
        <v>48130</v>
      </c>
      <c r="R43" s="72">
        <f t="shared" si="2"/>
        <v>48070</v>
      </c>
      <c r="S43" s="18" t="str">
        <f t="shared" ca="1" si="5"/>
        <v>CALIBRADO</v>
      </c>
      <c r="T43" s="18" t="s">
        <v>34</v>
      </c>
      <c r="U43" s="19"/>
    </row>
    <row r="44" spans="1:21" ht="29.25" customHeight="1" x14ac:dyDescent="0.25">
      <c r="A44" s="67" t="s">
        <v>218</v>
      </c>
      <c r="B44" s="18" t="s">
        <v>219</v>
      </c>
      <c r="C44" s="19" t="s">
        <v>220</v>
      </c>
      <c r="D44" s="19" t="s">
        <v>59</v>
      </c>
      <c r="E44" s="18">
        <v>6210</v>
      </c>
      <c r="F44" s="18" t="s">
        <v>199</v>
      </c>
      <c r="G44" s="18" t="s">
        <v>200</v>
      </c>
      <c r="H44" s="18">
        <v>0.1</v>
      </c>
      <c r="I44" s="19" t="s">
        <v>224</v>
      </c>
      <c r="J44" s="19" t="s">
        <v>225</v>
      </c>
      <c r="K44" s="19" t="s">
        <v>31</v>
      </c>
      <c r="L44" s="19" t="s">
        <v>224</v>
      </c>
      <c r="M44" s="18">
        <v>66</v>
      </c>
      <c r="N44" s="20">
        <v>1173815</v>
      </c>
      <c r="O44" s="21">
        <v>46120</v>
      </c>
      <c r="P44" s="22" t="s">
        <v>65</v>
      </c>
      <c r="Q44" s="21">
        <f>EDATE(O44,M44)</f>
        <v>48129</v>
      </c>
      <c r="R44" s="72">
        <f t="shared" si="2"/>
        <v>48069</v>
      </c>
      <c r="S44" s="18" t="str">
        <f t="shared" ca="1" si="5"/>
        <v>CALIBRADO</v>
      </c>
      <c r="T44" s="18" t="s">
        <v>34</v>
      </c>
      <c r="U44" s="19"/>
    </row>
    <row r="45" spans="1:21" ht="29.25" customHeight="1" x14ac:dyDescent="0.25">
      <c r="A45" s="67" t="s">
        <v>218</v>
      </c>
      <c r="B45" s="18" t="s">
        <v>219</v>
      </c>
      <c r="C45" s="19" t="s">
        <v>220</v>
      </c>
      <c r="D45" s="19" t="s">
        <v>59</v>
      </c>
      <c r="E45" s="18">
        <v>6210</v>
      </c>
      <c r="F45" s="18" t="s">
        <v>61</v>
      </c>
      <c r="G45" s="18" t="s">
        <v>194</v>
      </c>
      <c r="H45" s="18">
        <v>0.01</v>
      </c>
      <c r="I45" s="19" t="s">
        <v>226</v>
      </c>
      <c r="J45" s="19" t="s">
        <v>227</v>
      </c>
      <c r="K45" s="19" t="s">
        <v>31</v>
      </c>
      <c r="L45" s="19" t="s">
        <v>228</v>
      </c>
      <c r="M45" s="18">
        <v>36</v>
      </c>
      <c r="N45" s="20">
        <v>375620</v>
      </c>
      <c r="O45" s="21">
        <v>46121</v>
      </c>
      <c r="P45" s="22" t="s">
        <v>65</v>
      </c>
      <c r="Q45" s="21">
        <f>EDATE(O45,M45)</f>
        <v>47217</v>
      </c>
      <c r="R45" s="72">
        <f t="shared" si="2"/>
        <v>47157</v>
      </c>
      <c r="S45" s="18" t="str">
        <f t="shared" ca="1" si="5"/>
        <v>CALIBRADO</v>
      </c>
      <c r="T45" s="18" t="s">
        <v>34</v>
      </c>
      <c r="U45" s="19"/>
    </row>
    <row r="46" spans="1:21" ht="29.25" customHeight="1" x14ac:dyDescent="0.25">
      <c r="A46" s="67" t="s">
        <v>229</v>
      </c>
      <c r="B46" s="18" t="s">
        <v>230</v>
      </c>
      <c r="C46" s="19"/>
      <c r="D46" s="19"/>
      <c r="E46" s="18"/>
      <c r="F46" s="18"/>
      <c r="G46" s="18"/>
      <c r="H46" s="18"/>
      <c r="I46" s="19"/>
      <c r="J46" s="19"/>
      <c r="K46" s="19"/>
      <c r="L46" s="19"/>
      <c r="M46" s="18"/>
      <c r="N46" s="20"/>
      <c r="O46" s="21"/>
      <c r="P46" s="22"/>
      <c r="Q46" s="21"/>
      <c r="R46" s="72"/>
      <c r="S46" s="18"/>
      <c r="T46" s="18"/>
      <c r="U46" s="19"/>
    </row>
    <row r="47" spans="1:21" ht="29.25" customHeight="1" x14ac:dyDescent="0.25">
      <c r="A47" s="67" t="s">
        <v>231</v>
      </c>
      <c r="B47" s="18" t="s">
        <v>232</v>
      </c>
      <c r="C47" s="19"/>
      <c r="D47" s="19"/>
      <c r="E47" s="18"/>
      <c r="F47" s="18"/>
      <c r="G47" s="18"/>
      <c r="H47" s="18"/>
      <c r="I47" s="19"/>
      <c r="J47" s="19"/>
      <c r="K47" s="19"/>
      <c r="L47" s="19"/>
      <c r="M47" s="18"/>
      <c r="N47" s="20"/>
      <c r="O47" s="21"/>
      <c r="P47" s="22"/>
      <c r="Q47" s="21"/>
      <c r="R47" s="72"/>
      <c r="S47" s="18"/>
      <c r="T47" s="18"/>
      <c r="U47" s="19"/>
    </row>
    <row r="48" spans="1:21" ht="29.25" customHeight="1" x14ac:dyDescent="0.25">
      <c r="A48" s="67" t="s">
        <v>233</v>
      </c>
      <c r="B48" s="18" t="s">
        <v>234</v>
      </c>
      <c r="C48" s="19"/>
      <c r="D48" s="19"/>
      <c r="E48" s="18"/>
      <c r="F48" s="18"/>
      <c r="G48" s="18"/>
      <c r="H48" s="18"/>
      <c r="I48" s="19"/>
      <c r="J48" s="19"/>
      <c r="K48" s="19"/>
      <c r="L48" s="19"/>
      <c r="M48" s="18"/>
      <c r="N48" s="20"/>
      <c r="O48" s="21"/>
      <c r="P48" s="22"/>
      <c r="Q48" s="21"/>
      <c r="R48" s="72"/>
      <c r="S48" s="18"/>
      <c r="T48" s="18"/>
      <c r="U48" s="19"/>
    </row>
    <row r="49" spans="1:21" ht="29.25" customHeight="1" x14ac:dyDescent="0.25">
      <c r="A49" s="67"/>
      <c r="B49" s="18" t="s">
        <v>235</v>
      </c>
      <c r="C49" s="19"/>
      <c r="D49" s="19"/>
      <c r="E49" s="18"/>
      <c r="F49" s="18"/>
      <c r="G49" s="18"/>
      <c r="H49" s="18"/>
      <c r="I49" s="19"/>
      <c r="J49" s="19"/>
      <c r="K49" s="19"/>
      <c r="L49" s="19"/>
      <c r="M49" s="18"/>
      <c r="N49" s="20"/>
      <c r="O49" s="21"/>
      <c r="P49" s="22"/>
      <c r="Q49" s="21"/>
      <c r="R49" s="72"/>
      <c r="S49" s="18"/>
      <c r="T49" s="18"/>
      <c r="U49" s="19"/>
    </row>
    <row r="50" spans="1:21" ht="29.25" customHeight="1" x14ac:dyDescent="0.25">
      <c r="A50" s="68" t="s">
        <v>236</v>
      </c>
      <c r="B50" s="46" t="s">
        <v>237</v>
      </c>
      <c r="C50" s="47" t="s">
        <v>238</v>
      </c>
      <c r="D50" s="47" t="s">
        <v>239</v>
      </c>
      <c r="E50" s="46" t="s">
        <v>240</v>
      </c>
      <c r="F50" s="46" t="s">
        <v>199</v>
      </c>
      <c r="G50" s="46" t="s">
        <v>200</v>
      </c>
      <c r="H50" s="46">
        <v>0.1</v>
      </c>
      <c r="I50" s="47" t="s">
        <v>241</v>
      </c>
      <c r="J50" s="47" t="s">
        <v>242</v>
      </c>
      <c r="K50" s="47" t="s">
        <v>31</v>
      </c>
      <c r="L50" s="47" t="s">
        <v>241</v>
      </c>
      <c r="M50" s="46">
        <v>36</v>
      </c>
      <c r="N50" s="48">
        <v>0</v>
      </c>
      <c r="O50" s="49">
        <v>45238</v>
      </c>
      <c r="P50" s="50" t="s">
        <v>65</v>
      </c>
      <c r="Q50" s="49">
        <f>EDATE(O50,M50)</f>
        <v>46334</v>
      </c>
      <c r="R50" s="72">
        <f t="shared" si="2"/>
        <v>46274</v>
      </c>
      <c r="S50" s="18" t="str">
        <f t="shared" ca="1" si="5"/>
        <v>CALIBRADO</v>
      </c>
      <c r="T50" s="46" t="s">
        <v>34</v>
      </c>
      <c r="U50" s="47"/>
    </row>
    <row r="51" spans="1:21" ht="29.25" customHeight="1" x14ac:dyDescent="0.25">
      <c r="A51" s="68" t="s">
        <v>236</v>
      </c>
      <c r="B51" s="46" t="s">
        <v>237</v>
      </c>
      <c r="C51" s="47" t="s">
        <v>238</v>
      </c>
      <c r="D51" s="47" t="s">
        <v>239</v>
      </c>
      <c r="E51" s="46" t="s">
        <v>240</v>
      </c>
      <c r="F51" s="46" t="s">
        <v>243</v>
      </c>
      <c r="G51" s="46" t="s">
        <v>244</v>
      </c>
      <c r="H51" s="46">
        <v>1E-3</v>
      </c>
      <c r="I51" s="47" t="s">
        <v>245</v>
      </c>
      <c r="J51" s="47" t="s">
        <v>246</v>
      </c>
      <c r="K51" s="47" t="s">
        <v>31</v>
      </c>
      <c r="L51" s="47" t="s">
        <v>245</v>
      </c>
      <c r="M51" s="46">
        <v>36</v>
      </c>
      <c r="N51" s="48">
        <v>0</v>
      </c>
      <c r="O51" s="49">
        <v>45237</v>
      </c>
      <c r="P51" s="50" t="s">
        <v>65</v>
      </c>
      <c r="Q51" s="49">
        <f>EDATE(O51,M51)</f>
        <v>46333</v>
      </c>
      <c r="R51" s="72">
        <f t="shared" si="2"/>
        <v>46273</v>
      </c>
      <c r="S51" s="18" t="str">
        <f t="shared" ca="1" si="5"/>
        <v>CALIBRADO</v>
      </c>
      <c r="T51" s="46" t="s">
        <v>34</v>
      </c>
      <c r="U51" s="47"/>
    </row>
    <row r="52" spans="1:21" ht="29.25" customHeight="1" x14ac:dyDescent="0.25">
      <c r="A52" s="68" t="s">
        <v>236</v>
      </c>
      <c r="B52" s="46" t="s">
        <v>237</v>
      </c>
      <c r="C52" s="47" t="s">
        <v>238</v>
      </c>
      <c r="D52" s="47" t="s">
        <v>239</v>
      </c>
      <c r="E52" s="46" t="s">
        <v>240</v>
      </c>
      <c r="F52" s="46" t="s">
        <v>247</v>
      </c>
      <c r="G52" s="46" t="s">
        <v>248</v>
      </c>
      <c r="H52" s="46">
        <v>1E-3</v>
      </c>
      <c r="I52" s="47" t="s">
        <v>249</v>
      </c>
      <c r="J52" s="47" t="s">
        <v>242</v>
      </c>
      <c r="K52" s="47" t="s">
        <v>31</v>
      </c>
      <c r="L52" s="47" t="s">
        <v>249</v>
      </c>
      <c r="M52" s="46">
        <v>36</v>
      </c>
      <c r="N52" s="48">
        <v>350000</v>
      </c>
      <c r="O52" s="49">
        <v>45237</v>
      </c>
      <c r="P52" s="50" t="s">
        <v>65</v>
      </c>
      <c r="Q52" s="49">
        <f>EDATE(O52,M52)</f>
        <v>46333</v>
      </c>
      <c r="R52" s="72">
        <f t="shared" si="2"/>
        <v>46273</v>
      </c>
      <c r="S52" s="18" t="str">
        <f t="shared" ca="1" si="5"/>
        <v>CALIBRADO</v>
      </c>
      <c r="T52" s="46" t="s">
        <v>34</v>
      </c>
      <c r="U52" s="47"/>
    </row>
    <row r="53" spans="1:21" ht="29.25" customHeight="1" x14ac:dyDescent="0.25">
      <c r="A53" s="68" t="s">
        <v>236</v>
      </c>
      <c r="B53" s="46" t="s">
        <v>237</v>
      </c>
      <c r="C53" s="47" t="s">
        <v>238</v>
      </c>
      <c r="D53" s="47" t="s">
        <v>239</v>
      </c>
      <c r="E53" s="46" t="s">
        <v>240</v>
      </c>
      <c r="F53" s="47" t="s">
        <v>250</v>
      </c>
      <c r="G53" s="46" t="s">
        <v>251</v>
      </c>
      <c r="H53" s="46">
        <v>1E-3</v>
      </c>
      <c r="I53" s="47" t="s">
        <v>252</v>
      </c>
      <c r="J53" s="47" t="s">
        <v>242</v>
      </c>
      <c r="K53" s="47" t="s">
        <v>31</v>
      </c>
      <c r="L53" s="47" t="s">
        <v>252</v>
      </c>
      <c r="M53" s="46">
        <v>66</v>
      </c>
      <c r="N53" s="48">
        <v>831916</v>
      </c>
      <c r="O53" s="49">
        <v>44315</v>
      </c>
      <c r="P53" s="50" t="s">
        <v>253</v>
      </c>
      <c r="Q53" s="49">
        <f>EDATE(O53,M53)</f>
        <v>46324</v>
      </c>
      <c r="R53" s="72">
        <f t="shared" si="2"/>
        <v>46264</v>
      </c>
      <c r="S53" s="18" t="str">
        <f t="shared" ca="1" si="5"/>
        <v>CALIBRADO</v>
      </c>
      <c r="T53" s="46" t="s">
        <v>34</v>
      </c>
      <c r="U53" s="47"/>
    </row>
    <row r="54" spans="1:21" ht="29.25" customHeight="1" x14ac:dyDescent="0.25">
      <c r="A54" s="68" t="s">
        <v>236</v>
      </c>
      <c r="B54" s="46" t="s">
        <v>237</v>
      </c>
      <c r="C54" s="47" t="s">
        <v>238</v>
      </c>
      <c r="D54" s="47" t="s">
        <v>239</v>
      </c>
      <c r="E54" s="46" t="s">
        <v>240</v>
      </c>
      <c r="F54" s="47" t="s">
        <v>254</v>
      </c>
      <c r="G54" s="46" t="s">
        <v>255</v>
      </c>
      <c r="H54" s="46">
        <v>1E-3</v>
      </c>
      <c r="I54" s="47" t="s">
        <v>256</v>
      </c>
      <c r="J54" s="47" t="s">
        <v>242</v>
      </c>
      <c r="K54" s="47" t="s">
        <v>31</v>
      </c>
      <c r="L54" s="47" t="s">
        <v>256</v>
      </c>
      <c r="M54" s="46">
        <v>66</v>
      </c>
      <c r="N54" s="48">
        <v>5756444.8200000003</v>
      </c>
      <c r="O54" s="49">
        <v>44315</v>
      </c>
      <c r="P54" s="50" t="s">
        <v>257</v>
      </c>
      <c r="Q54" s="49">
        <f>EDATE(O54,M54)</f>
        <v>46324</v>
      </c>
      <c r="R54" s="72">
        <f t="shared" si="2"/>
        <v>46264</v>
      </c>
      <c r="S54" s="18" t="str">
        <f t="shared" ca="1" si="5"/>
        <v>CALIBRADO</v>
      </c>
      <c r="T54" s="46" t="s">
        <v>34</v>
      </c>
      <c r="U54" s="47"/>
    </row>
    <row r="55" spans="1:21" ht="29.25" customHeight="1" x14ac:dyDescent="0.25">
      <c r="A55" s="68" t="s">
        <v>258</v>
      </c>
      <c r="B55" s="46" t="s">
        <v>259</v>
      </c>
      <c r="C55" s="47"/>
      <c r="D55" s="47"/>
      <c r="E55" s="46"/>
      <c r="F55" s="47"/>
      <c r="G55" s="46"/>
      <c r="H55" s="46"/>
      <c r="I55" s="47"/>
      <c r="J55" s="47"/>
      <c r="K55" s="47"/>
      <c r="L55" s="47"/>
      <c r="M55" s="46"/>
      <c r="N55" s="48"/>
      <c r="O55" s="49"/>
      <c r="P55" s="50"/>
      <c r="Q55" s="49"/>
      <c r="R55" s="72"/>
      <c r="S55" s="18"/>
      <c r="T55" s="46"/>
      <c r="U55" s="47"/>
    </row>
    <row r="56" spans="1:21" ht="29.25" customHeight="1" x14ac:dyDescent="0.25">
      <c r="A56" s="68" t="s">
        <v>260</v>
      </c>
      <c r="B56" s="46" t="s">
        <v>261</v>
      </c>
      <c r="C56" s="47"/>
      <c r="D56" s="47"/>
      <c r="E56" s="46"/>
      <c r="F56" s="47"/>
      <c r="G56" s="46"/>
      <c r="H56" s="46"/>
      <c r="I56" s="47"/>
      <c r="J56" s="47"/>
      <c r="K56" s="47"/>
      <c r="L56" s="47"/>
      <c r="M56" s="46"/>
      <c r="N56" s="48"/>
      <c r="O56" s="49"/>
      <c r="P56" s="50"/>
      <c r="Q56" s="49"/>
      <c r="R56" s="72"/>
      <c r="S56" s="18"/>
      <c r="T56" s="46"/>
      <c r="U56" s="47"/>
    </row>
    <row r="57" spans="1:21" ht="29.25" customHeight="1" x14ac:dyDescent="0.25">
      <c r="A57" s="68" t="s">
        <v>262</v>
      </c>
      <c r="B57" s="46" t="s">
        <v>263</v>
      </c>
      <c r="C57" s="47"/>
      <c r="D57" s="47"/>
      <c r="E57" s="46"/>
      <c r="F57" s="47"/>
      <c r="G57" s="46"/>
      <c r="H57" s="46"/>
      <c r="I57" s="47"/>
      <c r="J57" s="47"/>
      <c r="K57" s="47"/>
      <c r="L57" s="47"/>
      <c r="M57" s="46"/>
      <c r="N57" s="48"/>
      <c r="O57" s="49"/>
      <c r="P57" s="50"/>
      <c r="Q57" s="49"/>
      <c r="R57" s="72"/>
      <c r="S57" s="18"/>
      <c r="T57" s="46"/>
      <c r="U57" s="47"/>
    </row>
    <row r="58" spans="1:21" ht="29.25" customHeight="1" x14ac:dyDescent="0.25">
      <c r="A58" s="68" t="s">
        <v>264</v>
      </c>
      <c r="B58" s="46" t="s">
        <v>265</v>
      </c>
      <c r="C58" s="47"/>
      <c r="D58" s="47"/>
      <c r="E58" s="46"/>
      <c r="F58" s="47"/>
      <c r="G58" s="46"/>
      <c r="H58" s="46"/>
      <c r="I58" s="47"/>
      <c r="J58" s="47"/>
      <c r="K58" s="47"/>
      <c r="L58" s="47"/>
      <c r="M58" s="46"/>
      <c r="N58" s="48"/>
      <c r="O58" s="49"/>
      <c r="P58" s="50"/>
      <c r="Q58" s="49"/>
      <c r="R58" s="72"/>
      <c r="S58" s="18"/>
      <c r="T58" s="46"/>
      <c r="U58" s="47"/>
    </row>
    <row r="59" spans="1:21" ht="29.25" customHeight="1" x14ac:dyDescent="0.25">
      <c r="A59" s="68" t="s">
        <v>264</v>
      </c>
      <c r="B59" s="46" t="s">
        <v>266</v>
      </c>
      <c r="C59" s="47"/>
      <c r="D59" s="47"/>
      <c r="E59" s="46"/>
      <c r="F59" s="47"/>
      <c r="G59" s="46"/>
      <c r="H59" s="46"/>
      <c r="I59" s="47"/>
      <c r="J59" s="47"/>
      <c r="K59" s="47"/>
      <c r="L59" s="47"/>
      <c r="M59" s="46"/>
      <c r="N59" s="48"/>
      <c r="O59" s="49"/>
      <c r="P59" s="50"/>
      <c r="Q59" s="49"/>
      <c r="R59" s="72"/>
      <c r="S59" s="18"/>
      <c r="T59" s="46"/>
      <c r="U59" s="47"/>
    </row>
    <row r="60" spans="1:21" ht="29.25" customHeight="1" x14ac:dyDescent="0.25">
      <c r="A60" s="68"/>
      <c r="B60" s="46">
        <v>42</v>
      </c>
      <c r="C60" s="47"/>
      <c r="D60" s="47"/>
      <c r="E60" s="46"/>
      <c r="F60" s="47"/>
      <c r="G60" s="46"/>
      <c r="H60" s="46"/>
      <c r="I60" s="47"/>
      <c r="J60" s="47"/>
      <c r="K60" s="47"/>
      <c r="L60" s="47"/>
      <c r="M60" s="46"/>
      <c r="N60" s="48"/>
      <c r="O60" s="49"/>
      <c r="P60" s="50"/>
      <c r="Q60" s="49"/>
      <c r="R60" s="72"/>
      <c r="S60" s="18"/>
      <c r="T60" s="46"/>
      <c r="U60" s="47"/>
    </row>
    <row r="61" spans="1:21" ht="29.25" customHeight="1" x14ac:dyDescent="0.25">
      <c r="A61" s="67" t="s">
        <v>267</v>
      </c>
      <c r="B61" s="18" t="s">
        <v>268</v>
      </c>
      <c r="C61" s="19" t="s">
        <v>269</v>
      </c>
      <c r="D61" s="19" t="s">
        <v>239</v>
      </c>
      <c r="E61" s="19" t="s">
        <v>270</v>
      </c>
      <c r="F61" s="18" t="s">
        <v>271</v>
      </c>
      <c r="G61" s="18" t="s">
        <v>272</v>
      </c>
      <c r="H61" s="18">
        <v>0.1</v>
      </c>
      <c r="I61" s="19" t="s">
        <v>273</v>
      </c>
      <c r="J61" s="19">
        <v>1.6E-2</v>
      </c>
      <c r="K61" s="19" t="s">
        <v>31</v>
      </c>
      <c r="L61" s="19" t="s">
        <v>274</v>
      </c>
      <c r="M61" s="18">
        <v>66</v>
      </c>
      <c r="N61" s="20">
        <v>217800</v>
      </c>
      <c r="O61" s="21">
        <v>44707</v>
      </c>
      <c r="P61" s="22" t="s">
        <v>65</v>
      </c>
      <c r="Q61" s="21">
        <f>EDATE(O61,M61)</f>
        <v>46717</v>
      </c>
      <c r="R61" s="72">
        <f t="shared" si="2"/>
        <v>46657</v>
      </c>
      <c r="S61" s="18" t="str">
        <f t="shared" ca="1" si="5"/>
        <v>CALIBRADO</v>
      </c>
      <c r="T61" s="18" t="s">
        <v>34</v>
      </c>
      <c r="U61" s="19"/>
    </row>
    <row r="62" spans="1:21" ht="29.25" customHeight="1" x14ac:dyDescent="0.25">
      <c r="A62" s="67" t="s">
        <v>275</v>
      </c>
      <c r="B62" s="18" t="s">
        <v>276</v>
      </c>
      <c r="C62" s="19" t="s">
        <v>277</v>
      </c>
      <c r="D62" s="19" t="s">
        <v>239</v>
      </c>
      <c r="E62" s="19" t="s">
        <v>270</v>
      </c>
      <c r="F62" s="18" t="s">
        <v>278</v>
      </c>
      <c r="G62" s="18" t="s">
        <v>279</v>
      </c>
      <c r="H62" s="18">
        <v>0.5</v>
      </c>
      <c r="I62" s="19" t="s">
        <v>280</v>
      </c>
      <c r="J62" s="19">
        <v>0.02</v>
      </c>
      <c r="K62" s="19" t="s">
        <v>31</v>
      </c>
      <c r="L62" s="19" t="s">
        <v>280</v>
      </c>
      <c r="M62" s="18">
        <v>66</v>
      </c>
      <c r="N62" s="20">
        <v>0</v>
      </c>
      <c r="O62" s="21">
        <v>46080</v>
      </c>
      <c r="P62" s="80" t="s">
        <v>65</v>
      </c>
      <c r="Q62" s="21">
        <f>EDATE(O62,M62)</f>
        <v>48087</v>
      </c>
      <c r="R62" s="72">
        <f t="shared" si="2"/>
        <v>48027</v>
      </c>
      <c r="S62" s="18" t="str">
        <f t="shared" ca="1" si="5"/>
        <v>CALIBRADO</v>
      </c>
      <c r="T62" s="18" t="s">
        <v>34</v>
      </c>
      <c r="U62" s="19"/>
    </row>
    <row r="63" spans="1:21" ht="29.25" customHeight="1" x14ac:dyDescent="0.25">
      <c r="A63" s="67" t="s">
        <v>275</v>
      </c>
      <c r="B63" s="18" t="s">
        <v>276</v>
      </c>
      <c r="C63" s="19" t="s">
        <v>281</v>
      </c>
      <c r="D63" s="19" t="s">
        <v>239</v>
      </c>
      <c r="E63" s="19" t="s">
        <v>270</v>
      </c>
      <c r="F63" s="18" t="s">
        <v>271</v>
      </c>
      <c r="G63" s="18" t="s">
        <v>272</v>
      </c>
      <c r="H63" s="18">
        <v>2</v>
      </c>
      <c r="I63" s="19" t="s">
        <v>282</v>
      </c>
      <c r="J63" s="19">
        <v>2.5000000000000001E-2</v>
      </c>
      <c r="K63" s="19" t="s">
        <v>31</v>
      </c>
      <c r="L63" s="19" t="s">
        <v>282</v>
      </c>
      <c r="M63" s="18">
        <v>66</v>
      </c>
      <c r="N63" s="20">
        <v>0</v>
      </c>
      <c r="O63" s="21">
        <v>46080</v>
      </c>
      <c r="P63" s="80" t="s">
        <v>65</v>
      </c>
      <c r="Q63" s="21">
        <f>EDATE(O63,M63)</f>
        <v>48087</v>
      </c>
      <c r="R63" s="72">
        <f t="shared" si="2"/>
        <v>48027</v>
      </c>
      <c r="S63" s="18" t="str">
        <f t="shared" ca="1" si="5"/>
        <v>CALIBRADO</v>
      </c>
      <c r="T63" s="18" t="s">
        <v>34</v>
      </c>
      <c r="U63" s="19"/>
    </row>
    <row r="64" spans="1:21" ht="29.25" customHeight="1" x14ac:dyDescent="0.25">
      <c r="A64" s="67" t="s">
        <v>283</v>
      </c>
      <c r="B64" s="18" t="s">
        <v>284</v>
      </c>
      <c r="C64" s="19" t="s">
        <v>285</v>
      </c>
      <c r="D64" s="19" t="s">
        <v>239</v>
      </c>
      <c r="E64" s="19" t="s">
        <v>286</v>
      </c>
      <c r="F64" s="18" t="s">
        <v>278</v>
      </c>
      <c r="G64" s="18" t="s">
        <v>279</v>
      </c>
      <c r="H64" s="18">
        <v>0.1</v>
      </c>
      <c r="I64" s="19" t="s">
        <v>287</v>
      </c>
      <c r="J64" s="19">
        <v>5.0000000000000001E-4</v>
      </c>
      <c r="K64" s="19" t="s">
        <v>31</v>
      </c>
      <c r="L64" s="19" t="s">
        <v>287</v>
      </c>
      <c r="M64" s="18">
        <v>72</v>
      </c>
      <c r="N64" s="20">
        <v>0</v>
      </c>
      <c r="O64" s="21">
        <v>46080</v>
      </c>
      <c r="P64" s="22" t="s">
        <v>65</v>
      </c>
      <c r="Q64" s="21">
        <f>EDATE(O64,M64)</f>
        <v>48271</v>
      </c>
      <c r="R64" s="72">
        <f t="shared" si="2"/>
        <v>48211</v>
      </c>
      <c r="S64" s="18" t="str">
        <f t="shared" ca="1" si="5"/>
        <v>CALIBRADO</v>
      </c>
      <c r="T64" s="18" t="s">
        <v>34</v>
      </c>
      <c r="U64" s="19"/>
    </row>
    <row r="65" spans="1:21" ht="29.25" customHeight="1" x14ac:dyDescent="0.25">
      <c r="A65" s="67" t="s">
        <v>283</v>
      </c>
      <c r="B65" s="18" t="s">
        <v>284</v>
      </c>
      <c r="C65" s="19" t="s">
        <v>288</v>
      </c>
      <c r="D65" s="19" t="s">
        <v>239</v>
      </c>
      <c r="E65" s="19" t="s">
        <v>286</v>
      </c>
      <c r="F65" s="18" t="s">
        <v>278</v>
      </c>
      <c r="G65" s="18" t="s">
        <v>279</v>
      </c>
      <c r="H65" s="18">
        <v>0.1</v>
      </c>
      <c r="I65" s="19" t="s">
        <v>289</v>
      </c>
      <c r="J65" s="19">
        <v>5.0000000000000001E-4</v>
      </c>
      <c r="K65" s="19" t="s">
        <v>31</v>
      </c>
      <c r="L65" s="19" t="s">
        <v>289</v>
      </c>
      <c r="M65" s="18">
        <v>72</v>
      </c>
      <c r="N65" s="20">
        <v>0</v>
      </c>
      <c r="O65" s="21">
        <v>46080</v>
      </c>
      <c r="P65" s="22" t="s">
        <v>65</v>
      </c>
      <c r="Q65" s="21">
        <f>EDATE(O65,M65)</f>
        <v>48271</v>
      </c>
      <c r="R65" s="72">
        <f t="shared" si="2"/>
        <v>48211</v>
      </c>
      <c r="S65" s="18" t="str">
        <f t="shared" ca="1" si="5"/>
        <v>CALIBRADO</v>
      </c>
      <c r="T65" s="18" t="s">
        <v>34</v>
      </c>
      <c r="U65" s="19"/>
    </row>
    <row r="66" spans="1:21" ht="29.25" customHeight="1" x14ac:dyDescent="0.25">
      <c r="A66" s="67" t="s">
        <v>290</v>
      </c>
      <c r="B66" s="18" t="s">
        <v>291</v>
      </c>
      <c r="C66" s="19"/>
      <c r="D66" s="19"/>
      <c r="E66" s="19"/>
      <c r="F66" s="18"/>
      <c r="G66" s="18"/>
      <c r="H66" s="18"/>
      <c r="I66" s="19"/>
      <c r="J66" s="19"/>
      <c r="K66" s="19"/>
      <c r="L66" s="19"/>
      <c r="M66" s="18"/>
      <c r="N66" s="20"/>
      <c r="O66" s="21"/>
      <c r="P66" s="22"/>
      <c r="Q66" s="21"/>
      <c r="R66" s="72"/>
      <c r="S66" s="18"/>
      <c r="T66" s="18"/>
      <c r="U66" s="19"/>
    </row>
    <row r="67" spans="1:21" ht="29.25" customHeight="1" x14ac:dyDescent="0.25">
      <c r="A67" s="67" t="s">
        <v>292</v>
      </c>
      <c r="B67" s="18" t="s">
        <v>293</v>
      </c>
      <c r="C67" s="19"/>
      <c r="D67" s="19"/>
      <c r="E67" s="19"/>
      <c r="F67" s="18"/>
      <c r="G67" s="18"/>
      <c r="H67" s="18"/>
      <c r="I67" s="19"/>
      <c r="J67" s="19"/>
      <c r="K67" s="19"/>
      <c r="L67" s="19"/>
      <c r="M67" s="18"/>
      <c r="N67" s="20"/>
      <c r="O67" s="21"/>
      <c r="P67" s="22"/>
      <c r="Q67" s="21"/>
      <c r="R67" s="72"/>
      <c r="S67" s="18"/>
      <c r="T67" s="18"/>
      <c r="U67" s="19"/>
    </row>
    <row r="68" spans="1:21" ht="29.25" customHeight="1" x14ac:dyDescent="0.25">
      <c r="A68" s="67" t="s">
        <v>294</v>
      </c>
      <c r="B68" s="18" t="s">
        <v>295</v>
      </c>
      <c r="C68" s="19" t="s">
        <v>296</v>
      </c>
      <c r="D68" s="19" t="s">
        <v>239</v>
      </c>
      <c r="E68" s="19" t="s">
        <v>297</v>
      </c>
      <c r="F68" s="18" t="s">
        <v>271</v>
      </c>
      <c r="G68" s="18" t="s">
        <v>298</v>
      </c>
      <c r="H68" s="18">
        <v>1E-3</v>
      </c>
      <c r="I68" s="19" t="s">
        <v>299</v>
      </c>
      <c r="J68" s="19" t="s">
        <v>300</v>
      </c>
      <c r="K68" s="19" t="s">
        <v>31</v>
      </c>
      <c r="L68" s="19" t="s">
        <v>299</v>
      </c>
      <c r="M68" s="18">
        <v>72</v>
      </c>
      <c r="N68" s="20">
        <v>0</v>
      </c>
      <c r="O68" s="21">
        <v>46080</v>
      </c>
      <c r="P68" s="22" t="s">
        <v>65</v>
      </c>
      <c r="Q68" s="21">
        <f>EDATE(O68,M68)</f>
        <v>48271</v>
      </c>
      <c r="R68" s="72">
        <f t="shared" si="2"/>
        <v>48211</v>
      </c>
      <c r="S68" s="18" t="str">
        <f t="shared" ca="1" si="5"/>
        <v>CALIBRADO</v>
      </c>
      <c r="T68" s="18" t="s">
        <v>34</v>
      </c>
      <c r="U68" s="19"/>
    </row>
    <row r="69" spans="1:21" ht="29.25" customHeight="1" x14ac:dyDescent="0.25">
      <c r="A69" s="67" t="s">
        <v>301</v>
      </c>
      <c r="B69" s="18" t="s">
        <v>302</v>
      </c>
      <c r="C69" s="19" t="s">
        <v>303</v>
      </c>
      <c r="D69" s="19" t="s">
        <v>239</v>
      </c>
      <c r="E69" s="19" t="s">
        <v>304</v>
      </c>
      <c r="F69" s="18" t="s">
        <v>271</v>
      </c>
      <c r="G69" s="18" t="s">
        <v>272</v>
      </c>
      <c r="H69" s="18">
        <v>2</v>
      </c>
      <c r="I69" s="19" t="s">
        <v>305</v>
      </c>
      <c r="J69" s="19">
        <v>0.02</v>
      </c>
      <c r="K69" s="19" t="s">
        <v>31</v>
      </c>
      <c r="L69" s="19" t="s">
        <v>306</v>
      </c>
      <c r="M69" s="18">
        <v>68</v>
      </c>
      <c r="N69" s="20">
        <v>0</v>
      </c>
      <c r="O69" s="21">
        <v>46080</v>
      </c>
      <c r="P69" s="80" t="s">
        <v>65</v>
      </c>
      <c r="Q69" s="21">
        <f>EDATE(O69,M69)</f>
        <v>48148</v>
      </c>
      <c r="R69" s="72">
        <f t="shared" si="2"/>
        <v>48088</v>
      </c>
      <c r="S69" s="18" t="str">
        <f t="shared" ca="1" si="5"/>
        <v>CALIBRADO</v>
      </c>
      <c r="T69" s="18" t="s">
        <v>34</v>
      </c>
      <c r="U69" s="19"/>
    </row>
    <row r="70" spans="1:21" ht="29.25" customHeight="1" x14ac:dyDescent="0.25">
      <c r="A70" s="67" t="s">
        <v>301</v>
      </c>
      <c r="B70" s="18" t="s">
        <v>302</v>
      </c>
      <c r="C70" s="19" t="s">
        <v>303</v>
      </c>
      <c r="D70" s="19" t="s">
        <v>239</v>
      </c>
      <c r="E70" s="19" t="s">
        <v>304</v>
      </c>
      <c r="F70" s="18" t="s">
        <v>80</v>
      </c>
      <c r="G70" s="18" t="s">
        <v>81</v>
      </c>
      <c r="H70" s="18">
        <v>0.1</v>
      </c>
      <c r="I70" s="19" t="s">
        <v>307</v>
      </c>
      <c r="J70" s="19">
        <v>0.02</v>
      </c>
      <c r="K70" s="19" t="s">
        <v>31</v>
      </c>
      <c r="L70" s="19" t="s">
        <v>307</v>
      </c>
      <c r="M70" s="18">
        <v>68</v>
      </c>
      <c r="N70" s="20">
        <v>0</v>
      </c>
      <c r="O70" s="21">
        <v>46080</v>
      </c>
      <c r="P70" s="80" t="s">
        <v>65</v>
      </c>
      <c r="Q70" s="21">
        <f>EDATE(O70,M70)</f>
        <v>48148</v>
      </c>
      <c r="R70" s="72">
        <f t="shared" si="2"/>
        <v>48088</v>
      </c>
      <c r="S70" s="18" t="str">
        <f t="shared" ca="1" si="5"/>
        <v>CALIBRADO</v>
      </c>
      <c r="T70" s="18" t="s">
        <v>34</v>
      </c>
      <c r="U70" s="19"/>
    </row>
    <row r="71" spans="1:21" ht="29.25" customHeight="1" x14ac:dyDescent="0.25">
      <c r="A71" s="67"/>
      <c r="B71" s="18">
        <v>50</v>
      </c>
      <c r="C71" s="19"/>
      <c r="D71" s="19"/>
      <c r="E71" s="19"/>
      <c r="F71" s="18"/>
      <c r="G71" s="18"/>
      <c r="H71" s="18"/>
      <c r="I71" s="19"/>
      <c r="J71" s="19"/>
      <c r="K71" s="19"/>
      <c r="L71" s="19"/>
      <c r="M71" s="18"/>
      <c r="N71" s="20"/>
      <c r="O71" s="21"/>
      <c r="P71" s="80"/>
      <c r="Q71" s="21"/>
      <c r="R71" s="72"/>
      <c r="S71" s="18"/>
      <c r="T71" s="18"/>
      <c r="U71" s="19"/>
    </row>
    <row r="72" spans="1:21" ht="29.25" customHeight="1" x14ac:dyDescent="0.25">
      <c r="A72" s="67" t="s">
        <v>308</v>
      </c>
      <c r="B72" s="18" t="s">
        <v>309</v>
      </c>
      <c r="C72" s="19"/>
      <c r="D72" s="19"/>
      <c r="E72" s="19"/>
      <c r="F72" s="18"/>
      <c r="G72" s="18"/>
      <c r="H72" s="18"/>
      <c r="I72" s="19"/>
      <c r="J72" s="19"/>
      <c r="K72" s="19"/>
      <c r="L72" s="19"/>
      <c r="M72" s="18"/>
      <c r="N72" s="20"/>
      <c r="O72" s="21"/>
      <c r="P72" s="80"/>
      <c r="Q72" s="21"/>
      <c r="R72" s="72"/>
      <c r="S72" s="18"/>
      <c r="T72" s="18"/>
      <c r="U72" s="19"/>
    </row>
    <row r="73" spans="1:21" ht="29.25" customHeight="1" x14ac:dyDescent="0.25">
      <c r="A73" s="67" t="s">
        <v>310</v>
      </c>
      <c r="B73" s="18" t="s">
        <v>311</v>
      </c>
      <c r="C73" s="19" t="s">
        <v>312</v>
      </c>
      <c r="D73" s="19" t="s">
        <v>239</v>
      </c>
      <c r="E73" s="19" t="s">
        <v>313</v>
      </c>
      <c r="F73" s="18" t="s">
        <v>66</v>
      </c>
      <c r="G73" s="18" t="s">
        <v>67</v>
      </c>
      <c r="H73" s="18">
        <v>0.01</v>
      </c>
      <c r="I73" s="19" t="s">
        <v>314</v>
      </c>
      <c r="J73" s="19">
        <v>0.5</v>
      </c>
      <c r="K73" s="19" t="s">
        <v>31</v>
      </c>
      <c r="L73" s="19" t="s">
        <v>314</v>
      </c>
      <c r="M73" s="18">
        <v>32</v>
      </c>
      <c r="N73" s="20">
        <v>330000</v>
      </c>
      <c r="O73" s="21">
        <v>45217</v>
      </c>
      <c r="P73" s="22" t="s">
        <v>65</v>
      </c>
      <c r="Q73" s="21">
        <f>EDATE(O73,M73)</f>
        <v>46191</v>
      </c>
      <c r="R73" s="72">
        <f t="shared" si="2"/>
        <v>46131</v>
      </c>
      <c r="S73" s="18" t="str">
        <f t="shared" ca="1" si="5"/>
        <v>VENCIDO</v>
      </c>
      <c r="T73" s="18" t="s">
        <v>34</v>
      </c>
      <c r="U73" s="19" t="s">
        <v>315</v>
      </c>
    </row>
    <row r="74" spans="1:21" ht="29.25" customHeight="1" x14ac:dyDescent="0.25">
      <c r="A74" s="67" t="s">
        <v>310</v>
      </c>
      <c r="B74" s="18" t="s">
        <v>311</v>
      </c>
      <c r="C74" s="19" t="s">
        <v>312</v>
      </c>
      <c r="D74" s="19" t="s">
        <v>239</v>
      </c>
      <c r="E74" s="19" t="s">
        <v>313</v>
      </c>
      <c r="F74" s="18" t="s">
        <v>80</v>
      </c>
      <c r="G74" s="18" t="s">
        <v>81</v>
      </c>
      <c r="H74" s="18">
        <v>0.1</v>
      </c>
      <c r="I74" s="19" t="s">
        <v>316</v>
      </c>
      <c r="J74" s="19">
        <v>1</v>
      </c>
      <c r="K74" s="19" t="s">
        <v>31</v>
      </c>
      <c r="L74" s="19" t="s">
        <v>316</v>
      </c>
      <c r="M74" s="18">
        <v>32</v>
      </c>
      <c r="N74" s="20">
        <v>599760</v>
      </c>
      <c r="O74" s="21">
        <v>46073</v>
      </c>
      <c r="P74" s="22" t="s">
        <v>95</v>
      </c>
      <c r="Q74" s="21">
        <f>EDATE(O74,M74)</f>
        <v>47046</v>
      </c>
      <c r="R74" s="72">
        <f t="shared" si="2"/>
        <v>46986</v>
      </c>
      <c r="S74" s="18" t="str">
        <f t="shared" ca="1" si="5"/>
        <v>CALIBRADO</v>
      </c>
      <c r="T74" s="18" t="s">
        <v>34</v>
      </c>
      <c r="U74" s="19"/>
    </row>
    <row r="75" spans="1:21" ht="29.25" customHeight="1" x14ac:dyDescent="0.25">
      <c r="A75" s="67" t="s">
        <v>317</v>
      </c>
      <c r="B75" s="18" t="s">
        <v>318</v>
      </c>
      <c r="C75" s="19" t="s">
        <v>319</v>
      </c>
      <c r="D75" s="19" t="s">
        <v>239</v>
      </c>
      <c r="E75" s="19" t="s">
        <v>320</v>
      </c>
      <c r="F75" s="18" t="s">
        <v>66</v>
      </c>
      <c r="G75" s="18" t="s">
        <v>67</v>
      </c>
      <c r="H75" s="18">
        <v>0.01</v>
      </c>
      <c r="I75" s="19" t="s">
        <v>314</v>
      </c>
      <c r="J75" s="19">
        <v>0.5</v>
      </c>
      <c r="K75" s="19" t="s">
        <v>31</v>
      </c>
      <c r="L75" s="19" t="s">
        <v>314</v>
      </c>
      <c r="M75" s="18">
        <v>42</v>
      </c>
      <c r="N75" s="20">
        <v>0</v>
      </c>
      <c r="O75" s="21">
        <v>44999</v>
      </c>
      <c r="P75" s="22" t="s">
        <v>65</v>
      </c>
      <c r="Q75" s="21">
        <f>EDATE(O75,M75)</f>
        <v>46279</v>
      </c>
      <c r="R75" s="72">
        <f t="shared" si="2"/>
        <v>46219</v>
      </c>
      <c r="S75" s="18" t="str">
        <f t="shared" ca="1" si="5"/>
        <v>CALIBRADO</v>
      </c>
      <c r="T75" s="18" t="s">
        <v>34</v>
      </c>
      <c r="U75" s="19"/>
    </row>
    <row r="76" spans="1:21" ht="29.25" customHeight="1" x14ac:dyDescent="0.25">
      <c r="A76" s="67" t="s">
        <v>317</v>
      </c>
      <c r="B76" s="18" t="s">
        <v>318</v>
      </c>
      <c r="C76" s="19" t="s">
        <v>319</v>
      </c>
      <c r="D76" s="19" t="s">
        <v>239</v>
      </c>
      <c r="E76" s="19" t="s">
        <v>320</v>
      </c>
      <c r="F76" s="18" t="s">
        <v>80</v>
      </c>
      <c r="G76" s="18" t="s">
        <v>81</v>
      </c>
      <c r="H76" s="18">
        <v>0.1</v>
      </c>
      <c r="I76" s="19" t="s">
        <v>316</v>
      </c>
      <c r="J76" s="19">
        <v>1</v>
      </c>
      <c r="K76" s="19" t="s">
        <v>31</v>
      </c>
      <c r="L76" s="19" t="s">
        <v>316</v>
      </c>
      <c r="M76" s="18">
        <v>78</v>
      </c>
      <c r="N76" s="20">
        <v>0</v>
      </c>
      <c r="O76" s="21">
        <v>43907</v>
      </c>
      <c r="P76" s="22" t="s">
        <v>95</v>
      </c>
      <c r="Q76" s="21">
        <f>EDATE(O76,M76)</f>
        <v>46282</v>
      </c>
      <c r="R76" s="72">
        <f t="shared" si="2"/>
        <v>46222</v>
      </c>
      <c r="S76" s="18" t="str">
        <f t="shared" ca="1" si="5"/>
        <v>CALIBRADO</v>
      </c>
      <c r="T76" s="18" t="s">
        <v>34</v>
      </c>
      <c r="U76" s="19"/>
    </row>
    <row r="77" spans="1:21" ht="29.25" customHeight="1" x14ac:dyDescent="0.25">
      <c r="A77" s="67" t="s">
        <v>321</v>
      </c>
      <c r="B77" s="18" t="s">
        <v>322</v>
      </c>
      <c r="C77" s="19" t="s">
        <v>323</v>
      </c>
      <c r="D77" s="19" t="s">
        <v>239</v>
      </c>
      <c r="E77" s="19" t="s">
        <v>324</v>
      </c>
      <c r="F77" s="18" t="s">
        <v>179</v>
      </c>
      <c r="G77" s="18" t="s">
        <v>180</v>
      </c>
      <c r="H77" s="18" t="s">
        <v>325</v>
      </c>
      <c r="I77" s="19" t="s">
        <v>326</v>
      </c>
      <c r="J77" s="19">
        <v>0.05</v>
      </c>
      <c r="K77" s="19" t="s">
        <v>31</v>
      </c>
      <c r="L77" s="19" t="s">
        <v>326</v>
      </c>
      <c r="M77" s="18" t="s">
        <v>104</v>
      </c>
      <c r="N77" s="20">
        <v>50000</v>
      </c>
      <c r="O77" s="21">
        <v>44246</v>
      </c>
      <c r="P77" s="22" t="s">
        <v>95</v>
      </c>
      <c r="Q77" s="21" t="e">
        <f>EDATE(O77,M77)</f>
        <v>#VALUE!</v>
      </c>
      <c r="R77" s="72" t="e">
        <f t="shared" si="2"/>
        <v>#VALUE!</v>
      </c>
      <c r="S77" s="18" t="e">
        <f t="shared" ca="1" si="5"/>
        <v>#VALUE!</v>
      </c>
      <c r="T77" s="18" t="s">
        <v>34</v>
      </c>
      <c r="U77" s="19" t="s">
        <v>327</v>
      </c>
    </row>
    <row r="78" spans="1:21" ht="29.25" customHeight="1" x14ac:dyDescent="0.25">
      <c r="A78" s="67"/>
      <c r="B78" s="18">
        <v>55</v>
      </c>
      <c r="C78" s="19"/>
      <c r="D78" s="19"/>
      <c r="E78" s="19"/>
      <c r="F78" s="18"/>
      <c r="G78" s="18"/>
      <c r="H78" s="18"/>
      <c r="I78" s="19"/>
      <c r="J78" s="19"/>
      <c r="K78" s="19"/>
      <c r="L78" s="19"/>
      <c r="M78" s="18"/>
      <c r="N78" s="20"/>
      <c r="O78" s="21"/>
      <c r="P78" s="22"/>
      <c r="Q78" s="21"/>
      <c r="R78" s="72"/>
      <c r="S78" s="18"/>
      <c r="T78" s="18"/>
      <c r="U78" s="19"/>
    </row>
    <row r="79" spans="1:21" ht="29.25" customHeight="1" x14ac:dyDescent="0.25">
      <c r="A79" s="67"/>
      <c r="B79" s="18">
        <v>56</v>
      </c>
      <c r="C79" s="19"/>
      <c r="D79" s="19"/>
      <c r="E79" s="19"/>
      <c r="F79" s="18"/>
      <c r="G79" s="18"/>
      <c r="H79" s="18"/>
      <c r="I79" s="19"/>
      <c r="J79" s="19"/>
      <c r="K79" s="19"/>
      <c r="L79" s="19"/>
      <c r="M79" s="18"/>
      <c r="N79" s="20"/>
      <c r="O79" s="21"/>
      <c r="P79" s="22"/>
      <c r="Q79" s="21"/>
      <c r="R79" s="72"/>
      <c r="S79" s="18"/>
      <c r="T79" s="18"/>
      <c r="U79" s="19"/>
    </row>
    <row r="80" spans="1:21" ht="29.25" customHeight="1" x14ac:dyDescent="0.25">
      <c r="A80" s="67"/>
      <c r="B80" s="18">
        <v>57</v>
      </c>
      <c r="C80" s="19"/>
      <c r="D80" s="19"/>
      <c r="E80" s="19"/>
      <c r="F80" s="18"/>
      <c r="G80" s="18"/>
      <c r="H80" s="18"/>
      <c r="I80" s="19"/>
      <c r="J80" s="19"/>
      <c r="K80" s="19"/>
      <c r="L80" s="19"/>
      <c r="M80" s="18"/>
      <c r="N80" s="20"/>
      <c r="O80" s="21"/>
      <c r="P80" s="22"/>
      <c r="Q80" s="21"/>
      <c r="R80" s="72"/>
      <c r="S80" s="18"/>
      <c r="T80" s="18"/>
      <c r="U80" s="19"/>
    </row>
    <row r="81" spans="1:21" ht="29.25" customHeight="1" x14ac:dyDescent="0.25">
      <c r="A81" s="67"/>
      <c r="B81" s="18">
        <v>58</v>
      </c>
      <c r="C81" s="19"/>
      <c r="D81" s="19"/>
      <c r="E81" s="19"/>
      <c r="F81" s="18"/>
      <c r="G81" s="18"/>
      <c r="H81" s="18"/>
      <c r="I81" s="19"/>
      <c r="J81" s="19"/>
      <c r="K81" s="19"/>
      <c r="L81" s="19"/>
      <c r="M81" s="18"/>
      <c r="N81" s="20"/>
      <c r="O81" s="21"/>
      <c r="P81" s="22"/>
      <c r="Q81" s="21"/>
      <c r="R81" s="72"/>
      <c r="S81" s="18"/>
      <c r="T81" s="18"/>
      <c r="U81" s="19"/>
    </row>
    <row r="82" spans="1:21" ht="29.25" customHeight="1" x14ac:dyDescent="0.25">
      <c r="A82" s="67"/>
      <c r="B82" s="18">
        <v>59</v>
      </c>
      <c r="C82" s="19"/>
      <c r="D82" s="19"/>
      <c r="E82" s="19"/>
      <c r="F82" s="18"/>
      <c r="G82" s="18"/>
      <c r="H82" s="18"/>
      <c r="I82" s="19"/>
      <c r="J82" s="19"/>
      <c r="K82" s="19"/>
      <c r="L82" s="19"/>
      <c r="M82" s="18"/>
      <c r="N82" s="20"/>
      <c r="O82" s="21"/>
      <c r="P82" s="22"/>
      <c r="Q82" s="21"/>
      <c r="R82" s="72"/>
      <c r="S82" s="18"/>
      <c r="T82" s="18"/>
      <c r="U82" s="19"/>
    </row>
    <row r="83" spans="1:21" ht="29.25" customHeight="1" x14ac:dyDescent="0.25">
      <c r="A83" s="67" t="s">
        <v>328</v>
      </c>
      <c r="B83" s="18" t="s">
        <v>329</v>
      </c>
      <c r="C83" s="19" t="s">
        <v>329</v>
      </c>
      <c r="D83" s="19" t="s">
        <v>330</v>
      </c>
      <c r="E83" s="19" t="s">
        <v>300</v>
      </c>
      <c r="F83" s="18" t="s">
        <v>331</v>
      </c>
      <c r="G83" s="18" t="s">
        <v>332</v>
      </c>
      <c r="H83" s="18">
        <v>1</v>
      </c>
      <c r="I83" s="19" t="s">
        <v>333</v>
      </c>
      <c r="J83" s="19">
        <v>0.02</v>
      </c>
      <c r="K83" s="19" t="s">
        <v>31</v>
      </c>
      <c r="L83" s="19" t="s">
        <v>333</v>
      </c>
      <c r="M83" s="18">
        <v>60</v>
      </c>
      <c r="N83" s="20">
        <v>0</v>
      </c>
      <c r="O83" s="21">
        <v>44001</v>
      </c>
      <c r="P83" s="22" t="s">
        <v>334</v>
      </c>
      <c r="Q83" s="21">
        <f t="shared" ref="Q83:Q114" si="6">EDATE(O83,M83)</f>
        <v>45827</v>
      </c>
      <c r="R83" s="72">
        <f t="shared" si="2"/>
        <v>45767</v>
      </c>
      <c r="S83" s="76" t="s">
        <v>335</v>
      </c>
      <c r="T83" s="18" t="s">
        <v>34</v>
      </c>
      <c r="U83" s="19"/>
    </row>
    <row r="84" spans="1:21" ht="29.25" customHeight="1" x14ac:dyDescent="0.25">
      <c r="A84" s="67" t="s">
        <v>336</v>
      </c>
      <c r="B84" s="18" t="s">
        <v>337</v>
      </c>
      <c r="C84" s="19" t="s">
        <v>337</v>
      </c>
      <c r="D84" s="19" t="s">
        <v>330</v>
      </c>
      <c r="E84" s="19" t="s">
        <v>300</v>
      </c>
      <c r="F84" s="19" t="s">
        <v>338</v>
      </c>
      <c r="G84" s="18" t="s">
        <v>332</v>
      </c>
      <c r="H84" s="18">
        <v>0.1</v>
      </c>
      <c r="I84" s="19" t="s">
        <v>339</v>
      </c>
      <c r="J84" s="19">
        <v>0.02</v>
      </c>
      <c r="K84" s="19" t="s">
        <v>31</v>
      </c>
      <c r="L84" s="19" t="s">
        <v>339</v>
      </c>
      <c r="M84" s="18">
        <v>60</v>
      </c>
      <c r="N84" s="20">
        <v>0</v>
      </c>
      <c r="O84" s="21">
        <v>44001</v>
      </c>
      <c r="P84" s="22" t="s">
        <v>334</v>
      </c>
      <c r="Q84" s="21">
        <f t="shared" si="6"/>
        <v>45827</v>
      </c>
      <c r="R84" s="72">
        <f t="shared" si="2"/>
        <v>45767</v>
      </c>
      <c r="S84" s="76" t="s">
        <v>335</v>
      </c>
      <c r="T84" s="18" t="s">
        <v>34</v>
      </c>
      <c r="U84" s="19"/>
    </row>
    <row r="85" spans="1:21" ht="29.25" customHeight="1" x14ac:dyDescent="0.25">
      <c r="A85" s="67" t="s">
        <v>340</v>
      </c>
      <c r="B85" s="18" t="s">
        <v>341</v>
      </c>
      <c r="C85" s="19" t="s">
        <v>99</v>
      </c>
      <c r="D85" s="19" t="s">
        <v>342</v>
      </c>
      <c r="E85" s="19" t="s">
        <v>343</v>
      </c>
      <c r="F85" s="18" t="s">
        <v>179</v>
      </c>
      <c r="G85" s="18" t="s">
        <v>180</v>
      </c>
      <c r="H85" s="18" t="s">
        <v>325</v>
      </c>
      <c r="I85" s="19" t="s">
        <v>344</v>
      </c>
      <c r="J85" s="19">
        <v>0.05</v>
      </c>
      <c r="K85" s="19" t="s">
        <v>31</v>
      </c>
      <c r="L85" s="19" t="s">
        <v>344</v>
      </c>
      <c r="M85" s="18" t="s">
        <v>104</v>
      </c>
      <c r="N85" s="20">
        <v>50000</v>
      </c>
      <c r="O85" s="21">
        <v>44239</v>
      </c>
      <c r="P85" s="22" t="s">
        <v>95</v>
      </c>
      <c r="Q85" s="21" t="e">
        <f t="shared" si="6"/>
        <v>#VALUE!</v>
      </c>
      <c r="R85" s="72" t="e">
        <f t="shared" si="2"/>
        <v>#VALUE!</v>
      </c>
      <c r="S85" s="18" t="e">
        <f t="shared" ca="1" si="5"/>
        <v>#VALUE!</v>
      </c>
      <c r="T85" s="18" t="s">
        <v>34</v>
      </c>
      <c r="U85" s="19" t="s">
        <v>327</v>
      </c>
    </row>
    <row r="86" spans="1:21" ht="29.25" customHeight="1" x14ac:dyDescent="0.25">
      <c r="A86" s="67" t="s">
        <v>345</v>
      </c>
      <c r="B86" s="18" t="s">
        <v>346</v>
      </c>
      <c r="C86" s="19" t="s">
        <v>99</v>
      </c>
      <c r="D86" s="19" t="s">
        <v>342</v>
      </c>
      <c r="E86" s="19" t="s">
        <v>343</v>
      </c>
      <c r="F86" s="18" t="s">
        <v>179</v>
      </c>
      <c r="G86" s="18" t="s">
        <v>180</v>
      </c>
      <c r="H86" s="18" t="s">
        <v>325</v>
      </c>
      <c r="I86" s="19" t="s">
        <v>347</v>
      </c>
      <c r="J86" s="19">
        <v>0.05</v>
      </c>
      <c r="K86" s="19" t="s">
        <v>31</v>
      </c>
      <c r="L86" s="19" t="s">
        <v>347</v>
      </c>
      <c r="M86" s="18" t="s">
        <v>104</v>
      </c>
      <c r="N86" s="20">
        <v>50000</v>
      </c>
      <c r="O86" s="21">
        <v>44239</v>
      </c>
      <c r="P86" s="22" t="s">
        <v>95</v>
      </c>
      <c r="Q86" s="21" t="e">
        <f t="shared" si="6"/>
        <v>#VALUE!</v>
      </c>
      <c r="R86" s="72" t="e">
        <f t="shared" si="2"/>
        <v>#VALUE!</v>
      </c>
      <c r="S86" s="18" t="e">
        <f t="shared" ca="1" si="5"/>
        <v>#VALUE!</v>
      </c>
      <c r="T86" s="18" t="s">
        <v>34</v>
      </c>
      <c r="U86" s="19" t="s">
        <v>327</v>
      </c>
    </row>
    <row r="87" spans="1:21" ht="29.25" customHeight="1" x14ac:dyDescent="0.25">
      <c r="A87" s="67" t="s">
        <v>348</v>
      </c>
      <c r="B87" s="18" t="s">
        <v>349</v>
      </c>
      <c r="C87" s="19" t="s">
        <v>350</v>
      </c>
      <c r="D87" s="19" t="s">
        <v>239</v>
      </c>
      <c r="E87" s="19" t="s">
        <v>351</v>
      </c>
      <c r="F87" s="19" t="s">
        <v>352</v>
      </c>
      <c r="G87" s="18" t="s">
        <v>353</v>
      </c>
      <c r="H87" s="18">
        <v>0.1</v>
      </c>
      <c r="I87" s="19">
        <v>0.2</v>
      </c>
      <c r="J87" s="19">
        <v>0.02</v>
      </c>
      <c r="K87" s="19" t="s">
        <v>31</v>
      </c>
      <c r="L87" s="19" t="s">
        <v>354</v>
      </c>
      <c r="M87" s="18" t="s">
        <v>104</v>
      </c>
      <c r="N87" s="20">
        <v>0</v>
      </c>
      <c r="O87" s="21">
        <v>43426</v>
      </c>
      <c r="P87" s="22" t="s">
        <v>355</v>
      </c>
      <c r="Q87" s="21" t="e">
        <f t="shared" si="6"/>
        <v>#VALUE!</v>
      </c>
      <c r="R87" s="21" t="e">
        <f t="shared" si="2"/>
        <v>#VALUE!</v>
      </c>
      <c r="S87" s="18"/>
      <c r="T87" s="18" t="s">
        <v>34</v>
      </c>
      <c r="U87" s="19" t="s">
        <v>356</v>
      </c>
    </row>
    <row r="88" spans="1:21" ht="29.25" customHeight="1" x14ac:dyDescent="0.25">
      <c r="A88" s="67" t="s">
        <v>357</v>
      </c>
      <c r="B88" s="18" t="s">
        <v>358</v>
      </c>
      <c r="C88" s="19" t="s">
        <v>359</v>
      </c>
      <c r="D88" s="19" t="s">
        <v>239</v>
      </c>
      <c r="E88" s="19" t="s">
        <v>360</v>
      </c>
      <c r="F88" s="19" t="s">
        <v>352</v>
      </c>
      <c r="G88" s="18" t="s">
        <v>353</v>
      </c>
      <c r="H88" s="18">
        <v>0.1</v>
      </c>
      <c r="I88" s="19">
        <v>0.35</v>
      </c>
      <c r="J88" s="19">
        <v>0.03</v>
      </c>
      <c r="K88" s="19" t="s">
        <v>31</v>
      </c>
      <c r="L88" s="19" t="s">
        <v>361</v>
      </c>
      <c r="M88" s="18" t="s">
        <v>104</v>
      </c>
      <c r="N88" s="20">
        <v>0</v>
      </c>
      <c r="O88" s="21">
        <v>43426</v>
      </c>
      <c r="P88" s="22" t="s">
        <v>355</v>
      </c>
      <c r="Q88" s="21" t="e">
        <f t="shared" si="6"/>
        <v>#VALUE!</v>
      </c>
      <c r="R88" s="21" t="e">
        <f t="shared" si="2"/>
        <v>#VALUE!</v>
      </c>
      <c r="S88" s="18"/>
      <c r="T88" s="18" t="s">
        <v>34</v>
      </c>
      <c r="U88" s="19" t="s">
        <v>356</v>
      </c>
    </row>
    <row r="89" spans="1:21" ht="29.25" customHeight="1" x14ac:dyDescent="0.25">
      <c r="A89" s="67" t="s">
        <v>362</v>
      </c>
      <c r="B89" s="18" t="s">
        <v>363</v>
      </c>
      <c r="C89" s="19" t="s">
        <v>364</v>
      </c>
      <c r="D89" s="19" t="s">
        <v>239</v>
      </c>
      <c r="E89" s="19" t="s">
        <v>365</v>
      </c>
      <c r="F89" s="19" t="s">
        <v>352</v>
      </c>
      <c r="G89" s="18" t="s">
        <v>353</v>
      </c>
      <c r="H89" s="18">
        <v>0.1</v>
      </c>
      <c r="I89" s="19">
        <v>0.5</v>
      </c>
      <c r="J89" s="19">
        <v>0.04</v>
      </c>
      <c r="K89" s="19" t="s">
        <v>31</v>
      </c>
      <c r="L89" s="19" t="s">
        <v>366</v>
      </c>
      <c r="M89" s="18" t="s">
        <v>104</v>
      </c>
      <c r="N89" s="20">
        <v>0</v>
      </c>
      <c r="O89" s="21">
        <v>43426</v>
      </c>
      <c r="P89" s="22" t="s">
        <v>355</v>
      </c>
      <c r="Q89" s="21" t="e">
        <f t="shared" si="6"/>
        <v>#VALUE!</v>
      </c>
      <c r="R89" s="72" t="e">
        <f t="shared" ref="R89:R91" si="7">Q89-60</f>
        <v>#VALUE!</v>
      </c>
      <c r="S89" s="18" t="e">
        <f t="shared" ref="S89" ca="1" si="8">IF(TODAY()&gt;Q89,"VENCIDO",IF(AND(TODAY()&gt;R89,TODAY()&lt;Q89),"PROGRAMADO",IF(AND(TODAY()&gt;O89,TODAY()&lt;=Q89),"CALIBRADO",0)))</f>
        <v>#VALUE!</v>
      </c>
      <c r="T89" s="18" t="s">
        <v>34</v>
      </c>
      <c r="U89" s="19" t="s">
        <v>356</v>
      </c>
    </row>
    <row r="90" spans="1:21" ht="29.25" customHeight="1" x14ac:dyDescent="0.25">
      <c r="A90" s="67" t="s">
        <v>367</v>
      </c>
      <c r="B90" s="18" t="s">
        <v>368</v>
      </c>
      <c r="C90" s="19" t="s">
        <v>369</v>
      </c>
      <c r="D90" s="19" t="s">
        <v>239</v>
      </c>
      <c r="E90" s="19" t="s">
        <v>370</v>
      </c>
      <c r="F90" s="19" t="s">
        <v>352</v>
      </c>
      <c r="G90" s="18" t="s">
        <v>353</v>
      </c>
      <c r="H90" s="18">
        <v>0.1</v>
      </c>
      <c r="I90" s="19">
        <v>0.7</v>
      </c>
      <c r="J90" s="19">
        <v>0.05</v>
      </c>
      <c r="K90" s="19" t="s">
        <v>31</v>
      </c>
      <c r="L90" s="19" t="s">
        <v>371</v>
      </c>
      <c r="M90" s="18" t="s">
        <v>104</v>
      </c>
      <c r="N90" s="20">
        <v>0</v>
      </c>
      <c r="O90" s="21">
        <v>43426</v>
      </c>
      <c r="P90" s="22" t="s">
        <v>355</v>
      </c>
      <c r="Q90" s="21" t="e">
        <f t="shared" si="6"/>
        <v>#VALUE!</v>
      </c>
      <c r="R90" s="21" t="e">
        <f t="shared" si="7"/>
        <v>#VALUE!</v>
      </c>
      <c r="S90" s="18"/>
      <c r="T90" s="18" t="s">
        <v>34</v>
      </c>
      <c r="U90" s="19" t="s">
        <v>356</v>
      </c>
    </row>
    <row r="91" spans="1:21" ht="29.25" customHeight="1" x14ac:dyDescent="0.25">
      <c r="A91" s="67" t="s">
        <v>372</v>
      </c>
      <c r="B91" s="18" t="s">
        <v>373</v>
      </c>
      <c r="C91" s="19" t="s">
        <v>374</v>
      </c>
      <c r="D91" s="19" t="s">
        <v>239</v>
      </c>
      <c r="E91" s="19" t="s">
        <v>375</v>
      </c>
      <c r="F91" s="19" t="s">
        <v>352</v>
      </c>
      <c r="G91" s="18" t="s">
        <v>353</v>
      </c>
      <c r="H91" s="18">
        <v>1</v>
      </c>
      <c r="I91" s="19">
        <v>1</v>
      </c>
      <c r="J91" s="19">
        <v>0.05</v>
      </c>
      <c r="K91" s="19" t="s">
        <v>31</v>
      </c>
      <c r="L91" s="19" t="s">
        <v>376</v>
      </c>
      <c r="M91" s="18" t="s">
        <v>104</v>
      </c>
      <c r="N91" s="20">
        <v>0</v>
      </c>
      <c r="O91" s="21">
        <v>43426</v>
      </c>
      <c r="P91" s="22" t="s">
        <v>355</v>
      </c>
      <c r="Q91" s="21" t="e">
        <f t="shared" si="6"/>
        <v>#VALUE!</v>
      </c>
      <c r="R91" s="21" t="e">
        <f t="shared" si="7"/>
        <v>#VALUE!</v>
      </c>
      <c r="S91" s="18"/>
      <c r="T91" s="18" t="s">
        <v>34</v>
      </c>
      <c r="U91" s="19" t="s">
        <v>356</v>
      </c>
    </row>
    <row r="92" spans="1:21" ht="29.25" customHeight="1" x14ac:dyDescent="0.25">
      <c r="A92" s="67" t="s">
        <v>377</v>
      </c>
      <c r="B92" s="18" t="s">
        <v>378</v>
      </c>
      <c r="C92" s="19">
        <v>3030</v>
      </c>
      <c r="D92" s="19" t="s">
        <v>239</v>
      </c>
      <c r="E92" s="19" t="s">
        <v>379</v>
      </c>
      <c r="F92" s="18" t="s">
        <v>61</v>
      </c>
      <c r="G92" s="18" t="s">
        <v>194</v>
      </c>
      <c r="H92" s="18">
        <v>0.1</v>
      </c>
      <c r="I92" s="19" t="s">
        <v>380</v>
      </c>
      <c r="J92" s="19">
        <v>0.05</v>
      </c>
      <c r="K92" s="19" t="s">
        <v>31</v>
      </c>
      <c r="L92" s="19" t="s">
        <v>381</v>
      </c>
      <c r="M92" s="18">
        <v>66</v>
      </c>
      <c r="N92" s="20">
        <v>597579</v>
      </c>
      <c r="O92" s="21">
        <v>46125</v>
      </c>
      <c r="P92" s="22" t="s">
        <v>65</v>
      </c>
      <c r="Q92" s="21">
        <f t="shared" si="6"/>
        <v>48134</v>
      </c>
      <c r="R92" s="72">
        <f t="shared" ref="R92:R101" si="9">Q92-45</f>
        <v>48089</v>
      </c>
      <c r="S92" s="18" t="str">
        <f t="shared" ref="S92:S155" ca="1" si="10">IF(TODAY()&gt;Q92,"VENCIDO",IF(AND(TODAY()&gt;R92,TODAY()&lt;Q92),"PROGRAMADO",IF(AND(TODAY()&gt;O92,TODAY()&lt;=Q92),"CALIBRADO",0)))</f>
        <v>CALIBRADO</v>
      </c>
      <c r="T92" s="18" t="s">
        <v>34</v>
      </c>
      <c r="U92" s="19"/>
    </row>
    <row r="93" spans="1:21" ht="29.25" customHeight="1" x14ac:dyDescent="0.25">
      <c r="A93" s="67" t="s">
        <v>382</v>
      </c>
      <c r="B93" s="18" t="s">
        <v>383</v>
      </c>
      <c r="C93" s="19" t="s">
        <v>384</v>
      </c>
      <c r="D93" s="19" t="s">
        <v>385</v>
      </c>
      <c r="E93" s="19" t="s">
        <v>386</v>
      </c>
      <c r="F93" s="18" t="s">
        <v>179</v>
      </c>
      <c r="G93" s="18" t="s">
        <v>387</v>
      </c>
      <c r="H93" s="18">
        <v>0.01</v>
      </c>
      <c r="I93" s="19" t="s">
        <v>388</v>
      </c>
      <c r="J93" s="19">
        <v>0.02</v>
      </c>
      <c r="K93" s="19" t="s">
        <v>31</v>
      </c>
      <c r="L93" s="19" t="s">
        <v>388</v>
      </c>
      <c r="M93" s="18">
        <v>24</v>
      </c>
      <c r="N93" s="20">
        <v>0</v>
      </c>
      <c r="O93" s="21">
        <v>45700</v>
      </c>
      <c r="P93" s="22" t="s">
        <v>95</v>
      </c>
      <c r="Q93" s="21">
        <f t="shared" si="6"/>
        <v>46430</v>
      </c>
      <c r="R93" s="72">
        <f t="shared" si="9"/>
        <v>46385</v>
      </c>
      <c r="S93" s="18" t="str">
        <f t="shared" ca="1" si="10"/>
        <v>CALIBRADO</v>
      </c>
      <c r="T93" s="18" t="s">
        <v>34</v>
      </c>
      <c r="U93" s="19"/>
    </row>
    <row r="94" spans="1:21" ht="29.25" customHeight="1" x14ac:dyDescent="0.25">
      <c r="A94" s="67" t="s">
        <v>340</v>
      </c>
      <c r="B94" s="18" t="s">
        <v>389</v>
      </c>
      <c r="C94" s="19" t="s">
        <v>99</v>
      </c>
      <c r="D94" s="19" t="s">
        <v>342</v>
      </c>
      <c r="E94" s="19" t="s">
        <v>343</v>
      </c>
      <c r="F94" s="18" t="s">
        <v>179</v>
      </c>
      <c r="G94" s="18" t="s">
        <v>387</v>
      </c>
      <c r="H94" s="18" t="s">
        <v>325</v>
      </c>
      <c r="I94" s="19">
        <v>20</v>
      </c>
      <c r="J94" s="19">
        <v>0.05</v>
      </c>
      <c r="K94" s="19" t="s">
        <v>31</v>
      </c>
      <c r="L94" s="19">
        <v>20</v>
      </c>
      <c r="M94" s="18" t="s">
        <v>104</v>
      </c>
      <c r="N94" s="20">
        <v>50000</v>
      </c>
      <c r="O94" s="21">
        <v>44239</v>
      </c>
      <c r="P94" s="22" t="s">
        <v>95</v>
      </c>
      <c r="Q94" s="21" t="e">
        <f t="shared" si="6"/>
        <v>#VALUE!</v>
      </c>
      <c r="R94" s="72" t="e">
        <f t="shared" si="9"/>
        <v>#VALUE!</v>
      </c>
      <c r="S94" s="18" t="e">
        <f t="shared" ca="1" si="10"/>
        <v>#VALUE!</v>
      </c>
      <c r="T94" s="18" t="s">
        <v>34</v>
      </c>
      <c r="U94" s="19" t="s">
        <v>327</v>
      </c>
    </row>
    <row r="95" spans="1:21" ht="29.25" customHeight="1" x14ac:dyDescent="0.25">
      <c r="A95" s="67" t="s">
        <v>390</v>
      </c>
      <c r="B95" s="18" t="s">
        <v>391</v>
      </c>
      <c r="C95" s="19" t="s">
        <v>99</v>
      </c>
      <c r="D95" s="19" t="s">
        <v>342</v>
      </c>
      <c r="E95" s="19" t="s">
        <v>343</v>
      </c>
      <c r="F95" s="18" t="s">
        <v>179</v>
      </c>
      <c r="G95" s="18" t="s">
        <v>387</v>
      </c>
      <c r="H95" s="18" t="s">
        <v>325</v>
      </c>
      <c r="I95" s="19" t="s">
        <v>392</v>
      </c>
      <c r="J95" s="19">
        <v>0.05</v>
      </c>
      <c r="K95" s="19" t="s">
        <v>31</v>
      </c>
      <c r="L95" s="19" t="s">
        <v>392</v>
      </c>
      <c r="M95" s="18" t="s">
        <v>104</v>
      </c>
      <c r="N95" s="20">
        <v>50000</v>
      </c>
      <c r="O95" s="21">
        <v>44239</v>
      </c>
      <c r="P95" s="22" t="s">
        <v>95</v>
      </c>
      <c r="Q95" s="21" t="e">
        <f t="shared" si="6"/>
        <v>#VALUE!</v>
      </c>
      <c r="R95" s="72" t="e">
        <f t="shared" si="9"/>
        <v>#VALUE!</v>
      </c>
      <c r="S95" s="18" t="e">
        <f t="shared" ca="1" si="10"/>
        <v>#VALUE!</v>
      </c>
      <c r="T95" s="18" t="s">
        <v>34</v>
      </c>
      <c r="U95" s="19" t="s">
        <v>327</v>
      </c>
    </row>
    <row r="96" spans="1:21" ht="29.25" customHeight="1" x14ac:dyDescent="0.25">
      <c r="A96" s="67" t="s">
        <v>393</v>
      </c>
      <c r="B96" s="18" t="s">
        <v>394</v>
      </c>
      <c r="C96" s="19" t="s">
        <v>99</v>
      </c>
      <c r="D96" s="19" t="s">
        <v>342</v>
      </c>
      <c r="E96" s="19" t="s">
        <v>343</v>
      </c>
      <c r="F96" s="18" t="s">
        <v>179</v>
      </c>
      <c r="G96" s="18" t="s">
        <v>387</v>
      </c>
      <c r="H96" s="18" t="s">
        <v>325</v>
      </c>
      <c r="I96" s="19" t="s">
        <v>395</v>
      </c>
      <c r="J96" s="19">
        <v>0.05</v>
      </c>
      <c r="K96" s="19" t="s">
        <v>31</v>
      </c>
      <c r="L96" s="19" t="s">
        <v>395</v>
      </c>
      <c r="M96" s="18" t="s">
        <v>104</v>
      </c>
      <c r="N96" s="20">
        <v>50000</v>
      </c>
      <c r="O96" s="21">
        <v>44239</v>
      </c>
      <c r="P96" s="22" t="s">
        <v>95</v>
      </c>
      <c r="Q96" s="21" t="e">
        <f t="shared" si="6"/>
        <v>#VALUE!</v>
      </c>
      <c r="R96" s="72" t="e">
        <f t="shared" si="9"/>
        <v>#VALUE!</v>
      </c>
      <c r="S96" s="18" t="e">
        <f t="shared" ca="1" si="10"/>
        <v>#VALUE!</v>
      </c>
      <c r="T96" s="18" t="s">
        <v>34</v>
      </c>
      <c r="U96" s="19" t="s">
        <v>327</v>
      </c>
    </row>
    <row r="97" spans="1:21" ht="29.25" customHeight="1" x14ac:dyDescent="0.25">
      <c r="A97" s="67" t="s">
        <v>393</v>
      </c>
      <c r="B97" s="18" t="s">
        <v>396</v>
      </c>
      <c r="C97" s="19" t="s">
        <v>99</v>
      </c>
      <c r="D97" s="19" t="s">
        <v>342</v>
      </c>
      <c r="E97" s="19" t="s">
        <v>343</v>
      </c>
      <c r="F97" s="18" t="s">
        <v>179</v>
      </c>
      <c r="G97" s="18" t="s">
        <v>387</v>
      </c>
      <c r="H97" s="18" t="s">
        <v>325</v>
      </c>
      <c r="I97" s="19" t="s">
        <v>395</v>
      </c>
      <c r="J97" s="19">
        <v>0.05</v>
      </c>
      <c r="K97" s="19" t="s">
        <v>31</v>
      </c>
      <c r="L97" s="19" t="s">
        <v>395</v>
      </c>
      <c r="M97" s="18" t="s">
        <v>104</v>
      </c>
      <c r="N97" s="20">
        <v>50000</v>
      </c>
      <c r="O97" s="21">
        <v>44239</v>
      </c>
      <c r="P97" s="22" t="s">
        <v>95</v>
      </c>
      <c r="Q97" s="21" t="e">
        <f t="shared" si="6"/>
        <v>#VALUE!</v>
      </c>
      <c r="R97" s="72" t="e">
        <f t="shared" si="9"/>
        <v>#VALUE!</v>
      </c>
      <c r="S97" s="18" t="e">
        <f t="shared" ca="1" si="10"/>
        <v>#VALUE!</v>
      </c>
      <c r="T97" s="18" t="s">
        <v>34</v>
      </c>
      <c r="U97" s="19" t="s">
        <v>327</v>
      </c>
    </row>
    <row r="98" spans="1:21" ht="29.25" customHeight="1" x14ac:dyDescent="0.25">
      <c r="A98" s="67" t="s">
        <v>393</v>
      </c>
      <c r="B98" s="18" t="s">
        <v>397</v>
      </c>
      <c r="C98" s="19" t="s">
        <v>99</v>
      </c>
      <c r="D98" s="19" t="s">
        <v>342</v>
      </c>
      <c r="E98" s="19" t="s">
        <v>343</v>
      </c>
      <c r="F98" s="18" t="s">
        <v>179</v>
      </c>
      <c r="G98" s="18" t="s">
        <v>387</v>
      </c>
      <c r="H98" s="18" t="s">
        <v>325</v>
      </c>
      <c r="I98" s="19" t="s">
        <v>395</v>
      </c>
      <c r="J98" s="19">
        <v>0.05</v>
      </c>
      <c r="K98" s="19" t="s">
        <v>31</v>
      </c>
      <c r="L98" s="19" t="s">
        <v>395</v>
      </c>
      <c r="M98" s="18" t="s">
        <v>104</v>
      </c>
      <c r="N98" s="20">
        <v>50000</v>
      </c>
      <c r="O98" s="21">
        <v>44239</v>
      </c>
      <c r="P98" s="22" t="s">
        <v>95</v>
      </c>
      <c r="Q98" s="21" t="e">
        <f t="shared" si="6"/>
        <v>#VALUE!</v>
      </c>
      <c r="R98" s="72" t="e">
        <f t="shared" si="9"/>
        <v>#VALUE!</v>
      </c>
      <c r="S98" s="18" t="e">
        <f t="shared" ca="1" si="10"/>
        <v>#VALUE!</v>
      </c>
      <c r="T98" s="18" t="s">
        <v>34</v>
      </c>
      <c r="U98" s="19" t="s">
        <v>327</v>
      </c>
    </row>
    <row r="99" spans="1:21" ht="29.25" customHeight="1" x14ac:dyDescent="0.25">
      <c r="A99" s="67" t="s">
        <v>393</v>
      </c>
      <c r="B99" s="18" t="s">
        <v>398</v>
      </c>
      <c r="C99" s="19" t="s">
        <v>99</v>
      </c>
      <c r="D99" s="19" t="s">
        <v>342</v>
      </c>
      <c r="E99" s="19" t="s">
        <v>343</v>
      </c>
      <c r="F99" s="18" t="s">
        <v>179</v>
      </c>
      <c r="G99" s="18" t="s">
        <v>387</v>
      </c>
      <c r="H99" s="18" t="s">
        <v>325</v>
      </c>
      <c r="I99" s="19" t="s">
        <v>395</v>
      </c>
      <c r="J99" s="19">
        <v>0.05</v>
      </c>
      <c r="K99" s="19" t="s">
        <v>31</v>
      </c>
      <c r="L99" s="19" t="s">
        <v>395</v>
      </c>
      <c r="M99" s="18" t="s">
        <v>104</v>
      </c>
      <c r="N99" s="20">
        <v>50000</v>
      </c>
      <c r="O99" s="21">
        <v>44239</v>
      </c>
      <c r="P99" s="22" t="s">
        <v>95</v>
      </c>
      <c r="Q99" s="21" t="e">
        <f t="shared" si="6"/>
        <v>#VALUE!</v>
      </c>
      <c r="R99" s="72" t="e">
        <f t="shared" si="9"/>
        <v>#VALUE!</v>
      </c>
      <c r="S99" s="18" t="e">
        <f t="shared" ca="1" si="10"/>
        <v>#VALUE!</v>
      </c>
      <c r="T99" s="18" t="s">
        <v>34</v>
      </c>
      <c r="U99" s="19" t="s">
        <v>327</v>
      </c>
    </row>
    <row r="100" spans="1:21" ht="29.25" customHeight="1" x14ac:dyDescent="0.25">
      <c r="A100" s="67" t="s">
        <v>399</v>
      </c>
      <c r="B100" s="18" t="s">
        <v>400</v>
      </c>
      <c r="C100" s="19" t="s">
        <v>99</v>
      </c>
      <c r="D100" s="19" t="s">
        <v>342</v>
      </c>
      <c r="E100" s="19" t="s">
        <v>343</v>
      </c>
      <c r="F100" s="18" t="s">
        <v>179</v>
      </c>
      <c r="G100" s="18" t="s">
        <v>387</v>
      </c>
      <c r="H100" s="18" t="s">
        <v>325</v>
      </c>
      <c r="I100" s="19" t="s">
        <v>401</v>
      </c>
      <c r="J100" s="19">
        <v>0.05</v>
      </c>
      <c r="K100" s="19" t="s">
        <v>31</v>
      </c>
      <c r="L100" s="19" t="s">
        <v>401</v>
      </c>
      <c r="M100" s="18" t="s">
        <v>104</v>
      </c>
      <c r="N100" s="20">
        <v>50000</v>
      </c>
      <c r="O100" s="21">
        <v>45247</v>
      </c>
      <c r="P100" s="22" t="s">
        <v>95</v>
      </c>
      <c r="Q100" s="21" t="e">
        <f t="shared" si="6"/>
        <v>#VALUE!</v>
      </c>
      <c r="R100" s="72" t="e">
        <f t="shared" si="9"/>
        <v>#VALUE!</v>
      </c>
      <c r="S100" s="18" t="e">
        <f t="shared" ca="1" si="10"/>
        <v>#VALUE!</v>
      </c>
      <c r="T100" s="18" t="s">
        <v>34</v>
      </c>
      <c r="U100" s="19" t="s">
        <v>327</v>
      </c>
    </row>
    <row r="101" spans="1:21" ht="29.25" customHeight="1" x14ac:dyDescent="0.25">
      <c r="A101" s="67" t="s">
        <v>402</v>
      </c>
      <c r="B101" s="18" t="s">
        <v>403</v>
      </c>
      <c r="C101" s="19" t="s">
        <v>99</v>
      </c>
      <c r="D101" s="19" t="s">
        <v>342</v>
      </c>
      <c r="E101" s="19" t="s">
        <v>404</v>
      </c>
      <c r="F101" s="18" t="s">
        <v>179</v>
      </c>
      <c r="G101" s="18" t="s">
        <v>387</v>
      </c>
      <c r="H101" s="18" t="s">
        <v>325</v>
      </c>
      <c r="I101" s="19" t="s">
        <v>405</v>
      </c>
      <c r="J101" s="19">
        <v>0.05</v>
      </c>
      <c r="K101" s="19" t="s">
        <v>31</v>
      </c>
      <c r="L101" s="19" t="s">
        <v>405</v>
      </c>
      <c r="M101" s="18" t="s">
        <v>104</v>
      </c>
      <c r="N101" s="20">
        <v>50000</v>
      </c>
      <c r="O101" s="21">
        <v>44239</v>
      </c>
      <c r="P101" s="22" t="s">
        <v>95</v>
      </c>
      <c r="Q101" s="21" t="e">
        <f t="shared" si="6"/>
        <v>#VALUE!</v>
      </c>
      <c r="R101" s="72" t="e">
        <f t="shared" si="9"/>
        <v>#VALUE!</v>
      </c>
      <c r="S101" s="18" t="e">
        <f t="shared" ca="1" si="10"/>
        <v>#VALUE!</v>
      </c>
      <c r="T101" s="18" t="s">
        <v>34</v>
      </c>
      <c r="U101" s="19" t="s">
        <v>327</v>
      </c>
    </row>
    <row r="102" spans="1:21" ht="29.25" customHeight="1" x14ac:dyDescent="0.25">
      <c r="A102" s="67" t="s">
        <v>406</v>
      </c>
      <c r="B102" s="18" t="s">
        <v>407</v>
      </c>
      <c r="C102" s="19" t="s">
        <v>99</v>
      </c>
      <c r="D102" s="19" t="s">
        <v>342</v>
      </c>
      <c r="E102" s="19" t="s">
        <v>343</v>
      </c>
      <c r="F102" s="18" t="s">
        <v>179</v>
      </c>
      <c r="G102" s="18" t="s">
        <v>180</v>
      </c>
      <c r="H102" s="18" t="s">
        <v>325</v>
      </c>
      <c r="I102" s="19">
        <v>380</v>
      </c>
      <c r="J102" s="19">
        <v>0.05</v>
      </c>
      <c r="K102" s="19" t="s">
        <v>31</v>
      </c>
      <c r="L102" s="19">
        <v>380</v>
      </c>
      <c r="M102" s="18" t="s">
        <v>104</v>
      </c>
      <c r="N102" s="20">
        <v>50000</v>
      </c>
      <c r="O102" s="21">
        <v>44239</v>
      </c>
      <c r="P102" s="22" t="s">
        <v>95</v>
      </c>
      <c r="Q102" s="21" t="e">
        <f t="shared" si="6"/>
        <v>#VALUE!</v>
      </c>
      <c r="R102" s="72" t="e">
        <f t="shared" ref="R102:R117" si="11">Q102-45</f>
        <v>#VALUE!</v>
      </c>
      <c r="S102" s="18" t="e">
        <f t="shared" ca="1" si="10"/>
        <v>#VALUE!</v>
      </c>
      <c r="T102" s="18" t="s">
        <v>34</v>
      </c>
      <c r="U102" s="19" t="s">
        <v>327</v>
      </c>
    </row>
    <row r="103" spans="1:21" ht="29.25" customHeight="1" x14ac:dyDescent="0.25">
      <c r="A103" s="67" t="s">
        <v>408</v>
      </c>
      <c r="B103" s="18" t="s">
        <v>409</v>
      </c>
      <c r="C103" s="19" t="s">
        <v>99</v>
      </c>
      <c r="D103" s="19" t="s">
        <v>342</v>
      </c>
      <c r="E103" s="19" t="s">
        <v>343</v>
      </c>
      <c r="F103" s="18" t="s">
        <v>179</v>
      </c>
      <c r="G103" s="18" t="s">
        <v>180</v>
      </c>
      <c r="H103" s="18" t="s">
        <v>325</v>
      </c>
      <c r="I103" s="19">
        <v>1440</v>
      </c>
      <c r="J103" s="19">
        <v>0.05</v>
      </c>
      <c r="K103" s="19" t="s">
        <v>31</v>
      </c>
      <c r="L103" s="19">
        <v>1440</v>
      </c>
      <c r="M103" s="18" t="s">
        <v>104</v>
      </c>
      <c r="N103" s="20">
        <v>50000</v>
      </c>
      <c r="O103" s="21">
        <v>44239</v>
      </c>
      <c r="P103" s="22" t="s">
        <v>95</v>
      </c>
      <c r="Q103" s="21" t="e">
        <f t="shared" si="6"/>
        <v>#VALUE!</v>
      </c>
      <c r="R103" s="72" t="e">
        <f t="shared" si="11"/>
        <v>#VALUE!</v>
      </c>
      <c r="S103" s="18" t="e">
        <f t="shared" ca="1" si="10"/>
        <v>#VALUE!</v>
      </c>
      <c r="T103" s="18" t="s">
        <v>34</v>
      </c>
      <c r="U103" s="19" t="s">
        <v>327</v>
      </c>
    </row>
    <row r="104" spans="1:21" ht="29.25" customHeight="1" x14ac:dyDescent="0.25">
      <c r="A104" s="67" t="s">
        <v>410</v>
      </c>
      <c r="B104" s="18" t="s">
        <v>411</v>
      </c>
      <c r="C104" s="19" t="s">
        <v>99</v>
      </c>
      <c r="D104" s="19" t="s">
        <v>342</v>
      </c>
      <c r="E104" s="19" t="s">
        <v>343</v>
      </c>
      <c r="F104" s="18" t="s">
        <v>179</v>
      </c>
      <c r="G104" s="18" t="s">
        <v>180</v>
      </c>
      <c r="H104" s="18" t="s">
        <v>325</v>
      </c>
      <c r="I104" s="19">
        <v>4700</v>
      </c>
      <c r="J104" s="19">
        <v>0.05</v>
      </c>
      <c r="K104" s="19" t="s">
        <v>31</v>
      </c>
      <c r="L104" s="19">
        <v>4700</v>
      </c>
      <c r="M104" s="18" t="s">
        <v>104</v>
      </c>
      <c r="N104" s="20">
        <v>50000</v>
      </c>
      <c r="O104" s="21">
        <v>44239</v>
      </c>
      <c r="P104" s="22" t="s">
        <v>95</v>
      </c>
      <c r="Q104" s="21" t="e">
        <f t="shared" si="6"/>
        <v>#VALUE!</v>
      </c>
      <c r="R104" s="72" t="e">
        <f t="shared" si="11"/>
        <v>#VALUE!</v>
      </c>
      <c r="S104" s="18" t="e">
        <f t="shared" ca="1" si="10"/>
        <v>#VALUE!</v>
      </c>
      <c r="T104" s="18" t="s">
        <v>34</v>
      </c>
      <c r="U104" s="19" t="s">
        <v>327</v>
      </c>
    </row>
    <row r="105" spans="1:21" ht="29.25" customHeight="1" x14ac:dyDescent="0.25">
      <c r="A105" s="67" t="s">
        <v>412</v>
      </c>
      <c r="B105" s="18" t="s">
        <v>413</v>
      </c>
      <c r="C105" s="19" t="s">
        <v>99</v>
      </c>
      <c r="D105" s="19" t="s">
        <v>342</v>
      </c>
      <c r="E105" s="19" t="s">
        <v>343</v>
      </c>
      <c r="F105" s="18" t="s">
        <v>179</v>
      </c>
      <c r="G105" s="18" t="s">
        <v>180</v>
      </c>
      <c r="H105" s="18" t="s">
        <v>325</v>
      </c>
      <c r="I105" s="19" t="s">
        <v>414</v>
      </c>
      <c r="J105" s="19">
        <v>0.05</v>
      </c>
      <c r="K105" s="19" t="s">
        <v>31</v>
      </c>
      <c r="L105" s="19" t="s">
        <v>414</v>
      </c>
      <c r="M105" s="18" t="s">
        <v>104</v>
      </c>
      <c r="N105" s="20">
        <v>51000</v>
      </c>
      <c r="O105" s="21">
        <v>45282</v>
      </c>
      <c r="P105" s="22" t="s">
        <v>95</v>
      </c>
      <c r="Q105" s="21" t="e">
        <f t="shared" si="6"/>
        <v>#VALUE!</v>
      </c>
      <c r="R105" s="72" t="e">
        <f t="shared" si="11"/>
        <v>#VALUE!</v>
      </c>
      <c r="S105" s="18" t="e">
        <f t="shared" ca="1" si="10"/>
        <v>#VALUE!</v>
      </c>
      <c r="T105" s="18" t="s">
        <v>34</v>
      </c>
      <c r="U105" s="19" t="s">
        <v>327</v>
      </c>
    </row>
    <row r="106" spans="1:21" ht="29.25" customHeight="1" x14ac:dyDescent="0.25">
      <c r="A106" s="67" t="s">
        <v>415</v>
      </c>
      <c r="B106" s="18" t="s">
        <v>416</v>
      </c>
      <c r="C106" s="19" t="s">
        <v>99</v>
      </c>
      <c r="D106" s="19" t="s">
        <v>342</v>
      </c>
      <c r="E106" s="19" t="s">
        <v>343</v>
      </c>
      <c r="F106" s="18" t="s">
        <v>179</v>
      </c>
      <c r="G106" s="18" t="s">
        <v>180</v>
      </c>
      <c r="H106" s="18" t="s">
        <v>325</v>
      </c>
      <c r="I106" s="19">
        <v>130</v>
      </c>
      <c r="J106" s="19">
        <v>0.05</v>
      </c>
      <c r="K106" s="19" t="s">
        <v>31</v>
      </c>
      <c r="L106" s="19">
        <v>130</v>
      </c>
      <c r="M106" s="18" t="s">
        <v>104</v>
      </c>
      <c r="N106" s="20">
        <v>50000</v>
      </c>
      <c r="O106" s="21">
        <v>44239</v>
      </c>
      <c r="P106" s="22" t="s">
        <v>95</v>
      </c>
      <c r="Q106" s="21" t="e">
        <f t="shared" si="6"/>
        <v>#VALUE!</v>
      </c>
      <c r="R106" s="72" t="e">
        <f t="shared" si="11"/>
        <v>#VALUE!</v>
      </c>
      <c r="S106" s="18" t="e">
        <f t="shared" ca="1" si="10"/>
        <v>#VALUE!</v>
      </c>
      <c r="T106" s="18" t="s">
        <v>34</v>
      </c>
      <c r="U106" s="19" t="s">
        <v>327</v>
      </c>
    </row>
    <row r="107" spans="1:21" ht="29.25" customHeight="1" x14ac:dyDescent="0.25">
      <c r="A107" s="67" t="s">
        <v>417</v>
      </c>
      <c r="B107" s="18" t="s">
        <v>418</v>
      </c>
      <c r="C107" s="19" t="s">
        <v>99</v>
      </c>
      <c r="D107" s="19" t="s">
        <v>342</v>
      </c>
      <c r="E107" s="19" t="s">
        <v>343</v>
      </c>
      <c r="F107" s="18" t="s">
        <v>179</v>
      </c>
      <c r="G107" s="18" t="s">
        <v>180</v>
      </c>
      <c r="H107" s="18" t="s">
        <v>325</v>
      </c>
      <c r="I107" s="19">
        <v>30</v>
      </c>
      <c r="J107" s="19">
        <v>0.05</v>
      </c>
      <c r="K107" s="19" t="s">
        <v>31</v>
      </c>
      <c r="L107" s="19">
        <v>150</v>
      </c>
      <c r="M107" s="18" t="s">
        <v>104</v>
      </c>
      <c r="N107" s="20">
        <v>50000</v>
      </c>
      <c r="O107" s="21">
        <v>44239</v>
      </c>
      <c r="P107" s="22" t="s">
        <v>95</v>
      </c>
      <c r="Q107" s="21" t="e">
        <f t="shared" si="6"/>
        <v>#VALUE!</v>
      </c>
      <c r="R107" s="72" t="e">
        <f t="shared" si="11"/>
        <v>#VALUE!</v>
      </c>
      <c r="S107" s="18" t="e">
        <f t="shared" ca="1" si="10"/>
        <v>#VALUE!</v>
      </c>
      <c r="T107" s="18" t="s">
        <v>34</v>
      </c>
      <c r="U107" s="19" t="s">
        <v>327</v>
      </c>
    </row>
    <row r="108" spans="1:21" ht="29.25" customHeight="1" x14ac:dyDescent="0.25">
      <c r="A108" s="67" t="s">
        <v>419</v>
      </c>
      <c r="B108" s="18" t="s">
        <v>420</v>
      </c>
      <c r="C108" s="19" t="s">
        <v>421</v>
      </c>
      <c r="D108" s="19" t="s">
        <v>239</v>
      </c>
      <c r="E108" s="19" t="s">
        <v>422</v>
      </c>
      <c r="F108" s="18" t="s">
        <v>423</v>
      </c>
      <c r="G108" s="18" t="s">
        <v>424</v>
      </c>
      <c r="H108" s="18">
        <v>1</v>
      </c>
      <c r="I108" s="19" t="s">
        <v>425</v>
      </c>
      <c r="J108" s="19">
        <v>0.02</v>
      </c>
      <c r="K108" s="19" t="s">
        <v>31</v>
      </c>
      <c r="L108" s="19" t="s">
        <v>425</v>
      </c>
      <c r="M108" s="18">
        <v>47</v>
      </c>
      <c r="N108" s="20">
        <v>400000</v>
      </c>
      <c r="O108" s="21">
        <v>45104</v>
      </c>
      <c r="P108" s="22" t="s">
        <v>426</v>
      </c>
      <c r="Q108" s="21">
        <f t="shared" si="6"/>
        <v>46534</v>
      </c>
      <c r="R108" s="72">
        <f t="shared" si="11"/>
        <v>46489</v>
      </c>
      <c r="S108" s="18" t="str">
        <f t="shared" ca="1" si="10"/>
        <v>CALIBRADO</v>
      </c>
      <c r="T108" s="18" t="s">
        <v>34</v>
      </c>
      <c r="U108" s="19"/>
    </row>
    <row r="109" spans="1:21" ht="29.25" customHeight="1" x14ac:dyDescent="0.25">
      <c r="A109" s="67" t="s">
        <v>427</v>
      </c>
      <c r="B109" s="18" t="s">
        <v>428</v>
      </c>
      <c r="C109" s="19">
        <v>69654</v>
      </c>
      <c r="D109" s="19" t="s">
        <v>39</v>
      </c>
      <c r="E109" s="19" t="s">
        <v>429</v>
      </c>
      <c r="F109" s="18" t="s">
        <v>28</v>
      </c>
      <c r="G109" s="18" t="s">
        <v>430</v>
      </c>
      <c r="H109" s="18" t="s">
        <v>325</v>
      </c>
      <c r="I109" s="19" t="s">
        <v>431</v>
      </c>
      <c r="J109" s="19">
        <v>0.76</v>
      </c>
      <c r="K109" s="19" t="s">
        <v>31</v>
      </c>
      <c r="L109" s="19" t="s">
        <v>432</v>
      </c>
      <c r="M109" s="18">
        <v>60</v>
      </c>
      <c r="N109" s="20">
        <v>0</v>
      </c>
      <c r="O109" s="21">
        <v>45244</v>
      </c>
      <c r="P109" s="22" t="s">
        <v>39</v>
      </c>
      <c r="Q109" s="21">
        <f t="shared" si="6"/>
        <v>47071</v>
      </c>
      <c r="R109" s="72">
        <f t="shared" si="11"/>
        <v>47026</v>
      </c>
      <c r="S109" s="18" t="str">
        <f t="shared" ca="1" si="10"/>
        <v>CALIBRADO</v>
      </c>
      <c r="T109" s="18" t="s">
        <v>34</v>
      </c>
      <c r="U109" s="19"/>
    </row>
    <row r="110" spans="1:21" ht="29.25" customHeight="1" x14ac:dyDescent="0.25">
      <c r="A110" s="67" t="s">
        <v>433</v>
      </c>
      <c r="B110" s="18" t="s">
        <v>434</v>
      </c>
      <c r="C110" s="19" t="s">
        <v>99</v>
      </c>
      <c r="D110" s="19" t="s">
        <v>239</v>
      </c>
      <c r="E110" s="19" t="s">
        <v>300</v>
      </c>
      <c r="F110" s="18" t="s">
        <v>435</v>
      </c>
      <c r="G110" s="18" t="s">
        <v>436</v>
      </c>
      <c r="H110" s="18">
        <v>1</v>
      </c>
      <c r="I110" s="19" t="s">
        <v>437</v>
      </c>
      <c r="J110" s="19" t="s">
        <v>300</v>
      </c>
      <c r="K110" s="19" t="s">
        <v>31</v>
      </c>
      <c r="L110" s="19" t="s">
        <v>437</v>
      </c>
      <c r="M110" s="18">
        <v>72</v>
      </c>
      <c r="N110" s="20">
        <v>0</v>
      </c>
      <c r="O110" s="21">
        <v>43990</v>
      </c>
      <c r="P110" s="22" t="s">
        <v>65</v>
      </c>
      <c r="Q110" s="21">
        <f t="shared" si="6"/>
        <v>46181</v>
      </c>
      <c r="R110" s="72">
        <f t="shared" si="11"/>
        <v>46136</v>
      </c>
      <c r="S110" s="18" t="str">
        <f t="shared" ca="1" si="10"/>
        <v>VENCIDO</v>
      </c>
      <c r="T110" s="18" t="s">
        <v>34</v>
      </c>
      <c r="U110" s="19" t="s">
        <v>438</v>
      </c>
    </row>
    <row r="111" spans="1:21" ht="33.75" customHeight="1" x14ac:dyDescent="0.25">
      <c r="A111" s="55" t="s">
        <v>439</v>
      </c>
      <c r="B111" s="18" t="s">
        <v>440</v>
      </c>
      <c r="C111" s="19" t="s">
        <v>441</v>
      </c>
      <c r="D111" s="19" t="s">
        <v>442</v>
      </c>
      <c r="E111" s="19" t="s">
        <v>443</v>
      </c>
      <c r="F111" s="18" t="s">
        <v>271</v>
      </c>
      <c r="G111" s="18" t="s">
        <v>272</v>
      </c>
      <c r="H111" s="18">
        <v>1</v>
      </c>
      <c r="I111" s="19" t="s">
        <v>444</v>
      </c>
      <c r="J111" s="19">
        <v>1.6E-2</v>
      </c>
      <c r="K111" s="19" t="s">
        <v>31</v>
      </c>
      <c r="L111" s="19" t="s">
        <v>444</v>
      </c>
      <c r="M111" s="18">
        <v>60</v>
      </c>
      <c r="N111" s="20">
        <v>217800</v>
      </c>
      <c r="O111" s="21">
        <v>44623</v>
      </c>
      <c r="P111" s="22" t="s">
        <v>65</v>
      </c>
      <c r="Q111" s="21">
        <f t="shared" si="6"/>
        <v>46449</v>
      </c>
      <c r="R111" s="72">
        <f t="shared" si="11"/>
        <v>46404</v>
      </c>
      <c r="S111" s="76" t="s">
        <v>335</v>
      </c>
      <c r="T111" s="76" t="s">
        <v>335</v>
      </c>
      <c r="U111" s="19" t="s">
        <v>445</v>
      </c>
    </row>
    <row r="112" spans="1:21" ht="32.25" customHeight="1" x14ac:dyDescent="0.25">
      <c r="A112" s="67" t="s">
        <v>439</v>
      </c>
      <c r="B112" s="18" t="s">
        <v>446</v>
      </c>
      <c r="C112" s="19" t="s">
        <v>441</v>
      </c>
      <c r="D112" s="19" t="s">
        <v>442</v>
      </c>
      <c r="E112" s="19" t="s">
        <v>443</v>
      </c>
      <c r="F112" s="18" t="s">
        <v>271</v>
      </c>
      <c r="G112" s="18" t="s">
        <v>272</v>
      </c>
      <c r="H112" s="18">
        <v>1</v>
      </c>
      <c r="I112" s="19" t="s">
        <v>444</v>
      </c>
      <c r="J112" s="19" t="s">
        <v>447</v>
      </c>
      <c r="K112" s="19" t="s">
        <v>31</v>
      </c>
      <c r="L112" s="19" t="s">
        <v>444</v>
      </c>
      <c r="M112" s="18">
        <v>70</v>
      </c>
      <c r="N112" s="20">
        <v>0</v>
      </c>
      <c r="O112" s="21">
        <v>44021</v>
      </c>
      <c r="P112" s="80" t="s">
        <v>65</v>
      </c>
      <c r="Q112" s="21">
        <f t="shared" si="6"/>
        <v>46151</v>
      </c>
      <c r="R112" s="72">
        <f t="shared" si="11"/>
        <v>46106</v>
      </c>
      <c r="S112" s="18" t="str">
        <f t="shared" ca="1" si="10"/>
        <v>VENCIDO</v>
      </c>
      <c r="T112" s="18" t="s">
        <v>34</v>
      </c>
      <c r="U112" s="19" t="s">
        <v>448</v>
      </c>
    </row>
    <row r="113" spans="1:21" ht="29.25" customHeight="1" x14ac:dyDescent="0.25">
      <c r="A113" s="67" t="s">
        <v>449</v>
      </c>
      <c r="B113" s="18" t="s">
        <v>450</v>
      </c>
      <c r="C113" s="19" t="s">
        <v>451</v>
      </c>
      <c r="D113" s="19" t="s">
        <v>452</v>
      </c>
      <c r="E113" s="19" t="s">
        <v>300</v>
      </c>
      <c r="F113" s="18" t="s">
        <v>134</v>
      </c>
      <c r="G113" s="18" t="s">
        <v>135</v>
      </c>
      <c r="H113" s="18">
        <v>0.1</v>
      </c>
      <c r="I113" s="19" t="s">
        <v>453</v>
      </c>
      <c r="J113" s="19">
        <v>0.01</v>
      </c>
      <c r="K113" s="19" t="s">
        <v>31</v>
      </c>
      <c r="L113" s="19" t="s">
        <v>453</v>
      </c>
      <c r="M113" s="18">
        <v>31</v>
      </c>
      <c r="N113" s="20">
        <v>195000</v>
      </c>
      <c r="O113" s="21">
        <v>45198</v>
      </c>
      <c r="P113" s="22" t="s">
        <v>137</v>
      </c>
      <c r="Q113" s="21">
        <f t="shared" si="6"/>
        <v>46141</v>
      </c>
      <c r="R113" s="72">
        <f t="shared" si="11"/>
        <v>46096</v>
      </c>
      <c r="S113" s="18" t="str">
        <f t="shared" ca="1" si="10"/>
        <v>VENCIDO</v>
      </c>
      <c r="T113" s="18" t="s">
        <v>34</v>
      </c>
      <c r="U113" s="19"/>
    </row>
    <row r="114" spans="1:21" ht="36.75" customHeight="1" x14ac:dyDescent="0.25">
      <c r="A114" s="71" t="s">
        <v>454</v>
      </c>
      <c r="B114" s="18" t="s">
        <v>455</v>
      </c>
      <c r="C114" s="19" t="s">
        <v>456</v>
      </c>
      <c r="D114" s="19" t="s">
        <v>148</v>
      </c>
      <c r="E114" s="19" t="s">
        <v>457</v>
      </c>
      <c r="F114" s="18" t="s">
        <v>80</v>
      </c>
      <c r="G114" s="18" t="s">
        <v>81</v>
      </c>
      <c r="H114" s="18">
        <v>0.1</v>
      </c>
      <c r="I114" s="19" t="s">
        <v>458</v>
      </c>
      <c r="J114" s="19">
        <v>0.01</v>
      </c>
      <c r="K114" s="19" t="s">
        <v>31</v>
      </c>
      <c r="L114" s="19" t="s">
        <v>458</v>
      </c>
      <c r="M114" s="18">
        <v>26</v>
      </c>
      <c r="N114" s="20">
        <v>181500</v>
      </c>
      <c r="O114" s="21">
        <v>44001</v>
      </c>
      <c r="P114" s="22" t="s">
        <v>65</v>
      </c>
      <c r="Q114" s="21">
        <f t="shared" si="6"/>
        <v>44792</v>
      </c>
      <c r="R114" s="72">
        <f t="shared" si="11"/>
        <v>44747</v>
      </c>
      <c r="S114" s="76" t="s">
        <v>335</v>
      </c>
      <c r="T114" s="76" t="s">
        <v>335</v>
      </c>
      <c r="U114" s="19" t="s">
        <v>459</v>
      </c>
    </row>
    <row r="115" spans="1:21" ht="26.25" customHeight="1" x14ac:dyDescent="0.25">
      <c r="A115" s="67" t="s">
        <v>460</v>
      </c>
      <c r="B115" s="18" t="s">
        <v>461</v>
      </c>
      <c r="C115" s="19">
        <v>1090186991</v>
      </c>
      <c r="D115" s="19" t="s">
        <v>148</v>
      </c>
      <c r="E115" s="19" t="s">
        <v>462</v>
      </c>
      <c r="F115" s="18" t="s">
        <v>463</v>
      </c>
      <c r="G115" s="18" t="s">
        <v>464</v>
      </c>
      <c r="H115" s="18">
        <v>0.1</v>
      </c>
      <c r="I115" s="19" t="s">
        <v>465</v>
      </c>
      <c r="J115" s="19">
        <v>0.02</v>
      </c>
      <c r="K115" s="19" t="s">
        <v>31</v>
      </c>
      <c r="L115" s="19" t="s">
        <v>466</v>
      </c>
      <c r="M115" s="18">
        <v>72</v>
      </c>
      <c r="N115" s="20">
        <v>0</v>
      </c>
      <c r="O115" s="21">
        <v>44012</v>
      </c>
      <c r="P115" s="22" t="s">
        <v>154</v>
      </c>
      <c r="Q115" s="21">
        <f t="shared" ref="Q115:Q146" si="12">EDATE(O115,M115)</f>
        <v>46203</v>
      </c>
      <c r="R115" s="72">
        <f t="shared" si="11"/>
        <v>46158</v>
      </c>
      <c r="S115" s="18" t="str">
        <f t="shared" ca="1" si="10"/>
        <v>VENCIDO</v>
      </c>
      <c r="T115" s="18" t="s">
        <v>34</v>
      </c>
      <c r="U115" s="16" t="s">
        <v>155</v>
      </c>
    </row>
    <row r="116" spans="1:21" ht="29.25" customHeight="1" x14ac:dyDescent="0.25">
      <c r="A116" s="67" t="s">
        <v>467</v>
      </c>
      <c r="B116" s="18" t="s">
        <v>468</v>
      </c>
      <c r="C116" s="19">
        <v>133</v>
      </c>
      <c r="D116" s="19" t="s">
        <v>39</v>
      </c>
      <c r="E116" s="19" t="s">
        <v>469</v>
      </c>
      <c r="F116" s="18" t="s">
        <v>80</v>
      </c>
      <c r="G116" s="18" t="s">
        <v>81</v>
      </c>
      <c r="H116" s="18">
        <v>0.1</v>
      </c>
      <c r="I116" s="19" t="s">
        <v>470</v>
      </c>
      <c r="J116" s="19">
        <v>0.02</v>
      </c>
      <c r="K116" s="19" t="s">
        <v>31</v>
      </c>
      <c r="L116" s="19" t="s">
        <v>470</v>
      </c>
      <c r="M116" s="18">
        <v>72</v>
      </c>
      <c r="N116" s="20">
        <v>0</v>
      </c>
      <c r="O116" s="21">
        <v>44035</v>
      </c>
      <c r="P116" s="22" t="s">
        <v>39</v>
      </c>
      <c r="Q116" s="21">
        <f t="shared" si="12"/>
        <v>46226</v>
      </c>
      <c r="R116" s="72">
        <f t="shared" si="11"/>
        <v>46181</v>
      </c>
      <c r="S116" s="18" t="str">
        <f t="shared" ca="1" si="10"/>
        <v>PROGRAMADO</v>
      </c>
      <c r="T116" s="18" t="s">
        <v>34</v>
      </c>
      <c r="U116" s="19" t="s">
        <v>155</v>
      </c>
    </row>
    <row r="117" spans="1:21" ht="29.25" customHeight="1" x14ac:dyDescent="0.25">
      <c r="A117" s="67" t="s">
        <v>471</v>
      </c>
      <c r="B117" s="18" t="s">
        <v>472</v>
      </c>
      <c r="C117" s="19" t="s">
        <v>99</v>
      </c>
      <c r="D117" s="19" t="s">
        <v>342</v>
      </c>
      <c r="E117" s="19" t="s">
        <v>404</v>
      </c>
      <c r="F117" s="18" t="s">
        <v>179</v>
      </c>
      <c r="G117" s="18" t="s">
        <v>387</v>
      </c>
      <c r="H117" s="18" t="s">
        <v>325</v>
      </c>
      <c r="I117" s="19">
        <v>2</v>
      </c>
      <c r="J117" s="19">
        <v>0.05</v>
      </c>
      <c r="K117" s="19" t="s">
        <v>31</v>
      </c>
      <c r="L117" s="19">
        <v>2</v>
      </c>
      <c r="M117" s="18" t="s">
        <v>104</v>
      </c>
      <c r="N117" s="20">
        <v>50000</v>
      </c>
      <c r="O117" s="21">
        <v>44239</v>
      </c>
      <c r="P117" s="22" t="s">
        <v>95</v>
      </c>
      <c r="Q117" s="21" t="e">
        <f t="shared" si="12"/>
        <v>#VALUE!</v>
      </c>
      <c r="R117" s="72" t="e">
        <f t="shared" si="11"/>
        <v>#VALUE!</v>
      </c>
      <c r="S117" s="18" t="e">
        <f t="shared" ca="1" si="10"/>
        <v>#VALUE!</v>
      </c>
      <c r="T117" s="18" t="s">
        <v>34</v>
      </c>
      <c r="U117" s="19" t="s">
        <v>327</v>
      </c>
    </row>
    <row r="118" spans="1:21" ht="29.25" customHeight="1" x14ac:dyDescent="0.25">
      <c r="A118" s="67" t="s">
        <v>473</v>
      </c>
      <c r="B118" s="18" t="s">
        <v>474</v>
      </c>
      <c r="C118" s="19" t="s">
        <v>99</v>
      </c>
      <c r="D118" s="19" t="s">
        <v>342</v>
      </c>
      <c r="E118" s="19" t="s">
        <v>475</v>
      </c>
      <c r="F118" s="18" t="s">
        <v>179</v>
      </c>
      <c r="G118" s="18" t="s">
        <v>180</v>
      </c>
      <c r="H118" s="18" t="s">
        <v>325</v>
      </c>
      <c r="I118" s="19">
        <v>130</v>
      </c>
      <c r="J118" s="19">
        <v>0.05</v>
      </c>
      <c r="K118" s="19" t="s">
        <v>31</v>
      </c>
      <c r="L118" s="19">
        <v>2000</v>
      </c>
      <c r="M118" s="18" t="s">
        <v>104</v>
      </c>
      <c r="N118" s="20">
        <v>50000</v>
      </c>
      <c r="O118" s="21">
        <v>44239</v>
      </c>
      <c r="P118" s="22" t="s">
        <v>95</v>
      </c>
      <c r="Q118" s="21" t="e">
        <f t="shared" si="12"/>
        <v>#VALUE!</v>
      </c>
      <c r="R118" s="72" t="e">
        <f>Q118-45</f>
        <v>#VALUE!</v>
      </c>
      <c r="S118" s="18" t="e">
        <f t="shared" ca="1" si="10"/>
        <v>#VALUE!</v>
      </c>
      <c r="T118" s="18" t="s">
        <v>34</v>
      </c>
      <c r="U118" s="19" t="s">
        <v>327</v>
      </c>
    </row>
    <row r="119" spans="1:21" ht="29.25" customHeight="1" x14ac:dyDescent="0.25">
      <c r="A119" s="67" t="s">
        <v>476</v>
      </c>
      <c r="B119" s="18" t="s">
        <v>477</v>
      </c>
      <c r="C119" s="19" t="s">
        <v>99</v>
      </c>
      <c r="D119" s="19" t="s">
        <v>342</v>
      </c>
      <c r="E119" s="19" t="s">
        <v>343</v>
      </c>
      <c r="F119" s="18" t="s">
        <v>179</v>
      </c>
      <c r="G119" s="18" t="s">
        <v>180</v>
      </c>
      <c r="H119" s="18" t="s">
        <v>325</v>
      </c>
      <c r="I119" s="19">
        <v>450</v>
      </c>
      <c r="J119" s="19">
        <v>0.05</v>
      </c>
      <c r="K119" s="19" t="s">
        <v>31</v>
      </c>
      <c r="L119" s="19">
        <v>450</v>
      </c>
      <c r="M119" s="18" t="s">
        <v>104</v>
      </c>
      <c r="N119" s="20">
        <v>50000</v>
      </c>
      <c r="O119" s="21">
        <v>44239</v>
      </c>
      <c r="P119" s="22" t="s">
        <v>95</v>
      </c>
      <c r="Q119" s="21" t="e">
        <f t="shared" si="12"/>
        <v>#VALUE!</v>
      </c>
      <c r="R119" s="72" t="e">
        <f>Q119-45</f>
        <v>#VALUE!</v>
      </c>
      <c r="S119" s="18" t="e">
        <f t="shared" ca="1" si="10"/>
        <v>#VALUE!</v>
      </c>
      <c r="T119" s="18" t="s">
        <v>34</v>
      </c>
      <c r="U119" s="19" t="s">
        <v>327</v>
      </c>
    </row>
    <row r="120" spans="1:21" ht="29.25" customHeight="1" x14ac:dyDescent="0.25">
      <c r="A120" s="70" t="s">
        <v>478</v>
      </c>
      <c r="B120" s="18" t="s">
        <v>479</v>
      </c>
      <c r="C120" s="19">
        <v>171129858</v>
      </c>
      <c r="D120" s="19" t="s">
        <v>480</v>
      </c>
      <c r="E120" s="19" t="s">
        <v>481</v>
      </c>
      <c r="F120" s="19" t="s">
        <v>482</v>
      </c>
      <c r="G120" s="18" t="s">
        <v>200</v>
      </c>
      <c r="H120" s="18">
        <v>0.1</v>
      </c>
      <c r="I120" s="19" t="s">
        <v>483</v>
      </c>
      <c r="J120" s="19">
        <v>0.03</v>
      </c>
      <c r="K120" s="19" t="s">
        <v>31</v>
      </c>
      <c r="L120" s="19" t="s">
        <v>484</v>
      </c>
      <c r="M120" s="18">
        <v>36</v>
      </c>
      <c r="N120" s="20">
        <v>275000</v>
      </c>
      <c r="O120" s="21">
        <v>45226</v>
      </c>
      <c r="P120" s="22" t="s">
        <v>485</v>
      </c>
      <c r="Q120" s="21">
        <f t="shared" si="12"/>
        <v>46322</v>
      </c>
      <c r="R120" s="72">
        <f>Q120-45</f>
        <v>46277</v>
      </c>
      <c r="S120" s="18" t="str">
        <f t="shared" ca="1" si="10"/>
        <v>CALIBRADO</v>
      </c>
      <c r="T120" s="18" t="s">
        <v>34</v>
      </c>
      <c r="U120" s="19" t="s">
        <v>198</v>
      </c>
    </row>
    <row r="121" spans="1:21" ht="29.25" customHeight="1" x14ac:dyDescent="0.25">
      <c r="A121" s="67" t="s">
        <v>486</v>
      </c>
      <c r="B121" s="18" t="s">
        <v>487</v>
      </c>
      <c r="C121" s="19">
        <v>37277583</v>
      </c>
      <c r="D121" s="19" t="s">
        <v>488</v>
      </c>
      <c r="E121" s="19" t="s">
        <v>489</v>
      </c>
      <c r="F121" s="19" t="s">
        <v>106</v>
      </c>
      <c r="G121" s="18" t="s">
        <v>490</v>
      </c>
      <c r="H121" s="18">
        <v>0.1</v>
      </c>
      <c r="I121" s="19" t="s">
        <v>491</v>
      </c>
      <c r="J121" s="19">
        <v>0.03</v>
      </c>
      <c r="K121" s="19" t="s">
        <v>31</v>
      </c>
      <c r="L121" s="19" t="s">
        <v>491</v>
      </c>
      <c r="M121" s="18">
        <v>26</v>
      </c>
      <c r="N121" s="20">
        <v>595000</v>
      </c>
      <c r="O121" s="21">
        <v>46108</v>
      </c>
      <c r="P121" s="22" t="s">
        <v>171</v>
      </c>
      <c r="Q121" s="21">
        <f t="shared" si="12"/>
        <v>46900</v>
      </c>
      <c r="R121" s="72">
        <f>Q121-45</f>
        <v>46855</v>
      </c>
      <c r="S121" s="18" t="str">
        <f t="shared" ca="1" si="10"/>
        <v>CALIBRADO</v>
      </c>
      <c r="T121" s="18" t="s">
        <v>34</v>
      </c>
      <c r="U121" s="19"/>
    </row>
    <row r="122" spans="1:21" ht="29.25" customHeight="1" x14ac:dyDescent="0.25">
      <c r="A122" s="67" t="s">
        <v>486</v>
      </c>
      <c r="B122" s="18" t="s">
        <v>487</v>
      </c>
      <c r="C122" s="19">
        <v>37277583</v>
      </c>
      <c r="D122" s="19" t="s">
        <v>488</v>
      </c>
      <c r="E122" s="19" t="s">
        <v>489</v>
      </c>
      <c r="F122" s="18" t="s">
        <v>80</v>
      </c>
      <c r="G122" s="18" t="s">
        <v>81</v>
      </c>
      <c r="H122" s="18">
        <v>0.1</v>
      </c>
      <c r="I122" s="19" t="s">
        <v>492</v>
      </c>
      <c r="J122" s="19">
        <v>0.01</v>
      </c>
      <c r="K122" s="19" t="s">
        <v>31</v>
      </c>
      <c r="L122" s="19" t="s">
        <v>493</v>
      </c>
      <c r="M122" s="18">
        <v>26</v>
      </c>
      <c r="N122" s="20">
        <v>595000</v>
      </c>
      <c r="O122" s="21">
        <v>46118</v>
      </c>
      <c r="P122" s="22" t="s">
        <v>171</v>
      </c>
      <c r="Q122" s="21">
        <f t="shared" si="12"/>
        <v>46910</v>
      </c>
      <c r="R122" s="72">
        <f>Q122-45</f>
        <v>46865</v>
      </c>
      <c r="S122" s="18" t="str">
        <f t="shared" ca="1" si="10"/>
        <v>CALIBRADO</v>
      </c>
      <c r="T122" s="18" t="s">
        <v>34</v>
      </c>
      <c r="U122" s="19"/>
    </row>
    <row r="123" spans="1:21" ht="29.25" customHeight="1" x14ac:dyDescent="0.25">
      <c r="A123" s="67" t="s">
        <v>486</v>
      </c>
      <c r="B123" s="18" t="s">
        <v>494</v>
      </c>
      <c r="C123" s="19">
        <v>37297410</v>
      </c>
      <c r="D123" s="19" t="s">
        <v>488</v>
      </c>
      <c r="E123" s="19" t="s">
        <v>489</v>
      </c>
      <c r="F123" s="19" t="s">
        <v>106</v>
      </c>
      <c r="G123" s="18" t="s">
        <v>490</v>
      </c>
      <c r="H123" s="18">
        <v>0.1</v>
      </c>
      <c r="I123" s="19" t="s">
        <v>491</v>
      </c>
      <c r="J123" s="19">
        <v>0.1</v>
      </c>
      <c r="K123" s="19" t="s">
        <v>31</v>
      </c>
      <c r="L123" s="19" t="s">
        <v>491</v>
      </c>
      <c r="M123" s="18">
        <v>32</v>
      </c>
      <c r="N123" s="20">
        <v>595000</v>
      </c>
      <c r="O123" s="21">
        <v>46156</v>
      </c>
      <c r="P123" s="22" t="s">
        <v>495</v>
      </c>
      <c r="Q123" s="21">
        <f t="shared" si="12"/>
        <v>47132</v>
      </c>
      <c r="R123" s="72">
        <f t="shared" ref="R123:R151" si="13">Q123-45</f>
        <v>47087</v>
      </c>
      <c r="S123" s="18" t="str">
        <f t="shared" ca="1" si="10"/>
        <v>CALIBRADO</v>
      </c>
      <c r="T123" s="18" t="s">
        <v>34</v>
      </c>
      <c r="U123" s="19"/>
    </row>
    <row r="124" spans="1:21" ht="29.25" customHeight="1" x14ac:dyDescent="0.25">
      <c r="A124" s="67" t="s">
        <v>486</v>
      </c>
      <c r="B124" s="18" t="s">
        <v>494</v>
      </c>
      <c r="C124" s="19">
        <v>37297410</v>
      </c>
      <c r="D124" s="19" t="s">
        <v>488</v>
      </c>
      <c r="E124" s="19" t="s">
        <v>489</v>
      </c>
      <c r="F124" s="18" t="s">
        <v>80</v>
      </c>
      <c r="G124" s="18" t="s">
        <v>81</v>
      </c>
      <c r="H124" s="18">
        <v>0.1</v>
      </c>
      <c r="I124" s="19" t="s">
        <v>492</v>
      </c>
      <c r="J124" s="19">
        <v>0.01</v>
      </c>
      <c r="K124" s="19" t="s">
        <v>31</v>
      </c>
      <c r="L124" s="19" t="s">
        <v>496</v>
      </c>
      <c r="M124" s="18">
        <v>32</v>
      </c>
      <c r="N124" s="20">
        <v>595000</v>
      </c>
      <c r="O124" s="21">
        <v>46157</v>
      </c>
      <c r="P124" s="22" t="s">
        <v>495</v>
      </c>
      <c r="Q124" s="21">
        <f t="shared" si="12"/>
        <v>47133</v>
      </c>
      <c r="R124" s="72">
        <f t="shared" si="13"/>
        <v>47088</v>
      </c>
      <c r="S124" s="18" t="str">
        <f t="shared" ca="1" si="10"/>
        <v>CALIBRADO</v>
      </c>
      <c r="T124" s="18" t="s">
        <v>34</v>
      </c>
      <c r="U124" s="19"/>
    </row>
    <row r="125" spans="1:21" ht="29.25" customHeight="1" x14ac:dyDescent="0.25">
      <c r="A125" s="67" t="s">
        <v>497</v>
      </c>
      <c r="B125" s="18" t="s">
        <v>498</v>
      </c>
      <c r="C125" s="19" t="s">
        <v>499</v>
      </c>
      <c r="D125" s="19" t="s">
        <v>500</v>
      </c>
      <c r="E125" s="19">
        <v>2</v>
      </c>
      <c r="F125" s="18" t="s">
        <v>28</v>
      </c>
      <c r="G125" s="18" t="s">
        <v>53</v>
      </c>
      <c r="H125" s="18">
        <v>1E-3</v>
      </c>
      <c r="I125" s="19" t="s">
        <v>501</v>
      </c>
      <c r="J125" s="19">
        <v>1E-3</v>
      </c>
      <c r="K125" s="19" t="s">
        <v>31</v>
      </c>
      <c r="L125" s="19" t="s">
        <v>501</v>
      </c>
      <c r="M125" s="18">
        <v>72</v>
      </c>
      <c r="N125" s="20">
        <v>0</v>
      </c>
      <c r="O125" s="21">
        <v>44077</v>
      </c>
      <c r="P125" s="22" t="s">
        <v>55</v>
      </c>
      <c r="Q125" s="21">
        <f t="shared" si="12"/>
        <v>46268</v>
      </c>
      <c r="R125" s="72">
        <f t="shared" si="13"/>
        <v>46223</v>
      </c>
      <c r="S125" s="18" t="str">
        <f t="shared" ca="1" si="10"/>
        <v>CALIBRADO</v>
      </c>
      <c r="T125" s="18" t="s">
        <v>34</v>
      </c>
      <c r="U125" s="19" t="s">
        <v>502</v>
      </c>
    </row>
    <row r="126" spans="1:21" ht="29.25" customHeight="1" x14ac:dyDescent="0.25">
      <c r="A126" s="67" t="s">
        <v>503</v>
      </c>
      <c r="B126" s="18" t="s">
        <v>504</v>
      </c>
      <c r="C126" s="19" t="s">
        <v>325</v>
      </c>
      <c r="D126" s="19" t="s">
        <v>505</v>
      </c>
      <c r="E126" s="19" t="s">
        <v>300</v>
      </c>
      <c r="F126" s="18" t="s">
        <v>506</v>
      </c>
      <c r="G126" s="18" t="s">
        <v>507</v>
      </c>
      <c r="H126" s="18">
        <v>0.01</v>
      </c>
      <c r="I126" s="19" t="s">
        <v>508</v>
      </c>
      <c r="J126" s="19">
        <v>0.01</v>
      </c>
      <c r="K126" s="19" t="s">
        <v>31</v>
      </c>
      <c r="L126" s="19" t="s">
        <v>508</v>
      </c>
      <c r="M126" s="18">
        <v>72</v>
      </c>
      <c r="N126" s="20">
        <v>0</v>
      </c>
      <c r="O126" s="21">
        <v>44083</v>
      </c>
      <c r="P126" s="22" t="s">
        <v>55</v>
      </c>
      <c r="Q126" s="21">
        <f t="shared" si="12"/>
        <v>46274</v>
      </c>
      <c r="R126" s="72">
        <f t="shared" si="13"/>
        <v>46229</v>
      </c>
      <c r="S126" s="18" t="str">
        <f t="shared" ca="1" si="10"/>
        <v>CALIBRADO</v>
      </c>
      <c r="T126" s="18" t="s">
        <v>34</v>
      </c>
      <c r="U126" s="19" t="s">
        <v>502</v>
      </c>
    </row>
    <row r="127" spans="1:21" ht="29.25" customHeight="1" x14ac:dyDescent="0.25">
      <c r="A127" s="67" t="s">
        <v>509</v>
      </c>
      <c r="B127" s="18" t="s">
        <v>510</v>
      </c>
      <c r="C127" s="19" t="s">
        <v>511</v>
      </c>
      <c r="D127" s="19" t="s">
        <v>239</v>
      </c>
      <c r="E127" s="19" t="s">
        <v>512</v>
      </c>
      <c r="F127" s="18" t="s">
        <v>28</v>
      </c>
      <c r="G127" s="18" t="s">
        <v>53</v>
      </c>
      <c r="H127" s="18" t="s">
        <v>325</v>
      </c>
      <c r="I127" s="19" t="s">
        <v>512</v>
      </c>
      <c r="J127" s="19">
        <v>0.01</v>
      </c>
      <c r="K127" s="19" t="s">
        <v>31</v>
      </c>
      <c r="L127" s="19" t="s">
        <v>513</v>
      </c>
      <c r="M127" s="18" t="s">
        <v>104</v>
      </c>
      <c r="N127" s="20">
        <v>1632700</v>
      </c>
      <c r="O127" s="21">
        <v>44622</v>
      </c>
      <c r="P127" s="22" t="s">
        <v>55</v>
      </c>
      <c r="Q127" s="21" t="e">
        <f t="shared" si="12"/>
        <v>#VALUE!</v>
      </c>
      <c r="R127" s="72" t="e">
        <f t="shared" si="13"/>
        <v>#VALUE!</v>
      </c>
      <c r="S127" s="18" t="e">
        <f t="shared" ca="1" si="10"/>
        <v>#VALUE!</v>
      </c>
      <c r="T127" s="18" t="s">
        <v>34</v>
      </c>
      <c r="U127" s="19" t="s">
        <v>327</v>
      </c>
    </row>
    <row r="128" spans="1:21" ht="29.25" customHeight="1" x14ac:dyDescent="0.25">
      <c r="A128" s="67" t="s">
        <v>514</v>
      </c>
      <c r="B128" s="18" t="s">
        <v>515</v>
      </c>
      <c r="C128" s="19">
        <v>1456283</v>
      </c>
      <c r="D128" s="18" t="s">
        <v>516</v>
      </c>
      <c r="E128" s="19" t="s">
        <v>517</v>
      </c>
      <c r="F128" s="18" t="s">
        <v>518</v>
      </c>
      <c r="G128" s="18" t="s">
        <v>519</v>
      </c>
      <c r="H128" s="18">
        <v>1E-3</v>
      </c>
      <c r="I128" s="19" t="s">
        <v>520</v>
      </c>
      <c r="J128" s="19">
        <v>0.2</v>
      </c>
      <c r="K128" s="19" t="s">
        <v>31</v>
      </c>
      <c r="L128" s="19" t="s">
        <v>520</v>
      </c>
      <c r="M128" s="18">
        <v>60</v>
      </c>
      <c r="N128" s="20">
        <v>698000</v>
      </c>
      <c r="O128" s="21">
        <v>44482</v>
      </c>
      <c r="P128" s="22" t="s">
        <v>521</v>
      </c>
      <c r="Q128" s="21">
        <f t="shared" si="12"/>
        <v>46308</v>
      </c>
      <c r="R128" s="72">
        <f t="shared" si="13"/>
        <v>46263</v>
      </c>
      <c r="S128" s="18" t="str">
        <f t="shared" ca="1" si="10"/>
        <v>CALIBRADO</v>
      </c>
      <c r="T128" s="18" t="s">
        <v>34</v>
      </c>
      <c r="U128" s="19"/>
    </row>
    <row r="129" spans="1:21" ht="29.25" customHeight="1" x14ac:dyDescent="0.25">
      <c r="A129" s="67" t="s">
        <v>514</v>
      </c>
      <c r="B129" s="18" t="s">
        <v>522</v>
      </c>
      <c r="C129" s="19">
        <v>1456266</v>
      </c>
      <c r="D129" s="18" t="s">
        <v>516</v>
      </c>
      <c r="E129" s="19" t="s">
        <v>517</v>
      </c>
      <c r="F129" s="18" t="s">
        <v>518</v>
      </c>
      <c r="G129" s="18" t="s">
        <v>519</v>
      </c>
      <c r="H129" s="18">
        <v>1E-3</v>
      </c>
      <c r="I129" s="19" t="s">
        <v>520</v>
      </c>
      <c r="J129" s="19">
        <v>0.2</v>
      </c>
      <c r="K129" s="19" t="s">
        <v>31</v>
      </c>
      <c r="L129" s="19" t="s">
        <v>520</v>
      </c>
      <c r="M129" s="18">
        <v>60</v>
      </c>
      <c r="N129" s="20">
        <v>698000</v>
      </c>
      <c r="O129" s="21">
        <v>44482</v>
      </c>
      <c r="P129" s="22" t="s">
        <v>521</v>
      </c>
      <c r="Q129" s="21">
        <f t="shared" si="12"/>
        <v>46308</v>
      </c>
      <c r="R129" s="72">
        <f t="shared" si="13"/>
        <v>46263</v>
      </c>
      <c r="S129" s="18" t="str">
        <f t="shared" ca="1" si="10"/>
        <v>CALIBRADO</v>
      </c>
      <c r="T129" s="18" t="s">
        <v>34</v>
      </c>
      <c r="U129" s="19"/>
    </row>
    <row r="130" spans="1:21" ht="29.25" customHeight="1" x14ac:dyDescent="0.25">
      <c r="A130" s="67" t="s">
        <v>514</v>
      </c>
      <c r="B130" s="18" t="s">
        <v>523</v>
      </c>
      <c r="C130" s="19">
        <v>1456267</v>
      </c>
      <c r="D130" s="18" t="s">
        <v>516</v>
      </c>
      <c r="E130" s="19" t="s">
        <v>517</v>
      </c>
      <c r="F130" s="18" t="s">
        <v>518</v>
      </c>
      <c r="G130" s="18" t="s">
        <v>519</v>
      </c>
      <c r="H130" s="18">
        <v>1E-3</v>
      </c>
      <c r="I130" s="19" t="s">
        <v>520</v>
      </c>
      <c r="J130" s="19">
        <v>0.2</v>
      </c>
      <c r="K130" s="19" t="s">
        <v>31</v>
      </c>
      <c r="L130" s="19" t="s">
        <v>520</v>
      </c>
      <c r="M130" s="18">
        <v>60</v>
      </c>
      <c r="N130" s="20">
        <v>698000</v>
      </c>
      <c r="O130" s="21">
        <v>44482</v>
      </c>
      <c r="P130" s="22" t="s">
        <v>521</v>
      </c>
      <c r="Q130" s="21">
        <f t="shared" si="12"/>
        <v>46308</v>
      </c>
      <c r="R130" s="72">
        <f t="shared" si="13"/>
        <v>46263</v>
      </c>
      <c r="S130" s="18" t="str">
        <f t="shared" ca="1" si="10"/>
        <v>CALIBRADO</v>
      </c>
      <c r="T130" s="18" t="s">
        <v>34</v>
      </c>
      <c r="U130" s="19"/>
    </row>
    <row r="131" spans="1:21" ht="29.25" customHeight="1" x14ac:dyDescent="0.25">
      <c r="A131" s="67" t="s">
        <v>524</v>
      </c>
      <c r="B131" s="18" t="s">
        <v>525</v>
      </c>
      <c r="C131" s="19" t="s">
        <v>300</v>
      </c>
      <c r="D131" s="19" t="s">
        <v>300</v>
      </c>
      <c r="E131" s="19" t="s">
        <v>343</v>
      </c>
      <c r="F131" s="18" t="s">
        <v>179</v>
      </c>
      <c r="G131" s="18" t="s">
        <v>180</v>
      </c>
      <c r="H131" s="18">
        <v>1</v>
      </c>
      <c r="I131" s="19">
        <v>500</v>
      </c>
      <c r="J131" s="19" t="s">
        <v>526</v>
      </c>
      <c r="K131" s="19" t="s">
        <v>31</v>
      </c>
      <c r="L131" s="19">
        <v>500</v>
      </c>
      <c r="M131" s="18">
        <v>60</v>
      </c>
      <c r="N131" s="20">
        <v>53000</v>
      </c>
      <c r="O131" s="21">
        <v>45247</v>
      </c>
      <c r="P131" s="22" t="s">
        <v>95</v>
      </c>
      <c r="Q131" s="21">
        <f t="shared" si="12"/>
        <v>47074</v>
      </c>
      <c r="R131" s="72">
        <f t="shared" si="13"/>
        <v>47029</v>
      </c>
      <c r="S131" s="18" t="str">
        <f t="shared" ca="1" si="10"/>
        <v>CALIBRADO</v>
      </c>
      <c r="T131" s="18" t="s">
        <v>34</v>
      </c>
      <c r="U131" s="19" t="s">
        <v>327</v>
      </c>
    </row>
    <row r="132" spans="1:21" ht="29.25" customHeight="1" x14ac:dyDescent="0.25">
      <c r="A132" s="67" t="s">
        <v>527</v>
      </c>
      <c r="B132" s="18" t="s">
        <v>528</v>
      </c>
      <c r="C132" s="19" t="s">
        <v>325</v>
      </c>
      <c r="D132" s="19" t="s">
        <v>529</v>
      </c>
      <c r="E132" s="19" t="s">
        <v>300</v>
      </c>
      <c r="F132" s="18" t="s">
        <v>28</v>
      </c>
      <c r="G132" s="18" t="s">
        <v>53</v>
      </c>
      <c r="H132" s="18">
        <v>0.01</v>
      </c>
      <c r="I132" s="19" t="s">
        <v>530</v>
      </c>
      <c r="J132" s="19">
        <v>0.02</v>
      </c>
      <c r="K132" s="19" t="s">
        <v>31</v>
      </c>
      <c r="L132" s="19" t="s">
        <v>530</v>
      </c>
      <c r="M132" s="18">
        <v>22</v>
      </c>
      <c r="N132" s="20">
        <v>947200</v>
      </c>
      <c r="O132" s="21">
        <v>45518</v>
      </c>
      <c r="P132" s="22" t="s">
        <v>55</v>
      </c>
      <c r="Q132" s="21">
        <f t="shared" si="12"/>
        <v>46187</v>
      </c>
      <c r="R132" s="72">
        <f t="shared" si="13"/>
        <v>46142</v>
      </c>
      <c r="S132" s="18" t="str">
        <f t="shared" ca="1" si="10"/>
        <v>VENCIDO</v>
      </c>
      <c r="T132" s="18" t="s">
        <v>34</v>
      </c>
      <c r="U132" s="19"/>
    </row>
    <row r="133" spans="1:21" ht="29.25" customHeight="1" x14ac:dyDescent="0.25">
      <c r="A133" s="67" t="s">
        <v>439</v>
      </c>
      <c r="B133" s="18" t="s">
        <v>531</v>
      </c>
      <c r="C133" s="19" t="s">
        <v>325</v>
      </c>
      <c r="D133" s="19" t="s">
        <v>442</v>
      </c>
      <c r="E133" s="19" t="s">
        <v>532</v>
      </c>
      <c r="F133" s="18" t="s">
        <v>271</v>
      </c>
      <c r="G133" s="18" t="s">
        <v>272</v>
      </c>
      <c r="H133" s="18">
        <v>1</v>
      </c>
      <c r="I133" s="19" t="s">
        <v>533</v>
      </c>
      <c r="J133" s="19">
        <v>2</v>
      </c>
      <c r="K133" s="19" t="s">
        <v>31</v>
      </c>
      <c r="L133" s="19" t="s">
        <v>534</v>
      </c>
      <c r="M133" s="18">
        <v>38</v>
      </c>
      <c r="N133" s="20">
        <v>202300</v>
      </c>
      <c r="O133" s="21">
        <v>46150</v>
      </c>
      <c r="P133" s="22" t="s">
        <v>535</v>
      </c>
      <c r="Q133" s="21">
        <f t="shared" si="12"/>
        <v>47307</v>
      </c>
      <c r="R133" s="72">
        <f t="shared" si="13"/>
        <v>47262</v>
      </c>
      <c r="S133" s="18" t="str">
        <f t="shared" ca="1" si="10"/>
        <v>CALIBRADO</v>
      </c>
      <c r="T133" s="18" t="s">
        <v>34</v>
      </c>
      <c r="U133" s="19" t="s">
        <v>536</v>
      </c>
    </row>
    <row r="134" spans="1:21" ht="29.25" customHeight="1" x14ac:dyDescent="0.25">
      <c r="A134" s="67" t="s">
        <v>439</v>
      </c>
      <c r="B134" s="18" t="s">
        <v>537</v>
      </c>
      <c r="C134" s="19" t="s">
        <v>325</v>
      </c>
      <c r="D134" s="19" t="s">
        <v>442</v>
      </c>
      <c r="E134" s="19" t="s">
        <v>538</v>
      </c>
      <c r="F134" s="18" t="s">
        <v>271</v>
      </c>
      <c r="G134" s="18" t="s">
        <v>272</v>
      </c>
      <c r="H134" s="18">
        <v>1</v>
      </c>
      <c r="I134" s="19" t="s">
        <v>533</v>
      </c>
      <c r="J134" s="19">
        <v>1.1000000000000001</v>
      </c>
      <c r="K134" s="19" t="s">
        <v>31</v>
      </c>
      <c r="L134" s="19" t="s">
        <v>534</v>
      </c>
      <c r="M134" s="18">
        <v>38</v>
      </c>
      <c r="N134" s="20">
        <v>202300</v>
      </c>
      <c r="O134" s="21">
        <v>46150</v>
      </c>
      <c r="P134" s="22" t="s">
        <v>535</v>
      </c>
      <c r="Q134" s="21">
        <f t="shared" si="12"/>
        <v>47307</v>
      </c>
      <c r="R134" s="72">
        <f t="shared" si="13"/>
        <v>47262</v>
      </c>
      <c r="S134" s="18" t="str">
        <f t="shared" ca="1" si="10"/>
        <v>CALIBRADO</v>
      </c>
      <c r="T134" s="18" t="s">
        <v>34</v>
      </c>
      <c r="U134" s="19" t="s">
        <v>536</v>
      </c>
    </row>
    <row r="135" spans="1:21" ht="29.25" customHeight="1" x14ac:dyDescent="0.25">
      <c r="A135" s="67" t="s">
        <v>439</v>
      </c>
      <c r="B135" s="18" t="s">
        <v>539</v>
      </c>
      <c r="C135" s="19" t="s">
        <v>325</v>
      </c>
      <c r="D135" s="19" t="s">
        <v>442</v>
      </c>
      <c r="E135" s="19" t="s">
        <v>538</v>
      </c>
      <c r="F135" s="18" t="s">
        <v>271</v>
      </c>
      <c r="G135" s="18" t="s">
        <v>272</v>
      </c>
      <c r="H135" s="18">
        <v>1</v>
      </c>
      <c r="I135" s="19" t="s">
        <v>533</v>
      </c>
      <c r="J135" s="19">
        <v>1.8</v>
      </c>
      <c r="K135" s="19" t="s">
        <v>31</v>
      </c>
      <c r="L135" s="19" t="s">
        <v>534</v>
      </c>
      <c r="M135" s="18">
        <v>38</v>
      </c>
      <c r="N135" s="20">
        <v>202300</v>
      </c>
      <c r="O135" s="21">
        <v>46150</v>
      </c>
      <c r="P135" s="22" t="s">
        <v>535</v>
      </c>
      <c r="Q135" s="21">
        <f t="shared" si="12"/>
        <v>47307</v>
      </c>
      <c r="R135" s="72">
        <f t="shared" si="13"/>
        <v>47262</v>
      </c>
      <c r="S135" s="18" t="str">
        <f t="shared" ca="1" si="10"/>
        <v>CALIBRADO</v>
      </c>
      <c r="T135" s="18" t="s">
        <v>34</v>
      </c>
      <c r="U135" s="19" t="s">
        <v>536</v>
      </c>
    </row>
    <row r="136" spans="1:21" ht="29.25" customHeight="1" x14ac:dyDescent="0.25">
      <c r="A136" s="67" t="s">
        <v>439</v>
      </c>
      <c r="B136" s="18" t="s">
        <v>540</v>
      </c>
      <c r="C136" s="19" t="s">
        <v>325</v>
      </c>
      <c r="D136" s="19" t="s">
        <v>442</v>
      </c>
      <c r="E136" s="19" t="s">
        <v>538</v>
      </c>
      <c r="F136" s="18" t="s">
        <v>271</v>
      </c>
      <c r="G136" s="18" t="s">
        <v>272</v>
      </c>
      <c r="H136" s="18">
        <v>1</v>
      </c>
      <c r="I136" s="19" t="s">
        <v>533</v>
      </c>
      <c r="J136" s="19">
        <v>1.1599999999999999</v>
      </c>
      <c r="K136" s="19" t="s">
        <v>31</v>
      </c>
      <c r="L136" s="19" t="s">
        <v>534</v>
      </c>
      <c r="M136" s="18">
        <v>38</v>
      </c>
      <c r="N136" s="20">
        <v>202300</v>
      </c>
      <c r="O136" s="21">
        <v>46150</v>
      </c>
      <c r="P136" s="22" t="s">
        <v>535</v>
      </c>
      <c r="Q136" s="21">
        <f t="shared" si="12"/>
        <v>47307</v>
      </c>
      <c r="R136" s="72">
        <f t="shared" si="13"/>
        <v>47262</v>
      </c>
      <c r="S136" s="18" t="str">
        <f t="shared" ca="1" si="10"/>
        <v>CALIBRADO</v>
      </c>
      <c r="T136" s="18" t="s">
        <v>34</v>
      </c>
      <c r="U136" s="19" t="s">
        <v>541</v>
      </c>
    </row>
    <row r="137" spans="1:21" ht="29.25" customHeight="1" x14ac:dyDescent="0.25">
      <c r="A137" s="67" t="s">
        <v>542</v>
      </c>
      <c r="B137" s="18" t="s">
        <v>543</v>
      </c>
      <c r="C137" s="19" t="s">
        <v>544</v>
      </c>
      <c r="D137" s="19" t="s">
        <v>545</v>
      </c>
      <c r="E137" s="19" t="s">
        <v>546</v>
      </c>
      <c r="F137" s="19" t="s">
        <v>547</v>
      </c>
      <c r="G137" s="18" t="s">
        <v>548</v>
      </c>
      <c r="H137" s="18">
        <v>0.1</v>
      </c>
      <c r="I137" s="19" t="s">
        <v>549</v>
      </c>
      <c r="J137" s="19">
        <v>0.5</v>
      </c>
      <c r="K137" s="19" t="s">
        <v>31</v>
      </c>
      <c r="L137" s="19" t="s">
        <v>550</v>
      </c>
      <c r="M137" s="18">
        <v>31</v>
      </c>
      <c r="N137" s="20">
        <v>31416</v>
      </c>
      <c r="O137" s="21">
        <v>46142</v>
      </c>
      <c r="P137" s="22" t="s">
        <v>551</v>
      </c>
      <c r="Q137" s="21">
        <f t="shared" si="12"/>
        <v>47087</v>
      </c>
      <c r="R137" s="72">
        <f t="shared" si="13"/>
        <v>47042</v>
      </c>
      <c r="S137" s="18" t="str">
        <f t="shared" ca="1" si="10"/>
        <v>CALIBRADO</v>
      </c>
      <c r="T137" s="18" t="s">
        <v>34</v>
      </c>
      <c r="U137" s="19" t="s">
        <v>552</v>
      </c>
    </row>
    <row r="138" spans="1:21" ht="29.25" customHeight="1" x14ac:dyDescent="0.25">
      <c r="A138" s="67" t="s">
        <v>542</v>
      </c>
      <c r="B138" s="18" t="s">
        <v>553</v>
      </c>
      <c r="C138" s="19" t="s">
        <v>554</v>
      </c>
      <c r="D138" s="19" t="s">
        <v>545</v>
      </c>
      <c r="E138" s="19" t="s">
        <v>546</v>
      </c>
      <c r="F138" s="19" t="s">
        <v>547</v>
      </c>
      <c r="G138" s="18" t="s">
        <v>548</v>
      </c>
      <c r="H138" s="18">
        <v>0.1</v>
      </c>
      <c r="I138" s="19" t="s">
        <v>549</v>
      </c>
      <c r="J138" s="19">
        <v>0.5</v>
      </c>
      <c r="K138" s="19" t="s">
        <v>31</v>
      </c>
      <c r="L138" s="19" t="s">
        <v>550</v>
      </c>
      <c r="M138" s="18">
        <v>31</v>
      </c>
      <c r="N138" s="20">
        <v>31416</v>
      </c>
      <c r="O138" s="21">
        <v>46142</v>
      </c>
      <c r="P138" s="22" t="s">
        <v>551</v>
      </c>
      <c r="Q138" s="21">
        <f t="shared" si="12"/>
        <v>47087</v>
      </c>
      <c r="R138" s="72">
        <f t="shared" si="13"/>
        <v>47042</v>
      </c>
      <c r="S138" s="18" t="str">
        <f t="shared" ca="1" si="10"/>
        <v>CALIBRADO</v>
      </c>
      <c r="T138" s="18" t="s">
        <v>34</v>
      </c>
      <c r="U138" s="19" t="s">
        <v>552</v>
      </c>
    </row>
    <row r="139" spans="1:21" ht="29.25" customHeight="1" x14ac:dyDescent="0.25">
      <c r="A139" s="67" t="s">
        <v>542</v>
      </c>
      <c r="B139" s="18" t="s">
        <v>555</v>
      </c>
      <c r="C139" s="19" t="s">
        <v>556</v>
      </c>
      <c r="D139" s="19" t="s">
        <v>545</v>
      </c>
      <c r="E139" s="19" t="s">
        <v>546</v>
      </c>
      <c r="F139" s="19" t="s">
        <v>547</v>
      </c>
      <c r="G139" s="18" t="s">
        <v>548</v>
      </c>
      <c r="H139" s="18">
        <v>0.1</v>
      </c>
      <c r="I139" s="19" t="s">
        <v>549</v>
      </c>
      <c r="J139" s="19">
        <v>0.5</v>
      </c>
      <c r="K139" s="19" t="s">
        <v>31</v>
      </c>
      <c r="L139" s="19" t="s">
        <v>550</v>
      </c>
      <c r="M139" s="18">
        <v>31</v>
      </c>
      <c r="N139" s="20">
        <v>31416</v>
      </c>
      <c r="O139" s="21">
        <v>46142</v>
      </c>
      <c r="P139" s="22" t="s">
        <v>551</v>
      </c>
      <c r="Q139" s="21">
        <f t="shared" si="12"/>
        <v>47087</v>
      </c>
      <c r="R139" s="72">
        <f t="shared" si="13"/>
        <v>47042</v>
      </c>
      <c r="S139" s="18" t="str">
        <f t="shared" ca="1" si="10"/>
        <v>CALIBRADO</v>
      </c>
      <c r="T139" s="18" t="s">
        <v>34</v>
      </c>
      <c r="U139" s="19" t="s">
        <v>552</v>
      </c>
    </row>
    <row r="140" spans="1:21" ht="25.5" customHeight="1" x14ac:dyDescent="0.25">
      <c r="A140" s="70" t="s">
        <v>557</v>
      </c>
      <c r="B140" s="18" t="s">
        <v>558</v>
      </c>
      <c r="C140" s="19" t="s">
        <v>559</v>
      </c>
      <c r="D140" s="19" t="s">
        <v>560</v>
      </c>
      <c r="E140" s="18" t="s">
        <v>239</v>
      </c>
      <c r="F140" s="18" t="s">
        <v>134</v>
      </c>
      <c r="G140" s="19" t="s">
        <v>135</v>
      </c>
      <c r="H140" s="18">
        <v>0.01</v>
      </c>
      <c r="I140" s="19" t="s">
        <v>561</v>
      </c>
      <c r="J140" s="18" t="s">
        <v>562</v>
      </c>
      <c r="K140" s="18" t="s">
        <v>31</v>
      </c>
      <c r="L140" s="19" t="s">
        <v>563</v>
      </c>
      <c r="M140" s="18">
        <v>53</v>
      </c>
      <c r="N140" s="20">
        <v>370000</v>
      </c>
      <c r="O140" s="21">
        <v>44527</v>
      </c>
      <c r="P140" s="81" t="s">
        <v>564</v>
      </c>
      <c r="Q140" s="21">
        <f t="shared" si="12"/>
        <v>46139</v>
      </c>
      <c r="R140" s="72">
        <f t="shared" si="13"/>
        <v>46094</v>
      </c>
      <c r="S140" s="18" t="str">
        <f t="shared" ca="1" si="10"/>
        <v>VENCIDO</v>
      </c>
      <c r="T140" s="18" t="s">
        <v>34</v>
      </c>
      <c r="U140" s="19" t="s">
        <v>565</v>
      </c>
    </row>
    <row r="141" spans="1:21" ht="29.25" customHeight="1" x14ac:dyDescent="0.25">
      <c r="A141" s="69" t="s">
        <v>566</v>
      </c>
      <c r="B141" s="18" t="s">
        <v>567</v>
      </c>
      <c r="C141" s="19" t="s">
        <v>568</v>
      </c>
      <c r="D141" s="18" t="s">
        <v>569</v>
      </c>
      <c r="E141" s="19" t="s">
        <v>570</v>
      </c>
      <c r="F141" s="18" t="s">
        <v>435</v>
      </c>
      <c r="G141" s="19" t="s">
        <v>571</v>
      </c>
      <c r="H141" s="18">
        <v>2</v>
      </c>
      <c r="I141" s="19" t="s">
        <v>572</v>
      </c>
      <c r="J141" s="18">
        <v>2</v>
      </c>
      <c r="K141" s="18" t="s">
        <v>31</v>
      </c>
      <c r="L141" s="18" t="s">
        <v>573</v>
      </c>
      <c r="M141" s="18">
        <v>28</v>
      </c>
      <c r="N141" s="20">
        <v>225000</v>
      </c>
      <c r="O141" s="21">
        <v>45454</v>
      </c>
      <c r="P141" s="18" t="s">
        <v>485</v>
      </c>
      <c r="Q141" s="21">
        <f t="shared" si="12"/>
        <v>46306</v>
      </c>
      <c r="R141" s="72">
        <f t="shared" si="13"/>
        <v>46261</v>
      </c>
      <c r="S141" s="18" t="str">
        <f t="shared" ca="1" si="10"/>
        <v>CALIBRADO</v>
      </c>
      <c r="T141" s="18" t="s">
        <v>34</v>
      </c>
      <c r="U141" s="19" t="s">
        <v>448</v>
      </c>
    </row>
    <row r="142" spans="1:21" ht="29.25" customHeight="1" x14ac:dyDescent="0.25">
      <c r="A142" s="69" t="s">
        <v>566</v>
      </c>
      <c r="B142" s="18" t="s">
        <v>574</v>
      </c>
      <c r="C142" s="19" t="s">
        <v>575</v>
      </c>
      <c r="D142" s="18" t="s">
        <v>569</v>
      </c>
      <c r="E142" s="19" t="s">
        <v>570</v>
      </c>
      <c r="F142" s="18" t="s">
        <v>435</v>
      </c>
      <c r="G142" s="19" t="s">
        <v>571</v>
      </c>
      <c r="H142" s="18">
        <v>2</v>
      </c>
      <c r="I142" s="19" t="s">
        <v>572</v>
      </c>
      <c r="J142" s="18">
        <v>2</v>
      </c>
      <c r="K142" s="18" t="s">
        <v>31</v>
      </c>
      <c r="L142" s="18" t="s">
        <v>573</v>
      </c>
      <c r="M142" s="18">
        <v>28</v>
      </c>
      <c r="N142" s="20">
        <v>225000</v>
      </c>
      <c r="O142" s="21">
        <v>45454</v>
      </c>
      <c r="P142" s="18" t="s">
        <v>485</v>
      </c>
      <c r="Q142" s="21">
        <f t="shared" si="12"/>
        <v>46306</v>
      </c>
      <c r="R142" s="72">
        <f t="shared" si="13"/>
        <v>46261</v>
      </c>
      <c r="S142" s="18" t="str">
        <f t="shared" ca="1" si="10"/>
        <v>CALIBRADO</v>
      </c>
      <c r="T142" s="18" t="s">
        <v>34</v>
      </c>
      <c r="U142" s="19" t="s">
        <v>448</v>
      </c>
    </row>
    <row r="143" spans="1:21" ht="29.25" customHeight="1" x14ac:dyDescent="0.25">
      <c r="A143" s="69" t="s">
        <v>566</v>
      </c>
      <c r="B143" s="18" t="s">
        <v>576</v>
      </c>
      <c r="C143" s="19" t="s">
        <v>577</v>
      </c>
      <c r="D143" s="18" t="s">
        <v>569</v>
      </c>
      <c r="E143" s="19" t="s">
        <v>570</v>
      </c>
      <c r="F143" s="18" t="s">
        <v>435</v>
      </c>
      <c r="G143" s="19" t="s">
        <v>571</v>
      </c>
      <c r="H143" s="18">
        <v>2</v>
      </c>
      <c r="I143" s="19" t="s">
        <v>572</v>
      </c>
      <c r="J143" s="18">
        <v>2</v>
      </c>
      <c r="K143" s="18" t="s">
        <v>31</v>
      </c>
      <c r="L143" s="18" t="s">
        <v>573</v>
      </c>
      <c r="M143" s="18">
        <v>28</v>
      </c>
      <c r="N143" s="20">
        <v>225000</v>
      </c>
      <c r="O143" s="21">
        <v>45454</v>
      </c>
      <c r="P143" s="18" t="s">
        <v>485</v>
      </c>
      <c r="Q143" s="21">
        <f t="shared" si="12"/>
        <v>46306</v>
      </c>
      <c r="R143" s="72">
        <f t="shared" si="13"/>
        <v>46261</v>
      </c>
      <c r="S143" s="18" t="str">
        <f t="shared" ca="1" si="10"/>
        <v>CALIBRADO</v>
      </c>
      <c r="T143" s="18" t="s">
        <v>34</v>
      </c>
      <c r="U143" s="19" t="s">
        <v>448</v>
      </c>
    </row>
    <row r="144" spans="1:21" ht="29.25" customHeight="1" x14ac:dyDescent="0.25">
      <c r="A144" s="69" t="s">
        <v>566</v>
      </c>
      <c r="B144" s="18" t="s">
        <v>578</v>
      </c>
      <c r="C144" s="19" t="s">
        <v>579</v>
      </c>
      <c r="D144" s="18" t="s">
        <v>580</v>
      </c>
      <c r="E144" s="19">
        <v>3679</v>
      </c>
      <c r="F144" s="18" t="s">
        <v>435</v>
      </c>
      <c r="G144" s="19" t="s">
        <v>571</v>
      </c>
      <c r="H144" s="18">
        <v>1</v>
      </c>
      <c r="I144" s="19" t="s">
        <v>572</v>
      </c>
      <c r="J144" s="18">
        <v>1</v>
      </c>
      <c r="K144" s="18" t="s">
        <v>31</v>
      </c>
      <c r="L144" s="18" t="s">
        <v>573</v>
      </c>
      <c r="M144" s="18">
        <v>36</v>
      </c>
      <c r="N144" s="20">
        <v>225000</v>
      </c>
      <c r="O144" s="21">
        <v>45451</v>
      </c>
      <c r="P144" s="18" t="s">
        <v>485</v>
      </c>
      <c r="Q144" s="21">
        <f t="shared" si="12"/>
        <v>46546</v>
      </c>
      <c r="R144" s="72">
        <f t="shared" si="13"/>
        <v>46501</v>
      </c>
      <c r="S144" s="18" t="str">
        <f t="shared" ca="1" si="10"/>
        <v>CALIBRADO</v>
      </c>
      <c r="T144" s="18" t="s">
        <v>34</v>
      </c>
      <c r="U144" s="19" t="s">
        <v>448</v>
      </c>
    </row>
    <row r="145" spans="1:21" ht="29.25" customHeight="1" x14ac:dyDescent="0.25">
      <c r="A145" s="69" t="s">
        <v>566</v>
      </c>
      <c r="B145" s="18" t="s">
        <v>581</v>
      </c>
      <c r="C145" s="19" t="s">
        <v>582</v>
      </c>
      <c r="D145" s="18" t="s">
        <v>580</v>
      </c>
      <c r="E145" s="19">
        <v>3679</v>
      </c>
      <c r="F145" s="18" t="s">
        <v>435</v>
      </c>
      <c r="G145" s="19" t="s">
        <v>571</v>
      </c>
      <c r="H145" s="18">
        <v>1</v>
      </c>
      <c r="I145" s="19" t="s">
        <v>572</v>
      </c>
      <c r="J145" s="18">
        <v>1</v>
      </c>
      <c r="K145" s="18" t="s">
        <v>31</v>
      </c>
      <c r="L145" s="18" t="s">
        <v>573</v>
      </c>
      <c r="M145" s="18">
        <v>36</v>
      </c>
      <c r="N145" s="20">
        <v>225000</v>
      </c>
      <c r="O145" s="21">
        <v>45451</v>
      </c>
      <c r="P145" s="18" t="s">
        <v>485</v>
      </c>
      <c r="Q145" s="21">
        <f t="shared" si="12"/>
        <v>46546</v>
      </c>
      <c r="R145" s="72">
        <f t="shared" si="13"/>
        <v>46501</v>
      </c>
      <c r="S145" s="18" t="str">
        <f t="shared" ca="1" si="10"/>
        <v>CALIBRADO</v>
      </c>
      <c r="T145" s="18" t="s">
        <v>34</v>
      </c>
      <c r="U145" s="19" t="s">
        <v>448</v>
      </c>
    </row>
    <row r="146" spans="1:21" ht="29.25" customHeight="1" x14ac:dyDescent="0.25">
      <c r="A146" s="69" t="s">
        <v>566</v>
      </c>
      <c r="B146" s="18" t="s">
        <v>583</v>
      </c>
      <c r="C146" s="19" t="s">
        <v>584</v>
      </c>
      <c r="D146" s="18" t="s">
        <v>580</v>
      </c>
      <c r="E146" s="19">
        <v>3679</v>
      </c>
      <c r="F146" s="18" t="s">
        <v>435</v>
      </c>
      <c r="G146" s="19" t="s">
        <v>571</v>
      </c>
      <c r="H146" s="18">
        <v>1</v>
      </c>
      <c r="I146" s="19" t="s">
        <v>572</v>
      </c>
      <c r="J146" s="18">
        <v>1</v>
      </c>
      <c r="K146" s="18" t="s">
        <v>31</v>
      </c>
      <c r="L146" s="18" t="s">
        <v>573</v>
      </c>
      <c r="M146" s="18">
        <v>25</v>
      </c>
      <c r="N146" s="20">
        <v>571200</v>
      </c>
      <c r="O146" s="21">
        <v>46119</v>
      </c>
      <c r="P146" s="18" t="s">
        <v>485</v>
      </c>
      <c r="Q146" s="21">
        <f t="shared" si="12"/>
        <v>46880</v>
      </c>
      <c r="R146" s="72">
        <f t="shared" si="13"/>
        <v>46835</v>
      </c>
      <c r="S146" s="18" t="str">
        <f t="shared" ca="1" si="10"/>
        <v>CALIBRADO</v>
      </c>
      <c r="T146" s="18" t="s">
        <v>34</v>
      </c>
      <c r="U146" s="19" t="s">
        <v>448</v>
      </c>
    </row>
    <row r="147" spans="1:21" ht="29.25" customHeight="1" x14ac:dyDescent="0.25">
      <c r="A147" s="69" t="s">
        <v>585</v>
      </c>
      <c r="B147" s="18" t="s">
        <v>586</v>
      </c>
      <c r="C147" s="19" t="s">
        <v>300</v>
      </c>
      <c r="D147" s="18" t="s">
        <v>300</v>
      </c>
      <c r="E147" s="19" t="s">
        <v>343</v>
      </c>
      <c r="F147" s="18" t="s">
        <v>179</v>
      </c>
      <c r="G147" s="19" t="s">
        <v>180</v>
      </c>
      <c r="H147" s="18" t="s">
        <v>325</v>
      </c>
      <c r="I147" s="19">
        <v>516.44000000000005</v>
      </c>
      <c r="J147" s="18" t="s">
        <v>526</v>
      </c>
      <c r="K147" s="18" t="s">
        <v>31</v>
      </c>
      <c r="L147" s="18">
        <f>I147</f>
        <v>516.44000000000005</v>
      </c>
      <c r="M147" s="18" t="s">
        <v>104</v>
      </c>
      <c r="N147" s="20">
        <v>53000</v>
      </c>
      <c r="O147" s="21">
        <v>44620</v>
      </c>
      <c r="P147" s="22" t="s">
        <v>95</v>
      </c>
      <c r="Q147" s="21" t="e">
        <f t="shared" ref="Q147:Q178" si="14">EDATE(O147,M147)</f>
        <v>#VALUE!</v>
      </c>
      <c r="R147" s="72" t="e">
        <f t="shared" si="13"/>
        <v>#VALUE!</v>
      </c>
      <c r="S147" s="18" t="e">
        <f t="shared" ca="1" si="10"/>
        <v>#VALUE!</v>
      </c>
      <c r="T147" s="18" t="s">
        <v>34</v>
      </c>
      <c r="U147" s="19" t="s">
        <v>327</v>
      </c>
    </row>
    <row r="148" spans="1:21" ht="29.25" customHeight="1" x14ac:dyDescent="0.25">
      <c r="A148" s="69" t="s">
        <v>585</v>
      </c>
      <c r="B148" s="18" t="s">
        <v>587</v>
      </c>
      <c r="C148" s="19" t="s">
        <v>300</v>
      </c>
      <c r="D148" s="18" t="s">
        <v>300</v>
      </c>
      <c r="E148" s="19" t="s">
        <v>300</v>
      </c>
      <c r="F148" s="18" t="s">
        <v>179</v>
      </c>
      <c r="G148" s="19" t="s">
        <v>180</v>
      </c>
      <c r="H148" s="18" t="s">
        <v>325</v>
      </c>
      <c r="I148" s="19">
        <v>592.61</v>
      </c>
      <c r="J148" s="18" t="s">
        <v>526</v>
      </c>
      <c r="K148" s="18" t="s">
        <v>31</v>
      </c>
      <c r="L148" s="19">
        <v>592.61</v>
      </c>
      <c r="M148" s="18" t="s">
        <v>104</v>
      </c>
      <c r="N148" s="20">
        <v>53000</v>
      </c>
      <c r="O148" s="21">
        <v>44620</v>
      </c>
      <c r="P148" s="22" t="s">
        <v>95</v>
      </c>
      <c r="Q148" s="21" t="e">
        <f t="shared" si="14"/>
        <v>#VALUE!</v>
      </c>
      <c r="R148" s="72" t="e">
        <f t="shared" si="13"/>
        <v>#VALUE!</v>
      </c>
      <c r="S148" s="18" t="e">
        <f t="shared" ca="1" si="10"/>
        <v>#VALUE!</v>
      </c>
      <c r="T148" s="18" t="s">
        <v>34</v>
      </c>
      <c r="U148" s="19" t="s">
        <v>327</v>
      </c>
    </row>
    <row r="149" spans="1:21" ht="29.25" customHeight="1" x14ac:dyDescent="0.25">
      <c r="A149" s="69" t="s">
        <v>585</v>
      </c>
      <c r="B149" s="18" t="s">
        <v>588</v>
      </c>
      <c r="C149" s="19" t="s">
        <v>300</v>
      </c>
      <c r="D149" s="18" t="s">
        <v>300</v>
      </c>
      <c r="E149" s="19" t="s">
        <v>300</v>
      </c>
      <c r="F149" s="18" t="s">
        <v>179</v>
      </c>
      <c r="G149" s="19" t="s">
        <v>180</v>
      </c>
      <c r="H149" s="18" t="s">
        <v>325</v>
      </c>
      <c r="I149" s="19">
        <v>238.3</v>
      </c>
      <c r="J149" s="18" t="s">
        <v>526</v>
      </c>
      <c r="K149" s="18" t="s">
        <v>31</v>
      </c>
      <c r="L149" s="19">
        <v>238.3</v>
      </c>
      <c r="M149" s="18" t="s">
        <v>104</v>
      </c>
      <c r="N149" s="20">
        <v>53000</v>
      </c>
      <c r="O149" s="21">
        <v>44620</v>
      </c>
      <c r="P149" s="22" t="s">
        <v>95</v>
      </c>
      <c r="Q149" s="21" t="e">
        <f t="shared" si="14"/>
        <v>#VALUE!</v>
      </c>
      <c r="R149" s="72" t="e">
        <f t="shared" si="13"/>
        <v>#VALUE!</v>
      </c>
      <c r="S149" s="18" t="e">
        <f t="shared" ca="1" si="10"/>
        <v>#VALUE!</v>
      </c>
      <c r="T149" s="18" t="s">
        <v>34</v>
      </c>
      <c r="U149" s="19" t="s">
        <v>327</v>
      </c>
    </row>
    <row r="150" spans="1:21" ht="29.25" customHeight="1" x14ac:dyDescent="0.25">
      <c r="A150" s="69" t="s">
        <v>589</v>
      </c>
      <c r="B150" s="18" t="s">
        <v>590</v>
      </c>
      <c r="C150" s="19" t="s">
        <v>300</v>
      </c>
      <c r="D150" s="18" t="s">
        <v>300</v>
      </c>
      <c r="E150" s="19" t="s">
        <v>300</v>
      </c>
      <c r="F150" s="18" t="s">
        <v>179</v>
      </c>
      <c r="G150" s="19" t="s">
        <v>387</v>
      </c>
      <c r="H150" s="18" t="s">
        <v>325</v>
      </c>
      <c r="I150" s="19">
        <v>15</v>
      </c>
      <c r="J150" s="18" t="s">
        <v>526</v>
      </c>
      <c r="K150" s="18" t="s">
        <v>31</v>
      </c>
      <c r="L150" s="18">
        <v>15</v>
      </c>
      <c r="M150" s="18" t="s">
        <v>104</v>
      </c>
      <c r="N150" s="20">
        <v>53000</v>
      </c>
      <c r="O150" s="21">
        <v>44620</v>
      </c>
      <c r="P150" s="22" t="s">
        <v>95</v>
      </c>
      <c r="Q150" s="21" t="e">
        <f t="shared" si="14"/>
        <v>#VALUE!</v>
      </c>
      <c r="R150" s="72" t="e">
        <f t="shared" si="13"/>
        <v>#VALUE!</v>
      </c>
      <c r="S150" s="18" t="e">
        <f t="shared" ca="1" si="10"/>
        <v>#VALUE!</v>
      </c>
      <c r="T150" s="18" t="s">
        <v>34</v>
      </c>
      <c r="U150" s="19" t="s">
        <v>327</v>
      </c>
    </row>
    <row r="151" spans="1:21" ht="29.25" customHeight="1" x14ac:dyDescent="0.25">
      <c r="A151" s="69" t="s">
        <v>591</v>
      </c>
      <c r="B151" s="18" t="s">
        <v>592</v>
      </c>
      <c r="C151" s="19" t="s">
        <v>300</v>
      </c>
      <c r="D151" s="18" t="s">
        <v>300</v>
      </c>
      <c r="E151" s="19" t="s">
        <v>300</v>
      </c>
      <c r="F151" s="18" t="s">
        <v>179</v>
      </c>
      <c r="G151" s="19" t="s">
        <v>387</v>
      </c>
      <c r="H151" s="18" t="s">
        <v>325</v>
      </c>
      <c r="I151" s="19">
        <v>15</v>
      </c>
      <c r="J151" s="18" t="s">
        <v>526</v>
      </c>
      <c r="K151" s="18" t="s">
        <v>31</v>
      </c>
      <c r="L151" s="18">
        <v>15</v>
      </c>
      <c r="M151" s="18" t="s">
        <v>104</v>
      </c>
      <c r="N151" s="20">
        <v>53000</v>
      </c>
      <c r="O151" s="21">
        <v>44620</v>
      </c>
      <c r="P151" s="22" t="s">
        <v>95</v>
      </c>
      <c r="Q151" s="21" t="e">
        <f t="shared" si="14"/>
        <v>#VALUE!</v>
      </c>
      <c r="R151" s="72" t="e">
        <f t="shared" si="13"/>
        <v>#VALUE!</v>
      </c>
      <c r="S151" s="18" t="e">
        <f t="shared" ca="1" si="10"/>
        <v>#VALUE!</v>
      </c>
      <c r="T151" s="18" t="s">
        <v>34</v>
      </c>
      <c r="U151" s="19" t="s">
        <v>327</v>
      </c>
    </row>
    <row r="152" spans="1:21" ht="29.25" customHeight="1" x14ac:dyDescent="0.25">
      <c r="A152" s="69" t="s">
        <v>593</v>
      </c>
      <c r="B152" s="18" t="s">
        <v>594</v>
      </c>
      <c r="C152" s="19" t="s">
        <v>300</v>
      </c>
      <c r="D152" s="18" t="s">
        <v>300</v>
      </c>
      <c r="E152" s="19" t="s">
        <v>300</v>
      </c>
      <c r="F152" s="18" t="s">
        <v>179</v>
      </c>
      <c r="G152" s="19" t="s">
        <v>180</v>
      </c>
      <c r="H152" s="18" t="s">
        <v>325</v>
      </c>
      <c r="I152" s="19">
        <v>7.35</v>
      </c>
      <c r="J152" s="18" t="s">
        <v>526</v>
      </c>
      <c r="K152" s="18" t="s">
        <v>31</v>
      </c>
      <c r="L152" s="18">
        <v>7350</v>
      </c>
      <c r="M152" s="18" t="s">
        <v>104</v>
      </c>
      <c r="N152" s="20">
        <v>53000</v>
      </c>
      <c r="O152" s="21">
        <v>44620</v>
      </c>
      <c r="P152" s="22" t="s">
        <v>95</v>
      </c>
      <c r="Q152" s="21" t="e">
        <f t="shared" si="14"/>
        <v>#VALUE!</v>
      </c>
      <c r="R152" s="72" t="e">
        <f t="shared" ref="R152:R199" si="15">Q152-45</f>
        <v>#VALUE!</v>
      </c>
      <c r="S152" s="18" t="e">
        <f t="shared" ca="1" si="10"/>
        <v>#VALUE!</v>
      </c>
      <c r="T152" s="18" t="s">
        <v>34</v>
      </c>
      <c r="U152" s="19" t="s">
        <v>327</v>
      </c>
    </row>
    <row r="153" spans="1:21" ht="29.25" customHeight="1" x14ac:dyDescent="0.25">
      <c r="A153" s="69" t="s">
        <v>585</v>
      </c>
      <c r="B153" s="18" t="s">
        <v>595</v>
      </c>
      <c r="C153" s="19" t="s">
        <v>300</v>
      </c>
      <c r="D153" s="18" t="s">
        <v>300</v>
      </c>
      <c r="E153" s="19" t="s">
        <v>300</v>
      </c>
      <c r="F153" s="18" t="s">
        <v>179</v>
      </c>
      <c r="G153" s="19" t="s">
        <v>180</v>
      </c>
      <c r="H153" s="18" t="s">
        <v>325</v>
      </c>
      <c r="I153" s="19" t="s">
        <v>596</v>
      </c>
      <c r="J153" s="18" t="s">
        <v>526</v>
      </c>
      <c r="K153" s="18" t="s">
        <v>31</v>
      </c>
      <c r="L153" s="18">
        <v>2020</v>
      </c>
      <c r="M153" s="18" t="s">
        <v>104</v>
      </c>
      <c r="N153" s="20">
        <v>53000</v>
      </c>
      <c r="O153" s="21">
        <v>44620</v>
      </c>
      <c r="P153" s="22" t="s">
        <v>95</v>
      </c>
      <c r="Q153" s="21" t="e">
        <f t="shared" si="14"/>
        <v>#VALUE!</v>
      </c>
      <c r="R153" s="72" t="e">
        <f t="shared" si="15"/>
        <v>#VALUE!</v>
      </c>
      <c r="S153" s="18" t="e">
        <f t="shared" ca="1" si="10"/>
        <v>#VALUE!</v>
      </c>
      <c r="T153" s="18" t="s">
        <v>34</v>
      </c>
      <c r="U153" s="19" t="s">
        <v>327</v>
      </c>
    </row>
    <row r="154" spans="1:21" ht="29.25" customHeight="1" x14ac:dyDescent="0.25">
      <c r="A154" s="69" t="s">
        <v>585</v>
      </c>
      <c r="B154" s="18" t="s">
        <v>597</v>
      </c>
      <c r="C154" s="19" t="s">
        <v>300</v>
      </c>
      <c r="D154" s="18" t="s">
        <v>300</v>
      </c>
      <c r="E154" s="19" t="s">
        <v>300</v>
      </c>
      <c r="F154" s="18" t="s">
        <v>179</v>
      </c>
      <c r="G154" s="19" t="s">
        <v>180</v>
      </c>
      <c r="H154" s="18" t="s">
        <v>325</v>
      </c>
      <c r="I154" s="19" t="s">
        <v>598</v>
      </c>
      <c r="J154" s="18" t="s">
        <v>526</v>
      </c>
      <c r="K154" s="18" t="s">
        <v>31</v>
      </c>
      <c r="L154" s="18">
        <v>3030</v>
      </c>
      <c r="M154" s="18" t="s">
        <v>104</v>
      </c>
      <c r="N154" s="20">
        <v>53000</v>
      </c>
      <c r="O154" s="21">
        <v>44620</v>
      </c>
      <c r="P154" s="22" t="s">
        <v>95</v>
      </c>
      <c r="Q154" s="21" t="e">
        <f t="shared" si="14"/>
        <v>#VALUE!</v>
      </c>
      <c r="R154" s="72" t="e">
        <f t="shared" si="15"/>
        <v>#VALUE!</v>
      </c>
      <c r="S154" s="18" t="e">
        <f t="shared" ca="1" si="10"/>
        <v>#VALUE!</v>
      </c>
      <c r="T154" s="18" t="s">
        <v>34</v>
      </c>
      <c r="U154" s="19" t="s">
        <v>327</v>
      </c>
    </row>
    <row r="155" spans="1:21" ht="29.25" customHeight="1" x14ac:dyDescent="0.25">
      <c r="A155" s="69" t="s">
        <v>585</v>
      </c>
      <c r="B155" s="18" t="s">
        <v>599</v>
      </c>
      <c r="C155" s="19" t="s">
        <v>300</v>
      </c>
      <c r="D155" s="18" t="s">
        <v>300</v>
      </c>
      <c r="E155" s="19" t="s">
        <v>300</v>
      </c>
      <c r="F155" s="18" t="s">
        <v>179</v>
      </c>
      <c r="G155" s="19" t="s">
        <v>180</v>
      </c>
      <c r="H155" s="18" t="s">
        <v>325</v>
      </c>
      <c r="I155" s="19" t="s">
        <v>600</v>
      </c>
      <c r="J155" s="18" t="s">
        <v>526</v>
      </c>
      <c r="K155" s="18" t="s">
        <v>31</v>
      </c>
      <c r="L155" s="18">
        <v>4040</v>
      </c>
      <c r="M155" s="18" t="s">
        <v>104</v>
      </c>
      <c r="N155" s="20">
        <v>53000</v>
      </c>
      <c r="O155" s="21">
        <v>44620</v>
      </c>
      <c r="P155" s="22" t="s">
        <v>95</v>
      </c>
      <c r="Q155" s="21" t="e">
        <f t="shared" si="14"/>
        <v>#VALUE!</v>
      </c>
      <c r="R155" s="72" t="e">
        <f t="shared" si="15"/>
        <v>#VALUE!</v>
      </c>
      <c r="S155" s="18" t="e">
        <f t="shared" ca="1" si="10"/>
        <v>#VALUE!</v>
      </c>
      <c r="T155" s="18" t="s">
        <v>34</v>
      </c>
      <c r="U155" s="19" t="s">
        <v>327</v>
      </c>
    </row>
    <row r="156" spans="1:21" ht="29.25" customHeight="1" x14ac:dyDescent="0.25">
      <c r="A156" s="69" t="s">
        <v>585</v>
      </c>
      <c r="B156" s="18" t="s">
        <v>601</v>
      </c>
      <c r="C156" s="19" t="s">
        <v>300</v>
      </c>
      <c r="D156" s="18" t="s">
        <v>300</v>
      </c>
      <c r="E156" s="19" t="s">
        <v>300</v>
      </c>
      <c r="F156" s="18" t="s">
        <v>179</v>
      </c>
      <c r="G156" s="19" t="s">
        <v>180</v>
      </c>
      <c r="H156" s="18" t="s">
        <v>325</v>
      </c>
      <c r="I156" s="19" t="s">
        <v>602</v>
      </c>
      <c r="J156" s="18" t="s">
        <v>603</v>
      </c>
      <c r="K156" s="18" t="s">
        <v>31</v>
      </c>
      <c r="L156" s="18">
        <v>5050</v>
      </c>
      <c r="M156" s="18" t="s">
        <v>104</v>
      </c>
      <c r="N156" s="20">
        <v>53000</v>
      </c>
      <c r="O156" s="21">
        <v>44620</v>
      </c>
      <c r="P156" s="22" t="s">
        <v>95</v>
      </c>
      <c r="Q156" s="21" t="e">
        <f t="shared" si="14"/>
        <v>#VALUE!</v>
      </c>
      <c r="R156" s="72" t="e">
        <f t="shared" si="15"/>
        <v>#VALUE!</v>
      </c>
      <c r="S156" s="18" t="e">
        <f t="shared" ref="S156:S187" ca="1" si="16">IF(TODAY()&gt;Q156,"VENCIDO",IF(AND(TODAY()&gt;R156,TODAY()&lt;Q156),"PROGRAMADO",IF(AND(TODAY()&gt;O156,TODAY()&lt;=Q156),"CALIBRADO",0)))</f>
        <v>#VALUE!</v>
      </c>
      <c r="T156" s="18" t="s">
        <v>34</v>
      </c>
      <c r="U156" s="19" t="s">
        <v>327</v>
      </c>
    </row>
    <row r="157" spans="1:21" ht="29.25" customHeight="1" x14ac:dyDescent="0.25">
      <c r="A157" s="69" t="s">
        <v>377</v>
      </c>
      <c r="B157" s="18" t="s">
        <v>604</v>
      </c>
      <c r="C157" s="19" t="s">
        <v>605</v>
      </c>
      <c r="D157" s="18" t="s">
        <v>239</v>
      </c>
      <c r="E157" s="19" t="s">
        <v>606</v>
      </c>
      <c r="F157" s="18" t="s">
        <v>61</v>
      </c>
      <c r="G157" s="19" t="s">
        <v>194</v>
      </c>
      <c r="H157" s="18" t="s">
        <v>325</v>
      </c>
      <c r="I157" s="19" t="s">
        <v>607</v>
      </c>
      <c r="J157" s="18">
        <v>0.1</v>
      </c>
      <c r="K157" s="18" t="s">
        <v>31</v>
      </c>
      <c r="L157" s="18" t="s">
        <v>608</v>
      </c>
      <c r="M157" s="18">
        <v>40</v>
      </c>
      <c r="N157" s="20">
        <v>385000</v>
      </c>
      <c r="O157" s="21">
        <v>45232</v>
      </c>
      <c r="P157" s="18" t="s">
        <v>65</v>
      </c>
      <c r="Q157" s="21">
        <f t="shared" si="14"/>
        <v>46448</v>
      </c>
      <c r="R157" s="72">
        <f t="shared" si="15"/>
        <v>46403</v>
      </c>
      <c r="S157" s="18" t="str">
        <f t="shared" ca="1" si="16"/>
        <v>CALIBRADO</v>
      </c>
      <c r="T157" s="18" t="s">
        <v>34</v>
      </c>
      <c r="U157" s="19"/>
    </row>
    <row r="158" spans="1:21" ht="29.25" customHeight="1" x14ac:dyDescent="0.25">
      <c r="A158" s="69" t="s">
        <v>609</v>
      </c>
      <c r="B158" s="18" t="s">
        <v>610</v>
      </c>
      <c r="C158" s="19" t="s">
        <v>611</v>
      </c>
      <c r="D158" s="18" t="s">
        <v>612</v>
      </c>
      <c r="E158" s="19" t="s">
        <v>613</v>
      </c>
      <c r="F158" s="18" t="s">
        <v>80</v>
      </c>
      <c r="G158" s="19" t="s">
        <v>81</v>
      </c>
      <c r="H158" s="18">
        <v>0.1</v>
      </c>
      <c r="I158" s="18" t="s">
        <v>614</v>
      </c>
      <c r="J158" s="18">
        <v>0.1</v>
      </c>
      <c r="K158" s="18" t="s">
        <v>31</v>
      </c>
      <c r="L158" s="47" t="s">
        <v>615</v>
      </c>
      <c r="M158" s="18">
        <v>28</v>
      </c>
      <c r="N158" s="20">
        <v>1452000</v>
      </c>
      <c r="O158" s="21">
        <v>45653</v>
      </c>
      <c r="P158" s="18" t="s">
        <v>535</v>
      </c>
      <c r="Q158" s="21">
        <f t="shared" si="14"/>
        <v>46504</v>
      </c>
      <c r="R158" s="72">
        <f>Q158-45</f>
        <v>46459</v>
      </c>
      <c r="S158" s="18" t="str">
        <f t="shared" ca="1" si="16"/>
        <v>CALIBRADO</v>
      </c>
      <c r="T158" s="18" t="s">
        <v>34</v>
      </c>
      <c r="U158" s="19"/>
    </row>
    <row r="159" spans="1:21" ht="29.25" customHeight="1" x14ac:dyDescent="0.25">
      <c r="A159" s="69" t="s">
        <v>609</v>
      </c>
      <c r="B159" s="18" t="s">
        <v>616</v>
      </c>
      <c r="C159" s="19" t="s">
        <v>611</v>
      </c>
      <c r="D159" s="18" t="s">
        <v>612</v>
      </c>
      <c r="E159" s="19" t="s">
        <v>613</v>
      </c>
      <c r="F159" s="18" t="s">
        <v>80</v>
      </c>
      <c r="G159" s="19" t="s">
        <v>81</v>
      </c>
      <c r="H159" s="18">
        <v>0.1</v>
      </c>
      <c r="I159" s="18" t="s">
        <v>614</v>
      </c>
      <c r="J159" s="18">
        <v>0.1</v>
      </c>
      <c r="K159" s="18" t="s">
        <v>31</v>
      </c>
      <c r="L159" s="47" t="s">
        <v>615</v>
      </c>
      <c r="M159" s="18">
        <v>28</v>
      </c>
      <c r="N159" s="20">
        <v>1452000</v>
      </c>
      <c r="O159" s="21">
        <v>45653</v>
      </c>
      <c r="P159" s="18" t="s">
        <v>535</v>
      </c>
      <c r="Q159" s="21">
        <f t="shared" si="14"/>
        <v>46504</v>
      </c>
      <c r="R159" s="72">
        <f t="shared" ref="R159:R164" si="17">Q159-45</f>
        <v>46459</v>
      </c>
      <c r="S159" s="18" t="str">
        <f t="shared" ca="1" si="16"/>
        <v>CALIBRADO</v>
      </c>
      <c r="T159" s="18" t="s">
        <v>34</v>
      </c>
      <c r="U159" s="19"/>
    </row>
    <row r="160" spans="1:21" ht="29.25" customHeight="1" x14ac:dyDescent="0.25">
      <c r="A160" s="69" t="s">
        <v>609</v>
      </c>
      <c r="B160" s="18" t="s">
        <v>617</v>
      </c>
      <c r="C160" s="19" t="s">
        <v>611</v>
      </c>
      <c r="D160" s="18" t="s">
        <v>612</v>
      </c>
      <c r="E160" s="19" t="s">
        <v>613</v>
      </c>
      <c r="F160" s="18" t="s">
        <v>80</v>
      </c>
      <c r="G160" s="19" t="s">
        <v>81</v>
      </c>
      <c r="H160" s="18">
        <v>0.1</v>
      </c>
      <c r="I160" s="18" t="s">
        <v>614</v>
      </c>
      <c r="J160" s="18">
        <v>0.1</v>
      </c>
      <c r="K160" s="18" t="s">
        <v>31</v>
      </c>
      <c r="L160" s="47" t="s">
        <v>615</v>
      </c>
      <c r="M160" s="18">
        <v>28</v>
      </c>
      <c r="N160" s="20">
        <v>1452000</v>
      </c>
      <c r="O160" s="21">
        <v>45653</v>
      </c>
      <c r="P160" s="18" t="s">
        <v>535</v>
      </c>
      <c r="Q160" s="21">
        <f t="shared" si="14"/>
        <v>46504</v>
      </c>
      <c r="R160" s="72">
        <f t="shared" si="17"/>
        <v>46459</v>
      </c>
      <c r="S160" s="18" t="str">
        <f t="shared" ca="1" si="16"/>
        <v>CALIBRADO</v>
      </c>
      <c r="T160" s="18" t="s">
        <v>34</v>
      </c>
      <c r="U160" s="19"/>
    </row>
    <row r="161" spans="1:21" ht="29.25" customHeight="1" x14ac:dyDescent="0.25">
      <c r="A161" s="69" t="s">
        <v>609</v>
      </c>
      <c r="B161" s="18" t="s">
        <v>618</v>
      </c>
      <c r="C161" s="19" t="s">
        <v>611</v>
      </c>
      <c r="D161" s="18" t="s">
        <v>612</v>
      </c>
      <c r="E161" s="19" t="s">
        <v>613</v>
      </c>
      <c r="F161" s="18" t="s">
        <v>80</v>
      </c>
      <c r="G161" s="19" t="s">
        <v>81</v>
      </c>
      <c r="H161" s="18">
        <v>0.1</v>
      </c>
      <c r="I161" s="18" t="s">
        <v>614</v>
      </c>
      <c r="J161" s="18">
        <v>0.1</v>
      </c>
      <c r="K161" s="18" t="s">
        <v>31</v>
      </c>
      <c r="L161" s="47" t="s">
        <v>615</v>
      </c>
      <c r="M161" s="18">
        <v>28</v>
      </c>
      <c r="N161" s="20">
        <v>1452000</v>
      </c>
      <c r="O161" s="21">
        <v>45653</v>
      </c>
      <c r="P161" s="18" t="s">
        <v>535</v>
      </c>
      <c r="Q161" s="21">
        <f t="shared" si="14"/>
        <v>46504</v>
      </c>
      <c r="R161" s="72">
        <f t="shared" si="17"/>
        <v>46459</v>
      </c>
      <c r="S161" s="18" t="str">
        <f t="shared" ca="1" si="16"/>
        <v>CALIBRADO</v>
      </c>
      <c r="T161" s="18" t="s">
        <v>34</v>
      </c>
      <c r="U161" s="19"/>
    </row>
    <row r="162" spans="1:21" ht="29.25" customHeight="1" x14ac:dyDescent="0.25">
      <c r="A162" s="69" t="s">
        <v>609</v>
      </c>
      <c r="B162" s="18" t="s">
        <v>619</v>
      </c>
      <c r="C162" s="19" t="s">
        <v>611</v>
      </c>
      <c r="D162" s="18" t="s">
        <v>612</v>
      </c>
      <c r="E162" s="19" t="s">
        <v>613</v>
      </c>
      <c r="F162" s="18" t="s">
        <v>80</v>
      </c>
      <c r="G162" s="19" t="s">
        <v>81</v>
      </c>
      <c r="H162" s="18">
        <v>0.1</v>
      </c>
      <c r="I162" s="18" t="s">
        <v>620</v>
      </c>
      <c r="J162" s="18">
        <v>0.1</v>
      </c>
      <c r="K162" s="18" t="s">
        <v>31</v>
      </c>
      <c r="L162" s="47" t="s">
        <v>621</v>
      </c>
      <c r="M162" s="18">
        <v>28</v>
      </c>
      <c r="N162" s="20">
        <v>1452000</v>
      </c>
      <c r="O162" s="21">
        <v>45540</v>
      </c>
      <c r="P162" s="18" t="s">
        <v>535</v>
      </c>
      <c r="Q162" s="21">
        <f t="shared" si="14"/>
        <v>46392</v>
      </c>
      <c r="R162" s="72">
        <f t="shared" si="17"/>
        <v>46347</v>
      </c>
      <c r="S162" s="18" t="str">
        <f t="shared" ca="1" si="16"/>
        <v>CALIBRADO</v>
      </c>
      <c r="T162" s="18" t="s">
        <v>34</v>
      </c>
      <c r="U162" s="19" t="s">
        <v>622</v>
      </c>
    </row>
    <row r="163" spans="1:21" ht="29.25" customHeight="1" x14ac:dyDescent="0.25">
      <c r="A163" s="69" t="s">
        <v>609</v>
      </c>
      <c r="B163" s="18" t="s">
        <v>623</v>
      </c>
      <c r="C163" s="19" t="s">
        <v>611</v>
      </c>
      <c r="D163" s="18" t="s">
        <v>612</v>
      </c>
      <c r="E163" s="19" t="s">
        <v>613</v>
      </c>
      <c r="F163" s="18" t="s">
        <v>80</v>
      </c>
      <c r="G163" s="19" t="s">
        <v>81</v>
      </c>
      <c r="H163" s="18">
        <v>0.1</v>
      </c>
      <c r="I163" s="18" t="s">
        <v>620</v>
      </c>
      <c r="J163" s="18">
        <v>0.1</v>
      </c>
      <c r="K163" s="18" t="s">
        <v>31</v>
      </c>
      <c r="L163" s="47" t="s">
        <v>621</v>
      </c>
      <c r="M163" s="18">
        <v>28</v>
      </c>
      <c r="N163" s="20">
        <v>1452000</v>
      </c>
      <c r="O163" s="21">
        <v>45540</v>
      </c>
      <c r="P163" s="18" t="s">
        <v>535</v>
      </c>
      <c r="Q163" s="21">
        <f t="shared" si="14"/>
        <v>46392</v>
      </c>
      <c r="R163" s="72">
        <f t="shared" si="17"/>
        <v>46347</v>
      </c>
      <c r="S163" s="18" t="str">
        <f t="shared" ca="1" si="16"/>
        <v>CALIBRADO</v>
      </c>
      <c r="T163" s="18" t="s">
        <v>34</v>
      </c>
      <c r="U163" s="19" t="s">
        <v>622</v>
      </c>
    </row>
    <row r="164" spans="1:21" ht="29.25" customHeight="1" x14ac:dyDescent="0.25">
      <c r="A164" s="69" t="s">
        <v>609</v>
      </c>
      <c r="B164" s="18" t="s">
        <v>624</v>
      </c>
      <c r="C164" s="19" t="s">
        <v>611</v>
      </c>
      <c r="D164" s="18" t="s">
        <v>612</v>
      </c>
      <c r="E164" s="19" t="s">
        <v>613</v>
      </c>
      <c r="F164" s="18" t="s">
        <v>80</v>
      </c>
      <c r="G164" s="19" t="s">
        <v>81</v>
      </c>
      <c r="H164" s="18">
        <v>0.1</v>
      </c>
      <c r="I164" s="18" t="s">
        <v>620</v>
      </c>
      <c r="J164" s="18">
        <v>0.1</v>
      </c>
      <c r="K164" s="18" t="s">
        <v>31</v>
      </c>
      <c r="L164" s="47" t="s">
        <v>621</v>
      </c>
      <c r="M164" s="18">
        <v>28</v>
      </c>
      <c r="N164" s="20">
        <v>1452000</v>
      </c>
      <c r="O164" s="21">
        <v>45540</v>
      </c>
      <c r="P164" s="18" t="s">
        <v>535</v>
      </c>
      <c r="Q164" s="21">
        <f t="shared" si="14"/>
        <v>46392</v>
      </c>
      <c r="R164" s="72">
        <f t="shared" si="17"/>
        <v>46347</v>
      </c>
      <c r="S164" s="18" t="str">
        <f t="shared" ca="1" si="16"/>
        <v>CALIBRADO</v>
      </c>
      <c r="T164" s="18" t="s">
        <v>34</v>
      </c>
      <c r="U164" s="19" t="s">
        <v>622</v>
      </c>
    </row>
    <row r="165" spans="1:21" ht="29.25" customHeight="1" x14ac:dyDescent="0.25">
      <c r="A165" s="69" t="s">
        <v>478</v>
      </c>
      <c r="B165" s="19" t="s">
        <v>625</v>
      </c>
      <c r="C165" s="19" t="s">
        <v>626</v>
      </c>
      <c r="D165" s="18" t="s">
        <v>627</v>
      </c>
      <c r="E165" s="19" t="s">
        <v>628</v>
      </c>
      <c r="F165" s="18" t="s">
        <v>199</v>
      </c>
      <c r="G165" s="19" t="s">
        <v>200</v>
      </c>
      <c r="H165" s="18">
        <v>0.1</v>
      </c>
      <c r="I165" s="25" t="s">
        <v>629</v>
      </c>
      <c r="J165" s="18">
        <v>0.1</v>
      </c>
      <c r="K165" s="18" t="s">
        <v>31</v>
      </c>
      <c r="L165" s="62" t="s">
        <v>630</v>
      </c>
      <c r="M165" s="18">
        <v>24</v>
      </c>
      <c r="N165" s="20">
        <v>375000</v>
      </c>
      <c r="O165" s="21">
        <v>45484</v>
      </c>
      <c r="P165" s="18" t="s">
        <v>485</v>
      </c>
      <c r="Q165" s="21">
        <f t="shared" si="14"/>
        <v>46214</v>
      </c>
      <c r="R165" s="72">
        <f>Q165-45</f>
        <v>46169</v>
      </c>
      <c r="S165" s="18" t="str">
        <f t="shared" ca="1" si="16"/>
        <v>PROGRAMADO</v>
      </c>
      <c r="T165" s="18" t="s">
        <v>34</v>
      </c>
      <c r="U165" s="19"/>
    </row>
    <row r="166" spans="1:21" ht="29.25" customHeight="1" x14ac:dyDescent="0.25">
      <c r="A166" s="69" t="s">
        <v>631</v>
      </c>
      <c r="B166" s="18" t="s">
        <v>632</v>
      </c>
      <c r="C166" s="19" t="s">
        <v>633</v>
      </c>
      <c r="D166" s="18" t="s">
        <v>634</v>
      </c>
      <c r="E166" s="19" t="s">
        <v>300</v>
      </c>
      <c r="F166" s="18" t="s">
        <v>80</v>
      </c>
      <c r="G166" s="19" t="s">
        <v>81</v>
      </c>
      <c r="H166" s="18">
        <v>0.1</v>
      </c>
      <c r="I166" s="25" t="s">
        <v>635</v>
      </c>
      <c r="J166" s="18">
        <v>0.1</v>
      </c>
      <c r="K166" s="18" t="s">
        <v>31</v>
      </c>
      <c r="L166" s="62" t="s">
        <v>636</v>
      </c>
      <c r="M166" s="18">
        <v>36</v>
      </c>
      <c r="N166" s="20">
        <f>197500*90</f>
        <v>17775000</v>
      </c>
      <c r="O166" s="21">
        <v>45239</v>
      </c>
      <c r="P166" s="18" t="s">
        <v>535</v>
      </c>
      <c r="Q166" s="21">
        <f t="shared" si="14"/>
        <v>46335</v>
      </c>
      <c r="R166" s="72">
        <f t="shared" si="15"/>
        <v>46290</v>
      </c>
      <c r="S166" s="18" t="str">
        <f t="shared" ca="1" si="16"/>
        <v>CALIBRADO</v>
      </c>
      <c r="T166" s="18" t="s">
        <v>34</v>
      </c>
      <c r="U166" s="19"/>
    </row>
    <row r="167" spans="1:21" ht="29.25" customHeight="1" x14ac:dyDescent="0.25">
      <c r="A167" s="69" t="s">
        <v>637</v>
      </c>
      <c r="B167" s="18" t="s">
        <v>638</v>
      </c>
      <c r="C167" s="19">
        <v>2021053100440120</v>
      </c>
      <c r="D167" s="18" t="s">
        <v>634</v>
      </c>
      <c r="E167" s="19" t="s">
        <v>300</v>
      </c>
      <c r="F167" s="18" t="s">
        <v>80</v>
      </c>
      <c r="G167" s="19" t="s">
        <v>81</v>
      </c>
      <c r="H167" s="18">
        <v>0.1</v>
      </c>
      <c r="I167" s="25" t="s">
        <v>635</v>
      </c>
      <c r="J167" s="18">
        <v>0.1</v>
      </c>
      <c r="K167" s="18" t="s">
        <v>31</v>
      </c>
      <c r="L167" s="62" t="s">
        <v>636</v>
      </c>
      <c r="M167" s="18">
        <v>36</v>
      </c>
      <c r="N167" s="20">
        <f>197500</f>
        <v>197500</v>
      </c>
      <c r="O167" s="21">
        <v>45239</v>
      </c>
      <c r="P167" s="18" t="s">
        <v>535</v>
      </c>
      <c r="Q167" s="21">
        <f t="shared" si="14"/>
        <v>46335</v>
      </c>
      <c r="R167" s="72">
        <f>Q167-45</f>
        <v>46290</v>
      </c>
      <c r="S167" s="18" t="str">
        <f t="shared" ca="1" si="16"/>
        <v>CALIBRADO</v>
      </c>
      <c r="T167" s="18" t="s">
        <v>34</v>
      </c>
      <c r="U167" s="19"/>
    </row>
    <row r="168" spans="1:21" ht="29.25" customHeight="1" x14ac:dyDescent="0.25">
      <c r="A168" s="69" t="s">
        <v>639</v>
      </c>
      <c r="B168" s="18" t="s">
        <v>640</v>
      </c>
      <c r="C168" s="19">
        <v>2021053100440120</v>
      </c>
      <c r="D168" s="18" t="s">
        <v>634</v>
      </c>
      <c r="E168" s="19" t="s">
        <v>300</v>
      </c>
      <c r="F168" s="18" t="s">
        <v>80</v>
      </c>
      <c r="G168" s="19" t="s">
        <v>81</v>
      </c>
      <c r="H168" s="18">
        <v>0.1</v>
      </c>
      <c r="I168" s="25" t="s">
        <v>635</v>
      </c>
      <c r="J168" s="18">
        <v>0.1</v>
      </c>
      <c r="K168" s="18" t="s">
        <v>31</v>
      </c>
      <c r="L168" s="62" t="s">
        <v>636</v>
      </c>
      <c r="M168" s="18">
        <v>36</v>
      </c>
      <c r="N168" s="20">
        <f>197500</f>
        <v>197500</v>
      </c>
      <c r="O168" s="21">
        <v>45239</v>
      </c>
      <c r="P168" s="18" t="s">
        <v>535</v>
      </c>
      <c r="Q168" s="21">
        <f t="shared" si="14"/>
        <v>46335</v>
      </c>
      <c r="R168" s="72">
        <f>Q168-45</f>
        <v>46290</v>
      </c>
      <c r="S168" s="18" t="str">
        <f t="shared" ca="1" si="16"/>
        <v>CALIBRADO</v>
      </c>
      <c r="T168" s="18" t="s">
        <v>34</v>
      </c>
      <c r="U168" s="19"/>
    </row>
    <row r="169" spans="1:21" ht="29.25" customHeight="1" x14ac:dyDescent="0.25">
      <c r="A169" s="69" t="s">
        <v>641</v>
      </c>
      <c r="B169" s="18" t="s">
        <v>642</v>
      </c>
      <c r="C169" s="19">
        <v>2157022802</v>
      </c>
      <c r="D169" s="18" t="s">
        <v>643</v>
      </c>
      <c r="E169" s="19" t="s">
        <v>644</v>
      </c>
      <c r="F169" s="19" t="s">
        <v>199</v>
      </c>
      <c r="G169" s="19" t="s">
        <v>200</v>
      </c>
      <c r="H169" s="18">
        <v>0.1</v>
      </c>
      <c r="I169" s="19" t="s">
        <v>645</v>
      </c>
      <c r="J169" s="18">
        <v>0.1</v>
      </c>
      <c r="K169" s="18" t="s">
        <v>31</v>
      </c>
      <c r="L169" s="19" t="s">
        <v>646</v>
      </c>
      <c r="M169" s="18">
        <v>36</v>
      </c>
      <c r="N169" s="20">
        <v>0</v>
      </c>
      <c r="O169" s="21">
        <v>45240</v>
      </c>
      <c r="P169" s="18" t="s">
        <v>485</v>
      </c>
      <c r="Q169" s="21">
        <f t="shared" si="14"/>
        <v>46336</v>
      </c>
      <c r="R169" s="72">
        <f t="shared" si="15"/>
        <v>46291</v>
      </c>
      <c r="S169" s="18" t="str">
        <f t="shared" ca="1" si="16"/>
        <v>CALIBRADO</v>
      </c>
      <c r="T169" s="18" t="s">
        <v>34</v>
      </c>
      <c r="U169" s="19"/>
    </row>
    <row r="170" spans="1:21" ht="29.25" customHeight="1" x14ac:dyDescent="0.25">
      <c r="A170" s="69" t="s">
        <v>641</v>
      </c>
      <c r="B170" s="18" t="s">
        <v>642</v>
      </c>
      <c r="C170" s="19">
        <v>2157022802</v>
      </c>
      <c r="D170" s="18" t="s">
        <v>643</v>
      </c>
      <c r="E170" s="19" t="s">
        <v>644</v>
      </c>
      <c r="F170" s="19" t="s">
        <v>247</v>
      </c>
      <c r="G170" s="19" t="s">
        <v>248</v>
      </c>
      <c r="H170" s="18">
        <v>0.1</v>
      </c>
      <c r="I170" s="19" t="s">
        <v>647</v>
      </c>
      <c r="J170" s="18">
        <v>0.1</v>
      </c>
      <c r="K170" s="18" t="s">
        <v>31</v>
      </c>
      <c r="L170" s="19" t="s">
        <v>32</v>
      </c>
      <c r="M170" s="18">
        <v>36</v>
      </c>
      <c r="N170" s="20">
        <v>0</v>
      </c>
      <c r="O170" s="21">
        <v>45240</v>
      </c>
      <c r="P170" s="18" t="s">
        <v>485</v>
      </c>
      <c r="Q170" s="21">
        <f t="shared" si="14"/>
        <v>46336</v>
      </c>
      <c r="R170" s="72">
        <f>Q170-45</f>
        <v>46291</v>
      </c>
      <c r="S170" s="18" t="str">
        <f t="shared" ca="1" si="16"/>
        <v>CALIBRADO</v>
      </c>
      <c r="T170" s="18" t="s">
        <v>34</v>
      </c>
      <c r="U170" s="19"/>
    </row>
    <row r="171" spans="1:21" ht="29.25" customHeight="1" x14ac:dyDescent="0.25">
      <c r="A171" s="69" t="s">
        <v>641</v>
      </c>
      <c r="B171" s="18" t="s">
        <v>642</v>
      </c>
      <c r="C171" s="19">
        <v>2157022802</v>
      </c>
      <c r="D171" s="18" t="s">
        <v>643</v>
      </c>
      <c r="E171" s="19" t="s">
        <v>644</v>
      </c>
      <c r="F171" s="19" t="s">
        <v>518</v>
      </c>
      <c r="G171" s="19" t="s">
        <v>200</v>
      </c>
      <c r="H171" s="18">
        <v>0.1</v>
      </c>
      <c r="I171" s="19" t="s">
        <v>647</v>
      </c>
      <c r="J171" s="18">
        <v>0.1</v>
      </c>
      <c r="K171" s="18" t="s">
        <v>31</v>
      </c>
      <c r="L171" s="19" t="s">
        <v>32</v>
      </c>
      <c r="M171" s="18">
        <v>36</v>
      </c>
      <c r="N171" s="20">
        <v>0</v>
      </c>
      <c r="O171" s="21">
        <v>45240</v>
      </c>
      <c r="P171" s="18" t="s">
        <v>485</v>
      </c>
      <c r="Q171" s="21">
        <f t="shared" si="14"/>
        <v>46336</v>
      </c>
      <c r="R171" s="72">
        <f>Q171-45</f>
        <v>46291</v>
      </c>
      <c r="S171" s="18" t="str">
        <f t="shared" ca="1" si="16"/>
        <v>CALIBRADO</v>
      </c>
      <c r="T171" s="18" t="s">
        <v>34</v>
      </c>
      <c r="U171" s="19"/>
    </row>
    <row r="172" spans="1:21" ht="29.25" customHeight="1" x14ac:dyDescent="0.25">
      <c r="A172" s="69" t="s">
        <v>648</v>
      </c>
      <c r="B172" s="18" t="s">
        <v>649</v>
      </c>
      <c r="C172" s="19" t="s">
        <v>650</v>
      </c>
      <c r="D172" s="19" t="s">
        <v>651</v>
      </c>
      <c r="E172" s="19" t="s">
        <v>652</v>
      </c>
      <c r="F172" s="18" t="s">
        <v>66</v>
      </c>
      <c r="G172" s="19" t="s">
        <v>67</v>
      </c>
      <c r="H172" s="18">
        <v>1</v>
      </c>
      <c r="I172" s="18" t="s">
        <v>653</v>
      </c>
      <c r="J172" s="18">
        <v>1</v>
      </c>
      <c r="K172" s="18" t="s">
        <v>31</v>
      </c>
      <c r="L172" s="18" t="s">
        <v>653</v>
      </c>
      <c r="M172" s="18">
        <v>36</v>
      </c>
      <c r="N172" s="20">
        <v>396500</v>
      </c>
      <c r="O172" s="21">
        <v>45226</v>
      </c>
      <c r="P172" s="18" t="s">
        <v>65</v>
      </c>
      <c r="Q172" s="21">
        <f t="shared" si="14"/>
        <v>46322</v>
      </c>
      <c r="R172" s="72">
        <f>Q172-45</f>
        <v>46277</v>
      </c>
      <c r="S172" s="18" t="str">
        <f t="shared" ca="1" si="16"/>
        <v>CALIBRADO</v>
      </c>
      <c r="T172" s="18" t="s">
        <v>34</v>
      </c>
      <c r="U172" s="19"/>
    </row>
    <row r="173" spans="1:21" ht="29.25" customHeight="1" x14ac:dyDescent="0.25">
      <c r="A173" s="69" t="s">
        <v>654</v>
      </c>
      <c r="B173" s="18" t="s">
        <v>655</v>
      </c>
      <c r="C173" s="19" t="s">
        <v>656</v>
      </c>
      <c r="D173" s="19" t="s">
        <v>657</v>
      </c>
      <c r="E173" s="19" t="s">
        <v>658</v>
      </c>
      <c r="F173" s="18" t="s">
        <v>80</v>
      </c>
      <c r="G173" s="19" t="s">
        <v>81</v>
      </c>
      <c r="H173" s="18">
        <v>0.1</v>
      </c>
      <c r="I173" s="18" t="s">
        <v>659</v>
      </c>
      <c r="J173" s="18">
        <v>0.1</v>
      </c>
      <c r="K173" s="18" t="s">
        <v>31</v>
      </c>
      <c r="L173" s="18" t="s">
        <v>659</v>
      </c>
      <c r="M173" s="18">
        <v>36</v>
      </c>
      <c r="N173" s="20">
        <v>1674725</v>
      </c>
      <c r="O173" s="21">
        <v>45530</v>
      </c>
      <c r="P173" s="18" t="s">
        <v>660</v>
      </c>
      <c r="Q173" s="21">
        <f t="shared" si="14"/>
        <v>46625</v>
      </c>
      <c r="R173" s="72">
        <f t="shared" si="15"/>
        <v>46580</v>
      </c>
      <c r="S173" s="18" t="str">
        <f t="shared" ca="1" si="16"/>
        <v>CALIBRADO</v>
      </c>
      <c r="T173" s="18" t="s">
        <v>34</v>
      </c>
      <c r="U173" s="19"/>
    </row>
    <row r="174" spans="1:21" ht="29.25" customHeight="1" x14ac:dyDescent="0.25">
      <c r="A174" s="69" t="s">
        <v>661</v>
      </c>
      <c r="B174" s="18" t="s">
        <v>662</v>
      </c>
      <c r="C174" s="19" t="s">
        <v>663</v>
      </c>
      <c r="D174" s="18" t="s">
        <v>664</v>
      </c>
      <c r="E174" s="19" t="s">
        <v>665</v>
      </c>
      <c r="F174" s="19" t="s">
        <v>666</v>
      </c>
      <c r="G174" s="18" t="s">
        <v>424</v>
      </c>
      <c r="H174" s="18">
        <v>0.1</v>
      </c>
      <c r="I174" s="18" t="s">
        <v>667</v>
      </c>
      <c r="J174" s="18">
        <v>0.1</v>
      </c>
      <c r="K174" s="18" t="s">
        <v>31</v>
      </c>
      <c r="L174" s="18" t="s">
        <v>668</v>
      </c>
      <c r="M174" s="18">
        <v>60</v>
      </c>
      <c r="N174" s="20">
        <v>540000</v>
      </c>
      <c r="O174" s="21">
        <v>44526</v>
      </c>
      <c r="P174" s="63" t="s">
        <v>669</v>
      </c>
      <c r="Q174" s="21">
        <f t="shared" si="14"/>
        <v>46352</v>
      </c>
      <c r="R174" s="72">
        <f t="shared" si="15"/>
        <v>46307</v>
      </c>
      <c r="S174" s="18" t="str">
        <f t="shared" ca="1" si="16"/>
        <v>CALIBRADO</v>
      </c>
      <c r="T174" s="18" t="s">
        <v>34</v>
      </c>
      <c r="U174" s="19"/>
    </row>
    <row r="175" spans="1:21" ht="29.25" customHeight="1" x14ac:dyDescent="0.25">
      <c r="A175" s="69" t="s">
        <v>661</v>
      </c>
      <c r="B175" s="18" t="s">
        <v>670</v>
      </c>
      <c r="C175" s="19" t="s">
        <v>663</v>
      </c>
      <c r="D175" s="18" t="s">
        <v>664</v>
      </c>
      <c r="E175" s="19" t="s">
        <v>665</v>
      </c>
      <c r="F175" s="19" t="s">
        <v>666</v>
      </c>
      <c r="G175" s="18" t="s">
        <v>424</v>
      </c>
      <c r="H175" s="18">
        <v>0.1</v>
      </c>
      <c r="I175" s="18" t="s">
        <v>667</v>
      </c>
      <c r="J175" s="18">
        <v>0.1</v>
      </c>
      <c r="K175" s="18" t="s">
        <v>31</v>
      </c>
      <c r="L175" s="18" t="s">
        <v>668</v>
      </c>
      <c r="M175" s="18">
        <v>60</v>
      </c>
      <c r="N175" s="20">
        <v>540000</v>
      </c>
      <c r="O175" s="21">
        <v>44526</v>
      </c>
      <c r="P175" s="63" t="s">
        <v>669</v>
      </c>
      <c r="Q175" s="21">
        <f t="shared" si="14"/>
        <v>46352</v>
      </c>
      <c r="R175" s="72">
        <f t="shared" si="15"/>
        <v>46307</v>
      </c>
      <c r="S175" s="18" t="str">
        <f t="shared" ca="1" si="16"/>
        <v>CALIBRADO</v>
      </c>
      <c r="T175" s="18" t="s">
        <v>34</v>
      </c>
      <c r="U175" s="19"/>
    </row>
    <row r="176" spans="1:21" ht="29.25" customHeight="1" x14ac:dyDescent="0.25">
      <c r="A176" s="69" t="s">
        <v>661</v>
      </c>
      <c r="B176" s="18" t="s">
        <v>671</v>
      </c>
      <c r="C176" s="19" t="s">
        <v>663</v>
      </c>
      <c r="D176" s="18" t="s">
        <v>664</v>
      </c>
      <c r="E176" s="19" t="s">
        <v>665</v>
      </c>
      <c r="F176" s="19" t="s">
        <v>666</v>
      </c>
      <c r="G176" s="18" t="s">
        <v>424</v>
      </c>
      <c r="H176" s="18">
        <v>0.1</v>
      </c>
      <c r="I176" s="18" t="s">
        <v>667</v>
      </c>
      <c r="J176" s="18">
        <v>0.1</v>
      </c>
      <c r="K176" s="18" t="s">
        <v>31</v>
      </c>
      <c r="L176" s="18" t="s">
        <v>668</v>
      </c>
      <c r="M176" s="18">
        <v>60</v>
      </c>
      <c r="N176" s="20">
        <v>540000</v>
      </c>
      <c r="O176" s="21">
        <v>44526</v>
      </c>
      <c r="P176" s="63" t="s">
        <v>669</v>
      </c>
      <c r="Q176" s="21">
        <f t="shared" si="14"/>
        <v>46352</v>
      </c>
      <c r="R176" s="72">
        <f t="shared" si="15"/>
        <v>46307</v>
      </c>
      <c r="S176" s="18" t="str">
        <f t="shared" ca="1" si="16"/>
        <v>CALIBRADO</v>
      </c>
      <c r="T176" s="18" t="s">
        <v>34</v>
      </c>
      <c r="U176" s="19"/>
    </row>
    <row r="177" spans="1:21" ht="29.25" customHeight="1" x14ac:dyDescent="0.25">
      <c r="A177" s="69" t="s">
        <v>661</v>
      </c>
      <c r="B177" s="18" t="s">
        <v>672</v>
      </c>
      <c r="C177" s="19" t="s">
        <v>663</v>
      </c>
      <c r="D177" s="18" t="s">
        <v>664</v>
      </c>
      <c r="E177" s="19" t="s">
        <v>665</v>
      </c>
      <c r="F177" s="19" t="s">
        <v>666</v>
      </c>
      <c r="G177" s="18" t="s">
        <v>424</v>
      </c>
      <c r="H177" s="18">
        <v>0.1</v>
      </c>
      <c r="I177" s="18" t="s">
        <v>667</v>
      </c>
      <c r="J177" s="18">
        <v>0.1</v>
      </c>
      <c r="K177" s="18" t="s">
        <v>31</v>
      </c>
      <c r="L177" s="18" t="s">
        <v>668</v>
      </c>
      <c r="M177" s="18">
        <v>60</v>
      </c>
      <c r="N177" s="20">
        <v>540000</v>
      </c>
      <c r="O177" s="21">
        <v>44526</v>
      </c>
      <c r="P177" s="63" t="s">
        <v>669</v>
      </c>
      <c r="Q177" s="21">
        <f t="shared" si="14"/>
        <v>46352</v>
      </c>
      <c r="R177" s="72">
        <f t="shared" si="15"/>
        <v>46307</v>
      </c>
      <c r="S177" s="18" t="str">
        <f t="shared" ca="1" si="16"/>
        <v>CALIBRADO</v>
      </c>
      <c r="T177" s="18" t="s">
        <v>34</v>
      </c>
      <c r="U177" s="19"/>
    </row>
    <row r="178" spans="1:21" ht="29.25" customHeight="1" x14ac:dyDescent="0.25">
      <c r="A178" s="69" t="s">
        <v>661</v>
      </c>
      <c r="B178" s="18" t="s">
        <v>673</v>
      </c>
      <c r="C178" s="19" t="s">
        <v>663</v>
      </c>
      <c r="D178" s="18" t="s">
        <v>664</v>
      </c>
      <c r="E178" s="19" t="s">
        <v>665</v>
      </c>
      <c r="F178" s="19" t="s">
        <v>666</v>
      </c>
      <c r="G178" s="18" t="s">
        <v>424</v>
      </c>
      <c r="H178" s="18">
        <v>0.1</v>
      </c>
      <c r="I178" s="18" t="s">
        <v>667</v>
      </c>
      <c r="J178" s="18">
        <v>0.1</v>
      </c>
      <c r="K178" s="18" t="s">
        <v>31</v>
      </c>
      <c r="L178" s="18" t="s">
        <v>668</v>
      </c>
      <c r="M178" s="18">
        <v>60</v>
      </c>
      <c r="N178" s="20">
        <v>540000</v>
      </c>
      <c r="O178" s="21">
        <v>44526</v>
      </c>
      <c r="P178" s="63" t="s">
        <v>669</v>
      </c>
      <c r="Q178" s="21">
        <f t="shared" si="14"/>
        <v>46352</v>
      </c>
      <c r="R178" s="72">
        <f t="shared" si="15"/>
        <v>46307</v>
      </c>
      <c r="S178" s="18" t="str">
        <f t="shared" ca="1" si="16"/>
        <v>CALIBRADO</v>
      </c>
      <c r="T178" s="18" t="s">
        <v>34</v>
      </c>
      <c r="U178" s="19"/>
    </row>
    <row r="179" spans="1:21" ht="29.25" customHeight="1" x14ac:dyDescent="0.25">
      <c r="A179" s="69" t="s">
        <v>661</v>
      </c>
      <c r="B179" s="18" t="s">
        <v>674</v>
      </c>
      <c r="C179" s="19" t="s">
        <v>663</v>
      </c>
      <c r="D179" s="18" t="s">
        <v>664</v>
      </c>
      <c r="E179" s="19" t="s">
        <v>665</v>
      </c>
      <c r="F179" s="19" t="s">
        <v>666</v>
      </c>
      <c r="G179" s="18" t="s">
        <v>424</v>
      </c>
      <c r="H179" s="18">
        <v>0.1</v>
      </c>
      <c r="I179" s="18" t="s">
        <v>667</v>
      </c>
      <c r="J179" s="18">
        <v>0.1</v>
      </c>
      <c r="K179" s="18" t="s">
        <v>31</v>
      </c>
      <c r="L179" s="18" t="s">
        <v>668</v>
      </c>
      <c r="M179" s="18">
        <v>60</v>
      </c>
      <c r="N179" s="20">
        <v>540000</v>
      </c>
      <c r="O179" s="21">
        <v>44526</v>
      </c>
      <c r="P179" s="63" t="s">
        <v>669</v>
      </c>
      <c r="Q179" s="21">
        <f t="shared" ref="Q179:Q200" si="18">EDATE(O179,M179)</f>
        <v>46352</v>
      </c>
      <c r="R179" s="72">
        <f t="shared" si="15"/>
        <v>46307</v>
      </c>
      <c r="S179" s="18" t="str">
        <f t="shared" ca="1" si="16"/>
        <v>CALIBRADO</v>
      </c>
      <c r="T179" s="18" t="s">
        <v>34</v>
      </c>
      <c r="U179" s="19"/>
    </row>
    <row r="180" spans="1:21" ht="29.25" customHeight="1" x14ac:dyDescent="0.25">
      <c r="A180" s="69" t="s">
        <v>661</v>
      </c>
      <c r="B180" s="18" t="s">
        <v>675</v>
      </c>
      <c r="C180" s="19" t="s">
        <v>663</v>
      </c>
      <c r="D180" s="18" t="s">
        <v>664</v>
      </c>
      <c r="E180" s="19" t="s">
        <v>665</v>
      </c>
      <c r="F180" s="19" t="s">
        <v>666</v>
      </c>
      <c r="G180" s="18" t="s">
        <v>424</v>
      </c>
      <c r="H180" s="18">
        <v>0.1</v>
      </c>
      <c r="I180" s="18" t="s">
        <v>667</v>
      </c>
      <c r="J180" s="18">
        <v>0.1</v>
      </c>
      <c r="K180" s="18" t="s">
        <v>31</v>
      </c>
      <c r="L180" s="18" t="s">
        <v>668</v>
      </c>
      <c r="M180" s="18">
        <v>60</v>
      </c>
      <c r="N180" s="20">
        <v>540000</v>
      </c>
      <c r="O180" s="21">
        <v>44526</v>
      </c>
      <c r="P180" s="63" t="s">
        <v>669</v>
      </c>
      <c r="Q180" s="21">
        <f t="shared" si="18"/>
        <v>46352</v>
      </c>
      <c r="R180" s="72">
        <f t="shared" si="15"/>
        <v>46307</v>
      </c>
      <c r="S180" s="18" t="str">
        <f t="shared" ca="1" si="16"/>
        <v>CALIBRADO</v>
      </c>
      <c r="T180" s="18" t="s">
        <v>34</v>
      </c>
      <c r="U180" s="19"/>
    </row>
    <row r="181" spans="1:21" ht="29.25" customHeight="1" x14ac:dyDescent="0.25">
      <c r="A181" s="69" t="s">
        <v>661</v>
      </c>
      <c r="B181" s="18" t="s">
        <v>676</v>
      </c>
      <c r="C181" s="19" t="s">
        <v>663</v>
      </c>
      <c r="D181" s="18" t="s">
        <v>664</v>
      </c>
      <c r="E181" s="19" t="s">
        <v>665</v>
      </c>
      <c r="F181" s="19" t="s">
        <v>666</v>
      </c>
      <c r="G181" s="18" t="s">
        <v>424</v>
      </c>
      <c r="H181" s="18">
        <v>0.1</v>
      </c>
      <c r="I181" s="18" t="s">
        <v>667</v>
      </c>
      <c r="J181" s="18">
        <v>0.1</v>
      </c>
      <c r="K181" s="18" t="s">
        <v>31</v>
      </c>
      <c r="L181" s="18" t="s">
        <v>668</v>
      </c>
      <c r="M181" s="18">
        <v>60</v>
      </c>
      <c r="N181" s="20">
        <v>540000</v>
      </c>
      <c r="O181" s="21">
        <v>44526</v>
      </c>
      <c r="P181" s="63" t="s">
        <v>669</v>
      </c>
      <c r="Q181" s="21">
        <f t="shared" si="18"/>
        <v>46352</v>
      </c>
      <c r="R181" s="72">
        <f t="shared" si="15"/>
        <v>46307</v>
      </c>
      <c r="S181" s="18" t="str">
        <f t="shared" ca="1" si="16"/>
        <v>CALIBRADO</v>
      </c>
      <c r="T181" s="18" t="s">
        <v>34</v>
      </c>
      <c r="U181" s="19"/>
    </row>
    <row r="182" spans="1:21" ht="29.25" customHeight="1" x14ac:dyDescent="0.25">
      <c r="A182" s="69" t="s">
        <v>661</v>
      </c>
      <c r="B182" s="18" t="s">
        <v>677</v>
      </c>
      <c r="C182" s="19" t="s">
        <v>663</v>
      </c>
      <c r="D182" s="18" t="s">
        <v>664</v>
      </c>
      <c r="E182" s="19" t="s">
        <v>665</v>
      </c>
      <c r="F182" s="19" t="s">
        <v>666</v>
      </c>
      <c r="G182" s="18" t="s">
        <v>424</v>
      </c>
      <c r="H182" s="18">
        <v>0.1</v>
      </c>
      <c r="I182" s="18" t="s">
        <v>667</v>
      </c>
      <c r="J182" s="18">
        <v>0.1</v>
      </c>
      <c r="K182" s="18" t="s">
        <v>31</v>
      </c>
      <c r="L182" s="18" t="s">
        <v>668</v>
      </c>
      <c r="M182" s="18">
        <v>60</v>
      </c>
      <c r="N182" s="20">
        <v>540000</v>
      </c>
      <c r="O182" s="21">
        <v>44526</v>
      </c>
      <c r="P182" s="63" t="s">
        <v>669</v>
      </c>
      <c r="Q182" s="21">
        <f t="shared" si="18"/>
        <v>46352</v>
      </c>
      <c r="R182" s="72">
        <f t="shared" si="15"/>
        <v>46307</v>
      </c>
      <c r="S182" s="18" t="str">
        <f t="shared" ca="1" si="16"/>
        <v>CALIBRADO</v>
      </c>
      <c r="T182" s="18" t="s">
        <v>34</v>
      </c>
      <c r="U182" s="19"/>
    </row>
    <row r="183" spans="1:21" ht="29.25" customHeight="1" x14ac:dyDescent="0.25">
      <c r="A183" s="67" t="s">
        <v>340</v>
      </c>
      <c r="B183" s="18" t="s">
        <v>678</v>
      </c>
      <c r="C183" s="19" t="s">
        <v>99</v>
      </c>
      <c r="D183" s="19" t="s">
        <v>342</v>
      </c>
      <c r="E183" s="19" t="s">
        <v>343</v>
      </c>
      <c r="F183" s="18" t="s">
        <v>179</v>
      </c>
      <c r="G183" s="18" t="s">
        <v>387</v>
      </c>
      <c r="H183" s="18" t="s">
        <v>325</v>
      </c>
      <c r="I183" s="19">
        <v>20</v>
      </c>
      <c r="J183" s="19">
        <v>0.05</v>
      </c>
      <c r="K183" s="19" t="s">
        <v>31</v>
      </c>
      <c r="L183" s="19">
        <v>20</v>
      </c>
      <c r="M183" s="18" t="s">
        <v>104</v>
      </c>
      <c r="N183" s="20">
        <v>50000</v>
      </c>
      <c r="O183" s="21">
        <v>44239</v>
      </c>
      <c r="P183" s="22" t="s">
        <v>95</v>
      </c>
      <c r="Q183" s="21" t="e">
        <f t="shared" si="18"/>
        <v>#VALUE!</v>
      </c>
      <c r="R183" s="72" t="e">
        <f t="shared" si="15"/>
        <v>#VALUE!</v>
      </c>
      <c r="S183" s="18" t="e">
        <f t="shared" ca="1" si="16"/>
        <v>#VALUE!</v>
      </c>
      <c r="T183" s="18" t="s">
        <v>34</v>
      </c>
      <c r="U183" s="19" t="s">
        <v>327</v>
      </c>
    </row>
    <row r="184" spans="1:21" ht="29.25" customHeight="1" x14ac:dyDescent="0.25">
      <c r="A184" s="67" t="s">
        <v>679</v>
      </c>
      <c r="B184" s="18" t="s">
        <v>680</v>
      </c>
      <c r="C184" s="19" t="s">
        <v>99</v>
      </c>
      <c r="D184" s="19" t="s">
        <v>342</v>
      </c>
      <c r="E184" s="19" t="s">
        <v>343</v>
      </c>
      <c r="F184" s="18" t="s">
        <v>179</v>
      </c>
      <c r="G184" s="18" t="s">
        <v>387</v>
      </c>
      <c r="H184" s="18" t="s">
        <v>325</v>
      </c>
      <c r="I184" s="19">
        <v>20</v>
      </c>
      <c r="J184" s="19">
        <v>0.05</v>
      </c>
      <c r="K184" s="19" t="s">
        <v>31</v>
      </c>
      <c r="L184" s="19">
        <v>20</v>
      </c>
      <c r="M184" s="18" t="s">
        <v>104</v>
      </c>
      <c r="N184" s="20">
        <v>50000</v>
      </c>
      <c r="O184" s="21">
        <v>44239</v>
      </c>
      <c r="P184" s="22" t="s">
        <v>95</v>
      </c>
      <c r="Q184" s="21" t="e">
        <f t="shared" si="18"/>
        <v>#VALUE!</v>
      </c>
      <c r="R184" s="72" t="e">
        <f t="shared" si="15"/>
        <v>#VALUE!</v>
      </c>
      <c r="S184" s="18" t="e">
        <f t="shared" ca="1" si="16"/>
        <v>#VALUE!</v>
      </c>
      <c r="T184" s="18" t="s">
        <v>34</v>
      </c>
      <c r="U184" s="19" t="s">
        <v>327</v>
      </c>
    </row>
    <row r="185" spans="1:21" ht="29.25" customHeight="1" x14ac:dyDescent="0.25">
      <c r="A185" s="67" t="s">
        <v>681</v>
      </c>
      <c r="B185" s="18" t="s">
        <v>682</v>
      </c>
      <c r="C185" s="19" t="s">
        <v>683</v>
      </c>
      <c r="D185" s="19" t="s">
        <v>684</v>
      </c>
      <c r="E185" s="19">
        <v>456</v>
      </c>
      <c r="F185" s="18" t="s">
        <v>28</v>
      </c>
      <c r="G185" s="75" t="s">
        <v>685</v>
      </c>
      <c r="H185" s="18" t="s">
        <v>686</v>
      </c>
      <c r="I185" s="19" t="s">
        <v>687</v>
      </c>
      <c r="J185" s="19"/>
      <c r="K185" s="19" t="s">
        <v>31</v>
      </c>
      <c r="L185" s="19" t="s">
        <v>688</v>
      </c>
      <c r="M185" s="18">
        <v>36</v>
      </c>
      <c r="N185" s="20"/>
      <c r="O185" s="21">
        <v>45113</v>
      </c>
      <c r="P185" s="22" t="s">
        <v>689</v>
      </c>
      <c r="Q185" s="21">
        <f t="shared" si="18"/>
        <v>46209</v>
      </c>
      <c r="R185" s="72">
        <f t="shared" si="15"/>
        <v>46164</v>
      </c>
      <c r="S185" s="18" t="str">
        <f t="shared" ca="1" si="16"/>
        <v>VENCIDO</v>
      </c>
      <c r="T185" s="18" t="s">
        <v>34</v>
      </c>
      <c r="U185" s="19"/>
    </row>
    <row r="186" spans="1:21" ht="45" customHeight="1" x14ac:dyDescent="0.25">
      <c r="A186" s="69" t="s">
        <v>690</v>
      </c>
      <c r="B186" s="18" t="s">
        <v>691</v>
      </c>
      <c r="C186" s="19">
        <v>230429101</v>
      </c>
      <c r="D186" s="18" t="s">
        <v>692</v>
      </c>
      <c r="E186" s="19" t="s">
        <v>693</v>
      </c>
      <c r="F186" s="19" t="s">
        <v>694</v>
      </c>
      <c r="G186" s="19" t="s">
        <v>695</v>
      </c>
      <c r="H186" s="19" t="s">
        <v>696</v>
      </c>
      <c r="I186" s="19" t="s">
        <v>697</v>
      </c>
      <c r="J186" s="18"/>
      <c r="K186" s="18" t="s">
        <v>31</v>
      </c>
      <c r="L186" s="19" t="s">
        <v>697</v>
      </c>
      <c r="M186" s="18">
        <v>36</v>
      </c>
      <c r="N186" s="20">
        <v>0</v>
      </c>
      <c r="O186" s="21">
        <v>45142</v>
      </c>
      <c r="P186" s="18" t="s">
        <v>698</v>
      </c>
      <c r="Q186" s="21">
        <f t="shared" si="18"/>
        <v>46238</v>
      </c>
      <c r="R186" s="72">
        <f t="shared" si="15"/>
        <v>46193</v>
      </c>
      <c r="S186" s="18" t="str">
        <f t="shared" ca="1" si="16"/>
        <v>PROGRAMADO</v>
      </c>
      <c r="T186" s="18" t="s">
        <v>34</v>
      </c>
      <c r="U186" s="19"/>
    </row>
    <row r="187" spans="1:21" ht="36.75" customHeight="1" x14ac:dyDescent="0.25">
      <c r="A187" s="69" t="s">
        <v>699</v>
      </c>
      <c r="B187" s="18" t="s">
        <v>700</v>
      </c>
      <c r="C187" s="19" t="s">
        <v>104</v>
      </c>
      <c r="D187" s="18" t="s">
        <v>701</v>
      </c>
      <c r="E187" s="19" t="s">
        <v>702</v>
      </c>
      <c r="F187" s="19" t="s">
        <v>199</v>
      </c>
      <c r="G187" s="78" t="s">
        <v>703</v>
      </c>
      <c r="H187" s="19" t="s">
        <v>704</v>
      </c>
      <c r="I187" s="78" t="s">
        <v>705</v>
      </c>
      <c r="J187" s="18">
        <v>0.01</v>
      </c>
      <c r="K187" s="18" t="s">
        <v>31</v>
      </c>
      <c r="L187" s="19" t="s">
        <v>706</v>
      </c>
      <c r="M187" s="18">
        <v>36</v>
      </c>
      <c r="N187" s="20">
        <v>0</v>
      </c>
      <c r="O187" s="21">
        <v>45693</v>
      </c>
      <c r="P187" s="18" t="s">
        <v>698</v>
      </c>
      <c r="Q187" s="21">
        <f t="shared" si="18"/>
        <v>46788</v>
      </c>
      <c r="R187" s="72">
        <f t="shared" si="15"/>
        <v>46743</v>
      </c>
      <c r="S187" s="18" t="str">
        <f t="shared" ca="1" si="16"/>
        <v>CALIBRADO</v>
      </c>
      <c r="T187" s="18" t="s">
        <v>34</v>
      </c>
      <c r="U187" s="19"/>
    </row>
    <row r="188" spans="1:21" ht="34.5" customHeight="1" x14ac:dyDescent="0.25">
      <c r="A188" s="69" t="s">
        <v>707</v>
      </c>
      <c r="B188" s="76" t="s">
        <v>708</v>
      </c>
      <c r="C188" s="19" t="s">
        <v>104</v>
      </c>
      <c r="D188" s="18" t="s">
        <v>701</v>
      </c>
      <c r="E188" s="19" t="s">
        <v>709</v>
      </c>
      <c r="F188" s="18" t="s">
        <v>61</v>
      </c>
      <c r="G188" s="19" t="s">
        <v>710</v>
      </c>
      <c r="H188" s="18">
        <v>1</v>
      </c>
      <c r="I188" s="19" t="s">
        <v>711</v>
      </c>
      <c r="J188" s="18"/>
      <c r="K188" s="18" t="s">
        <v>31</v>
      </c>
      <c r="L188" s="18" t="s">
        <v>32</v>
      </c>
      <c r="M188" s="18">
        <v>36</v>
      </c>
      <c r="N188" s="20">
        <v>0</v>
      </c>
      <c r="O188" s="21" t="s">
        <v>712</v>
      </c>
      <c r="P188" s="18" t="s">
        <v>698</v>
      </c>
      <c r="Q188" s="21" t="e">
        <f t="shared" si="18"/>
        <v>#VALUE!</v>
      </c>
      <c r="R188" s="72" t="e">
        <f t="shared" si="15"/>
        <v>#VALUE!</v>
      </c>
      <c r="S188" s="79" t="s">
        <v>713</v>
      </c>
      <c r="T188" s="18"/>
      <c r="U188" s="19"/>
    </row>
    <row r="189" spans="1:21" ht="45.75" customHeight="1" x14ac:dyDescent="0.25">
      <c r="A189" s="69" t="s">
        <v>707</v>
      </c>
      <c r="B189" s="76" t="s">
        <v>708</v>
      </c>
      <c r="C189" s="19" t="s">
        <v>104</v>
      </c>
      <c r="D189" s="18" t="s">
        <v>701</v>
      </c>
      <c r="E189" s="19" t="s">
        <v>709</v>
      </c>
      <c r="F189" s="18" t="s">
        <v>714</v>
      </c>
      <c r="G189" s="19" t="s">
        <v>71</v>
      </c>
      <c r="H189" s="19" t="s">
        <v>715</v>
      </c>
      <c r="I189" s="19" t="s">
        <v>716</v>
      </c>
      <c r="J189" s="18"/>
      <c r="K189" s="18" t="s">
        <v>31</v>
      </c>
      <c r="L189" s="18" t="s">
        <v>32</v>
      </c>
      <c r="M189" s="18" t="s">
        <v>712</v>
      </c>
      <c r="N189" s="20">
        <v>0</v>
      </c>
      <c r="O189" s="21" t="s">
        <v>712</v>
      </c>
      <c r="P189" s="18" t="s">
        <v>698</v>
      </c>
      <c r="Q189" s="21" t="e">
        <f t="shared" si="18"/>
        <v>#VALUE!</v>
      </c>
      <c r="R189" s="72" t="e">
        <f t="shared" si="15"/>
        <v>#VALUE!</v>
      </c>
      <c r="S189" s="79" t="s">
        <v>713</v>
      </c>
      <c r="T189" s="18"/>
      <c r="U189" s="19"/>
    </row>
    <row r="190" spans="1:21" ht="30" x14ac:dyDescent="0.25">
      <c r="A190" s="69" t="s">
        <v>717</v>
      </c>
      <c r="B190" s="18" t="s">
        <v>718</v>
      </c>
      <c r="C190" s="19" t="s">
        <v>719</v>
      </c>
      <c r="D190" s="18" t="s">
        <v>720</v>
      </c>
      <c r="E190" s="19" t="s">
        <v>721</v>
      </c>
      <c r="F190" s="18" t="s">
        <v>271</v>
      </c>
      <c r="G190" s="19" t="s">
        <v>722</v>
      </c>
      <c r="H190" s="18">
        <v>0.1</v>
      </c>
      <c r="I190" s="19" t="s">
        <v>723</v>
      </c>
      <c r="J190" s="18" t="s">
        <v>724</v>
      </c>
      <c r="K190" s="18" t="s">
        <v>31</v>
      </c>
      <c r="L190" s="19" t="s">
        <v>725</v>
      </c>
      <c r="M190" s="18">
        <v>12</v>
      </c>
      <c r="N190" s="20">
        <v>0</v>
      </c>
      <c r="O190" s="21">
        <v>46014</v>
      </c>
      <c r="P190" s="18" t="s">
        <v>535</v>
      </c>
      <c r="Q190" s="21">
        <f t="shared" si="18"/>
        <v>46379</v>
      </c>
      <c r="R190" s="21">
        <f t="shared" si="15"/>
        <v>46334</v>
      </c>
      <c r="S190" s="18" t="str">
        <f t="shared" ref="S190:S192" ca="1" si="19">+IF(R190&gt;TODAY(),"CALIBRADO","PROGRAMADO")</f>
        <v>CALIBRADO</v>
      </c>
      <c r="T190" s="18"/>
      <c r="U190" s="19"/>
    </row>
    <row r="191" spans="1:21" ht="30" x14ac:dyDescent="0.25">
      <c r="A191" s="69" t="s">
        <v>717</v>
      </c>
      <c r="B191" s="18" t="s">
        <v>718</v>
      </c>
      <c r="C191" s="19" t="s">
        <v>719</v>
      </c>
      <c r="D191" s="18" t="s">
        <v>720</v>
      </c>
      <c r="E191" s="19" t="s">
        <v>721</v>
      </c>
      <c r="F191" s="19" t="s">
        <v>726</v>
      </c>
      <c r="G191" s="19" t="s">
        <v>727</v>
      </c>
      <c r="H191" s="19" t="s">
        <v>728</v>
      </c>
      <c r="I191" s="19" t="s">
        <v>729</v>
      </c>
      <c r="J191" s="19" t="s">
        <v>728</v>
      </c>
      <c r="K191" s="18" t="s">
        <v>31</v>
      </c>
      <c r="L191" s="19" t="s">
        <v>730</v>
      </c>
      <c r="M191" s="18">
        <v>12</v>
      </c>
      <c r="N191" s="20">
        <v>0</v>
      </c>
      <c r="O191" s="21">
        <v>46013</v>
      </c>
      <c r="P191" s="18" t="s">
        <v>535</v>
      </c>
      <c r="Q191" s="21">
        <f t="shared" si="18"/>
        <v>46378</v>
      </c>
      <c r="R191" s="21">
        <f t="shared" si="15"/>
        <v>46333</v>
      </c>
      <c r="S191" s="18" t="str">
        <f t="shared" ca="1" si="19"/>
        <v>CALIBRADO</v>
      </c>
      <c r="T191" s="18"/>
      <c r="U191" s="19"/>
    </row>
    <row r="192" spans="1:21" ht="36" customHeight="1" x14ac:dyDescent="0.25">
      <c r="A192" s="69" t="s">
        <v>731</v>
      </c>
      <c r="B192" s="18" t="s">
        <v>732</v>
      </c>
      <c r="C192" s="19" t="s">
        <v>733</v>
      </c>
      <c r="D192" s="18" t="s">
        <v>734</v>
      </c>
      <c r="E192" s="19" t="s">
        <v>735</v>
      </c>
      <c r="F192" s="19" t="s">
        <v>736</v>
      </c>
      <c r="G192" s="19" t="s">
        <v>737</v>
      </c>
      <c r="H192" s="18"/>
      <c r="I192" s="19" t="s">
        <v>738</v>
      </c>
      <c r="J192" s="18"/>
      <c r="K192" s="18" t="s">
        <v>31</v>
      </c>
      <c r="L192" s="19" t="s">
        <v>739</v>
      </c>
      <c r="M192" s="18">
        <v>12</v>
      </c>
      <c r="N192" s="20">
        <v>0</v>
      </c>
      <c r="O192" s="21">
        <v>46009</v>
      </c>
      <c r="P192" s="18" t="s">
        <v>740</v>
      </c>
      <c r="Q192" s="21">
        <f t="shared" si="18"/>
        <v>46374</v>
      </c>
      <c r="R192" s="21">
        <f t="shared" si="15"/>
        <v>46329</v>
      </c>
      <c r="S192" s="18" t="str">
        <f t="shared" ca="1" si="19"/>
        <v>CALIBRADO</v>
      </c>
      <c r="T192" s="18"/>
      <c r="U192" s="19"/>
    </row>
    <row r="193" spans="1:24" ht="30" x14ac:dyDescent="0.25">
      <c r="A193" s="69" t="s">
        <v>717</v>
      </c>
      <c r="B193" s="18" t="s">
        <v>741</v>
      </c>
      <c r="C193" s="19" t="s">
        <v>742</v>
      </c>
      <c r="D193" s="18" t="s">
        <v>720</v>
      </c>
      <c r="E193" s="19" t="s">
        <v>721</v>
      </c>
      <c r="F193" s="18" t="s">
        <v>271</v>
      </c>
      <c r="G193" s="19" t="s">
        <v>722</v>
      </c>
      <c r="H193" s="18">
        <v>0.1</v>
      </c>
      <c r="I193" s="19" t="s">
        <v>723</v>
      </c>
      <c r="J193" s="18" t="s">
        <v>724</v>
      </c>
      <c r="K193" s="18" t="s">
        <v>31</v>
      </c>
      <c r="L193" s="19" t="s">
        <v>725</v>
      </c>
      <c r="M193" s="18">
        <v>12</v>
      </c>
      <c r="N193" s="20">
        <v>0</v>
      </c>
      <c r="O193" s="21">
        <v>46014</v>
      </c>
      <c r="P193" s="18" t="s">
        <v>535</v>
      </c>
      <c r="Q193" s="21">
        <f t="shared" si="18"/>
        <v>46379</v>
      </c>
      <c r="R193" s="21">
        <f t="shared" ref="R193:R194" si="20">Q193-45</f>
        <v>46334</v>
      </c>
      <c r="S193" s="18" t="str">
        <f t="shared" ref="S193:S194" ca="1" si="21">+IF(R193&gt;TODAY(),"CALIBRADO","PROGRAMADO")</f>
        <v>CALIBRADO</v>
      </c>
      <c r="T193" s="18"/>
      <c r="U193" s="19"/>
    </row>
    <row r="194" spans="1:24" ht="30" x14ac:dyDescent="0.25">
      <c r="A194" s="69" t="s">
        <v>717</v>
      </c>
      <c r="B194" s="18" t="s">
        <v>741</v>
      </c>
      <c r="C194" s="19" t="s">
        <v>742</v>
      </c>
      <c r="D194" s="18" t="s">
        <v>720</v>
      </c>
      <c r="E194" s="19" t="s">
        <v>721</v>
      </c>
      <c r="F194" s="19" t="s">
        <v>726</v>
      </c>
      <c r="G194" s="19" t="s">
        <v>727</v>
      </c>
      <c r="H194" s="19" t="s">
        <v>728</v>
      </c>
      <c r="I194" s="19" t="s">
        <v>729</v>
      </c>
      <c r="J194" s="19" t="s">
        <v>728</v>
      </c>
      <c r="K194" s="18" t="s">
        <v>31</v>
      </c>
      <c r="L194" s="19" t="s">
        <v>730</v>
      </c>
      <c r="M194" s="18">
        <v>12</v>
      </c>
      <c r="N194" s="20">
        <v>0</v>
      </c>
      <c r="O194" s="21">
        <v>46013</v>
      </c>
      <c r="P194" s="18" t="s">
        <v>535</v>
      </c>
      <c r="Q194" s="21">
        <f t="shared" si="18"/>
        <v>46378</v>
      </c>
      <c r="R194" s="21">
        <f t="shared" si="20"/>
        <v>46333</v>
      </c>
      <c r="S194" s="18" t="str">
        <f t="shared" ca="1" si="21"/>
        <v>CALIBRADO</v>
      </c>
      <c r="T194" s="18"/>
      <c r="U194" s="19"/>
    </row>
    <row r="195" spans="1:24" ht="30" x14ac:dyDescent="0.25">
      <c r="A195" s="69" t="s">
        <v>743</v>
      </c>
      <c r="B195" s="18" t="s">
        <v>744</v>
      </c>
      <c r="C195" s="19">
        <v>76314038</v>
      </c>
      <c r="D195" s="18" t="s">
        <v>26</v>
      </c>
      <c r="E195" s="19" t="s">
        <v>745</v>
      </c>
      <c r="F195" s="18" t="s">
        <v>28</v>
      </c>
      <c r="G195" s="19" t="s">
        <v>53</v>
      </c>
      <c r="H195" s="19" t="s">
        <v>746</v>
      </c>
      <c r="I195" s="19" t="s">
        <v>747</v>
      </c>
      <c r="J195" s="18" t="s">
        <v>748</v>
      </c>
      <c r="K195" s="18" t="s">
        <v>31</v>
      </c>
      <c r="L195" s="18" t="s">
        <v>32</v>
      </c>
      <c r="M195" s="18">
        <v>12</v>
      </c>
      <c r="N195" s="20">
        <v>0</v>
      </c>
      <c r="O195" s="21">
        <v>46079</v>
      </c>
      <c r="P195" s="19" t="s">
        <v>749</v>
      </c>
      <c r="Q195" s="21">
        <f t="shared" si="18"/>
        <v>46444</v>
      </c>
      <c r="R195" s="21">
        <f t="shared" si="15"/>
        <v>46399</v>
      </c>
      <c r="S195" s="18" t="str">
        <f t="shared" ref="S195:S199" ca="1" si="22">+IF(R195&gt;TODAY(),"CALIBRADO","PROGRAMADO")</f>
        <v>CALIBRADO</v>
      </c>
      <c r="T195" s="18"/>
      <c r="U195" s="19"/>
    </row>
    <row r="196" spans="1:24" ht="30" customHeight="1" x14ac:dyDescent="0.25">
      <c r="A196" s="69" t="s">
        <v>35</v>
      </c>
      <c r="B196" s="18" t="s">
        <v>750</v>
      </c>
      <c r="C196" s="19" t="s">
        <v>751</v>
      </c>
      <c r="D196" s="18" t="s">
        <v>26</v>
      </c>
      <c r="E196" s="19" t="s">
        <v>41</v>
      </c>
      <c r="F196" s="18" t="s">
        <v>28</v>
      </c>
      <c r="G196" s="19" t="s">
        <v>53</v>
      </c>
      <c r="H196" s="18" t="s">
        <v>752</v>
      </c>
      <c r="I196" s="19" t="s">
        <v>753</v>
      </c>
      <c r="J196" s="18" t="s">
        <v>754</v>
      </c>
      <c r="K196" s="18" t="s">
        <v>31</v>
      </c>
      <c r="L196" s="18" t="s">
        <v>32</v>
      </c>
      <c r="M196" s="18">
        <v>12</v>
      </c>
      <c r="N196" s="20">
        <v>0</v>
      </c>
      <c r="O196" s="21">
        <v>46083</v>
      </c>
      <c r="P196" s="19" t="s">
        <v>749</v>
      </c>
      <c r="Q196" s="21">
        <f t="shared" si="18"/>
        <v>46448</v>
      </c>
      <c r="R196" s="21">
        <f t="shared" si="15"/>
        <v>46403</v>
      </c>
      <c r="S196" s="18" t="str">
        <f t="shared" ca="1" si="22"/>
        <v>CALIBRADO</v>
      </c>
      <c r="T196" s="18"/>
      <c r="U196" s="19"/>
    </row>
    <row r="197" spans="1:24" ht="42.75" customHeight="1" x14ac:dyDescent="0.25">
      <c r="A197" s="69" t="s">
        <v>755</v>
      </c>
      <c r="B197" s="18" t="s">
        <v>756</v>
      </c>
      <c r="C197" s="19" t="s">
        <v>757</v>
      </c>
      <c r="D197" s="18" t="s">
        <v>758</v>
      </c>
      <c r="E197" s="19" t="s">
        <v>759</v>
      </c>
      <c r="F197" s="18" t="s">
        <v>66</v>
      </c>
      <c r="G197" s="19" t="s">
        <v>67</v>
      </c>
      <c r="H197" s="18">
        <v>1E-3</v>
      </c>
      <c r="I197" s="19" t="s">
        <v>760</v>
      </c>
      <c r="J197" s="19" t="s">
        <v>761</v>
      </c>
      <c r="K197" s="18" t="s">
        <v>31</v>
      </c>
      <c r="L197" s="19" t="s">
        <v>760</v>
      </c>
      <c r="M197" s="18">
        <v>12</v>
      </c>
      <c r="N197" s="20">
        <v>0</v>
      </c>
      <c r="O197" s="21"/>
      <c r="P197" s="23"/>
      <c r="Q197" s="21">
        <f t="shared" si="18"/>
        <v>366</v>
      </c>
      <c r="R197" s="21">
        <f t="shared" si="15"/>
        <v>321</v>
      </c>
      <c r="S197" s="79" t="s">
        <v>713</v>
      </c>
      <c r="T197" s="18"/>
      <c r="U197" s="19"/>
    </row>
    <row r="198" spans="1:24" ht="45" customHeight="1" x14ac:dyDescent="0.25">
      <c r="A198" s="69" t="s">
        <v>762</v>
      </c>
      <c r="B198" s="18" t="s">
        <v>763</v>
      </c>
      <c r="C198" s="19" t="s">
        <v>764</v>
      </c>
      <c r="D198" s="18" t="s">
        <v>765</v>
      </c>
      <c r="E198" s="19" t="s">
        <v>766</v>
      </c>
      <c r="F198" s="18" t="s">
        <v>271</v>
      </c>
      <c r="G198" s="19" t="s">
        <v>272</v>
      </c>
      <c r="H198" s="18">
        <v>1</v>
      </c>
      <c r="I198" s="19" t="s">
        <v>767</v>
      </c>
      <c r="J198" s="19" t="s">
        <v>768</v>
      </c>
      <c r="K198" s="18" t="s">
        <v>31</v>
      </c>
      <c r="L198" s="19" t="s">
        <v>32</v>
      </c>
      <c r="M198" s="18">
        <v>12</v>
      </c>
      <c r="N198" s="20">
        <v>0</v>
      </c>
      <c r="O198" s="21">
        <v>46106</v>
      </c>
      <c r="P198" s="18" t="s">
        <v>769</v>
      </c>
      <c r="Q198" s="21">
        <f t="shared" si="18"/>
        <v>46471</v>
      </c>
      <c r="R198" s="21">
        <f t="shared" si="15"/>
        <v>46426</v>
      </c>
      <c r="S198" s="18" t="str">
        <f t="shared" ca="1" si="22"/>
        <v>CALIBRADO</v>
      </c>
      <c r="T198" s="18"/>
      <c r="U198" s="19"/>
    </row>
    <row r="199" spans="1:24" ht="52.5" customHeight="1" x14ac:dyDescent="0.25">
      <c r="A199" s="69" t="s">
        <v>770</v>
      </c>
      <c r="B199" s="18" t="s">
        <v>771</v>
      </c>
      <c r="C199" s="19"/>
      <c r="D199" s="18" t="s">
        <v>772</v>
      </c>
      <c r="E199" s="19" t="s">
        <v>773</v>
      </c>
      <c r="F199" s="18" t="s">
        <v>774</v>
      </c>
      <c r="G199" s="19" t="s">
        <v>135</v>
      </c>
      <c r="H199" s="18"/>
      <c r="I199" s="19"/>
      <c r="J199" s="18"/>
      <c r="K199" s="18" t="s">
        <v>31</v>
      </c>
      <c r="L199" s="19" t="s">
        <v>775</v>
      </c>
      <c r="M199" s="18">
        <v>12</v>
      </c>
      <c r="N199" s="20">
        <v>0</v>
      </c>
      <c r="O199" s="21"/>
      <c r="P199" s="23"/>
      <c r="Q199" s="21">
        <f t="shared" si="18"/>
        <v>366</v>
      </c>
      <c r="R199" s="21">
        <f t="shared" si="15"/>
        <v>321</v>
      </c>
      <c r="S199" s="18" t="str">
        <f t="shared" ca="1" si="22"/>
        <v>PROGRAMADO</v>
      </c>
      <c r="T199" s="18"/>
      <c r="U199" s="19"/>
    </row>
    <row r="200" spans="1:24" ht="45.75" customHeight="1" x14ac:dyDescent="0.25">
      <c r="A200" s="69" t="s">
        <v>776</v>
      </c>
      <c r="B200" s="18" t="s">
        <v>777</v>
      </c>
      <c r="C200" s="19">
        <v>260416</v>
      </c>
      <c r="D200" s="18" t="s">
        <v>778</v>
      </c>
      <c r="E200" s="19" t="s">
        <v>779</v>
      </c>
      <c r="F200" s="18" t="s">
        <v>28</v>
      </c>
      <c r="G200" s="19" t="s">
        <v>53</v>
      </c>
      <c r="H200" s="18">
        <v>1</v>
      </c>
      <c r="I200" s="19" t="s">
        <v>780</v>
      </c>
      <c r="J200" s="18">
        <v>1</v>
      </c>
      <c r="K200" s="18" t="s">
        <v>31</v>
      </c>
      <c r="L200" s="18" t="s">
        <v>32</v>
      </c>
      <c r="M200" s="18">
        <v>12</v>
      </c>
      <c r="N200" s="20">
        <v>0</v>
      </c>
      <c r="O200" s="21">
        <v>46128</v>
      </c>
      <c r="P200" s="18" t="s">
        <v>781</v>
      </c>
      <c r="Q200" s="21">
        <f t="shared" si="18"/>
        <v>46493</v>
      </c>
      <c r="R200" s="21">
        <f t="shared" ref="R200" si="23">Q200-45</f>
        <v>46448</v>
      </c>
      <c r="S200" s="18" t="str">
        <f t="shared" ref="S200" ca="1" si="24">+IF(R200&gt;TODAY(),"CALIBRADO","PROGRAMADO")</f>
        <v>CALIBRADO</v>
      </c>
      <c r="T200" s="18"/>
      <c r="U200" s="19"/>
    </row>
    <row r="201" spans="1:24" ht="42.75" customHeight="1" x14ac:dyDescent="0.25">
      <c r="A201" s="27"/>
      <c r="B201" s="18"/>
      <c r="C201" s="19"/>
      <c r="D201" s="18"/>
      <c r="E201" s="19"/>
      <c r="F201" s="18"/>
      <c r="G201" s="19"/>
      <c r="H201" s="18"/>
      <c r="I201" s="19"/>
      <c r="J201" s="18"/>
      <c r="K201" s="18"/>
      <c r="L201" s="18"/>
      <c r="M201" s="18"/>
      <c r="N201" s="20">
        <v>0</v>
      </c>
      <c r="O201" s="21"/>
      <c r="P201" s="23"/>
      <c r="Q201" s="21"/>
      <c r="R201" s="21"/>
      <c r="S201" s="18"/>
      <c r="T201" s="18"/>
      <c r="U201" s="19"/>
    </row>
    <row r="202" spans="1:24" ht="52.5" customHeight="1" x14ac:dyDescent="0.25">
      <c r="A202" s="27"/>
      <c r="B202" s="18"/>
      <c r="C202" s="19"/>
      <c r="D202" s="18"/>
      <c r="E202" s="19"/>
      <c r="F202" s="18"/>
      <c r="G202" s="19"/>
      <c r="H202" s="18"/>
      <c r="I202" s="19"/>
      <c r="J202" s="18"/>
      <c r="K202" s="18"/>
      <c r="L202" s="18"/>
      <c r="M202" s="18"/>
      <c r="N202" s="20">
        <v>0</v>
      </c>
      <c r="O202" s="21"/>
      <c r="P202" s="23"/>
      <c r="Q202" s="21"/>
      <c r="R202" s="21"/>
      <c r="S202" s="18"/>
      <c r="T202" s="18"/>
      <c r="U202" s="19"/>
    </row>
    <row r="203" spans="1:24" ht="57" customHeight="1" x14ac:dyDescent="0.25">
      <c r="A203" s="27"/>
      <c r="B203" s="18"/>
      <c r="C203" s="19"/>
      <c r="D203" s="18"/>
      <c r="E203" s="19"/>
      <c r="F203" s="18"/>
      <c r="G203" s="19"/>
      <c r="H203" s="18"/>
      <c r="I203" s="19"/>
      <c r="J203" s="18"/>
      <c r="K203" s="18"/>
      <c r="L203" s="18"/>
      <c r="M203" s="18"/>
      <c r="N203" s="20">
        <v>0</v>
      </c>
      <c r="O203" s="21"/>
      <c r="P203" s="23"/>
      <c r="Q203" s="21"/>
      <c r="R203" s="21"/>
      <c r="S203" s="18"/>
      <c r="T203" s="18"/>
      <c r="U203" s="19"/>
      <c r="X203" t="s">
        <v>782</v>
      </c>
    </row>
    <row r="204" spans="1:24" ht="60" customHeight="1" x14ac:dyDescent="0.25">
      <c r="A204" s="27"/>
      <c r="B204" s="18"/>
      <c r="C204" s="19"/>
      <c r="D204" s="18"/>
      <c r="E204" s="19"/>
      <c r="F204" s="18"/>
      <c r="G204" s="19"/>
      <c r="H204" s="18"/>
      <c r="I204" s="19"/>
      <c r="J204" s="18"/>
      <c r="K204" s="18"/>
      <c r="L204" s="18"/>
      <c r="M204" s="18"/>
      <c r="N204" s="20">
        <v>0</v>
      </c>
      <c r="O204" s="21"/>
      <c r="P204" s="23"/>
      <c r="Q204" s="21"/>
      <c r="R204" s="21"/>
      <c r="S204" s="18"/>
      <c r="T204" s="18"/>
      <c r="U204" s="19"/>
    </row>
    <row r="205" spans="1:24" ht="39.75" customHeight="1" x14ac:dyDescent="0.25">
      <c r="A205" s="27"/>
      <c r="B205" s="18"/>
      <c r="C205" s="19"/>
      <c r="D205" s="18"/>
      <c r="E205" s="19"/>
      <c r="F205" s="18"/>
      <c r="G205" s="19"/>
      <c r="H205" s="18"/>
      <c r="I205" s="19"/>
      <c r="J205" s="18"/>
      <c r="K205" s="18"/>
      <c r="L205" s="18"/>
      <c r="M205" s="18"/>
      <c r="N205" s="20">
        <v>0</v>
      </c>
      <c r="O205" s="21"/>
      <c r="P205" s="23"/>
      <c r="Q205" s="21"/>
      <c r="R205" s="21"/>
      <c r="S205" s="18"/>
      <c r="T205" s="18"/>
      <c r="U205" s="19"/>
    </row>
    <row r="206" spans="1:24" ht="45" customHeight="1" x14ac:dyDescent="0.25">
      <c r="A206" s="27"/>
      <c r="B206" s="18"/>
      <c r="C206" s="19"/>
      <c r="D206" s="18"/>
      <c r="E206" s="19"/>
      <c r="F206" s="18"/>
      <c r="G206" s="19"/>
      <c r="H206" s="18"/>
      <c r="I206" s="19"/>
      <c r="J206" s="18"/>
      <c r="K206" s="18"/>
      <c r="L206" s="18"/>
      <c r="M206" s="18"/>
      <c r="N206" s="20">
        <v>0</v>
      </c>
      <c r="O206" s="21"/>
      <c r="P206" s="23"/>
      <c r="Q206" s="21"/>
      <c r="R206" s="21"/>
      <c r="S206" s="18"/>
      <c r="T206" s="18"/>
      <c r="U206" s="19"/>
    </row>
    <row r="207" spans="1:24" ht="42" customHeight="1" x14ac:dyDescent="0.25">
      <c r="A207" s="27"/>
      <c r="B207" s="18"/>
      <c r="C207" s="19"/>
      <c r="D207" s="18"/>
      <c r="E207" s="19"/>
      <c r="F207" s="18"/>
      <c r="G207" s="19"/>
      <c r="H207" s="18"/>
      <c r="I207" s="19"/>
      <c r="J207" s="18"/>
      <c r="K207" s="18"/>
      <c r="L207" s="18"/>
      <c r="M207" s="18"/>
      <c r="N207" s="20">
        <v>0</v>
      </c>
      <c r="O207" s="21"/>
      <c r="P207" s="23"/>
      <c r="Q207" s="21"/>
      <c r="R207" s="21"/>
      <c r="S207" s="18"/>
      <c r="T207" s="18"/>
      <c r="U207" s="19"/>
    </row>
    <row r="208" spans="1:24" ht="45.75" customHeight="1" x14ac:dyDescent="0.25">
      <c r="A208" s="27"/>
      <c r="B208" s="18"/>
      <c r="C208" s="19"/>
      <c r="D208" s="18"/>
      <c r="E208" s="19"/>
      <c r="F208" s="18"/>
      <c r="G208" s="19"/>
      <c r="H208" s="18"/>
      <c r="I208" s="19"/>
      <c r="J208" s="18"/>
      <c r="K208" s="18"/>
      <c r="L208" s="18"/>
      <c r="M208" s="18"/>
      <c r="N208" s="20">
        <v>0</v>
      </c>
      <c r="O208" s="21"/>
      <c r="P208" s="23"/>
      <c r="Q208" s="21"/>
      <c r="R208" s="21"/>
      <c r="S208" s="18"/>
      <c r="T208" s="18"/>
      <c r="U208" s="19"/>
    </row>
    <row r="209" spans="1:21" ht="34.5" customHeight="1" x14ac:dyDescent="0.25">
      <c r="A209" s="27"/>
      <c r="B209" s="18"/>
      <c r="C209" s="19"/>
      <c r="D209" s="18"/>
      <c r="E209" s="19"/>
      <c r="F209" s="18"/>
      <c r="G209" s="19"/>
      <c r="H209" s="18"/>
      <c r="I209" s="19"/>
      <c r="J209" s="18"/>
      <c r="K209" s="18"/>
      <c r="L209" s="18"/>
      <c r="M209" s="18"/>
      <c r="N209" s="20">
        <v>0</v>
      </c>
      <c r="O209" s="21"/>
      <c r="P209" s="23"/>
      <c r="Q209" s="21"/>
      <c r="R209" s="21"/>
      <c r="S209" s="18"/>
      <c r="T209" s="18"/>
      <c r="U209" s="19"/>
    </row>
    <row r="210" spans="1:21" ht="39.75" customHeight="1" x14ac:dyDescent="0.25">
      <c r="A210" s="27"/>
      <c r="B210" s="18"/>
      <c r="C210" s="19"/>
      <c r="D210" s="18"/>
      <c r="E210" s="19"/>
      <c r="F210" s="18"/>
      <c r="G210" s="19"/>
      <c r="H210" s="18"/>
      <c r="I210" s="19"/>
      <c r="J210" s="18"/>
      <c r="K210" s="18"/>
      <c r="L210" s="18"/>
      <c r="M210" s="18"/>
      <c r="N210" s="20">
        <v>0</v>
      </c>
      <c r="O210" s="21"/>
      <c r="P210" s="23"/>
      <c r="Q210" s="21"/>
      <c r="R210" s="21"/>
      <c r="S210" s="18"/>
      <c r="T210" s="18"/>
      <c r="U210" s="19"/>
    </row>
    <row r="211" spans="1:21" ht="48" customHeight="1" x14ac:dyDescent="0.25">
      <c r="A211" s="27"/>
      <c r="B211" s="18"/>
      <c r="C211" s="19"/>
      <c r="D211" s="18"/>
      <c r="E211" s="19"/>
      <c r="F211" s="18"/>
      <c r="G211" s="19"/>
      <c r="H211" s="18"/>
      <c r="I211" s="19"/>
      <c r="J211" s="18"/>
      <c r="K211" s="18"/>
      <c r="L211" s="18"/>
      <c r="M211" s="18"/>
      <c r="N211" s="20">
        <v>0</v>
      </c>
      <c r="O211" s="21"/>
      <c r="P211" s="23"/>
      <c r="Q211" s="21"/>
      <c r="R211" s="21"/>
      <c r="S211" s="18"/>
      <c r="T211" s="18"/>
      <c r="U211" s="19"/>
    </row>
    <row r="212" spans="1:21" ht="64.5" customHeight="1" x14ac:dyDescent="0.25">
      <c r="A212" s="27"/>
      <c r="B212" s="18"/>
      <c r="C212" s="19"/>
      <c r="D212" s="18"/>
      <c r="E212" s="19"/>
      <c r="F212" s="18"/>
      <c r="G212" s="19"/>
      <c r="H212" s="18"/>
      <c r="I212" s="19"/>
      <c r="J212" s="18"/>
      <c r="K212" s="18"/>
      <c r="L212" s="18"/>
      <c r="M212" s="18"/>
      <c r="N212" s="20">
        <v>0</v>
      </c>
      <c r="O212" s="21"/>
      <c r="P212" s="23"/>
      <c r="Q212" s="21"/>
      <c r="R212" s="21"/>
      <c r="S212" s="18"/>
      <c r="T212" s="18"/>
      <c r="U212" s="19"/>
    </row>
    <row r="213" spans="1:21" ht="52.5" customHeight="1" x14ac:dyDescent="0.25">
      <c r="A213" s="27"/>
      <c r="B213" s="18"/>
      <c r="C213" s="19"/>
      <c r="D213" s="18"/>
      <c r="E213" s="19"/>
      <c r="F213" s="18"/>
      <c r="G213" s="19"/>
      <c r="H213" s="18"/>
      <c r="I213" s="19"/>
      <c r="J213" s="18"/>
      <c r="K213" s="18"/>
      <c r="L213" s="18"/>
      <c r="M213" s="18"/>
      <c r="N213" s="20">
        <v>0</v>
      </c>
      <c r="O213" s="21"/>
      <c r="P213" s="23"/>
      <c r="Q213" s="21"/>
      <c r="R213" s="21"/>
      <c r="S213" s="18"/>
      <c r="T213" s="18"/>
      <c r="U213" s="19"/>
    </row>
    <row r="214" spans="1:21" ht="45.75" customHeight="1" x14ac:dyDescent="0.25">
      <c r="A214" s="27"/>
      <c r="B214" s="18"/>
      <c r="C214" s="19"/>
      <c r="D214" s="18"/>
      <c r="E214" s="19"/>
      <c r="F214" s="18"/>
      <c r="G214" s="19"/>
      <c r="H214" s="18"/>
      <c r="I214" s="19"/>
      <c r="J214" s="18"/>
      <c r="K214" s="18"/>
      <c r="L214" s="18"/>
      <c r="M214" s="18"/>
      <c r="N214" s="20">
        <v>0</v>
      </c>
      <c r="O214" s="21"/>
      <c r="P214" s="23"/>
      <c r="Q214" s="21"/>
      <c r="R214" s="21"/>
      <c r="S214" s="18"/>
      <c r="T214" s="18"/>
      <c r="U214" s="19"/>
    </row>
    <row r="215" spans="1:21" ht="51.75" customHeight="1" x14ac:dyDescent="0.25">
      <c r="A215" s="27"/>
      <c r="B215" s="18"/>
      <c r="C215" s="19"/>
      <c r="D215" s="18"/>
      <c r="E215" s="19"/>
      <c r="F215" s="18"/>
      <c r="G215" s="19"/>
      <c r="H215" s="18"/>
      <c r="I215" s="19"/>
      <c r="J215" s="18"/>
      <c r="K215" s="18"/>
      <c r="L215" s="18"/>
      <c r="M215" s="18"/>
      <c r="N215" s="20">
        <v>0</v>
      </c>
      <c r="O215" s="21"/>
      <c r="P215" s="23"/>
      <c r="Q215" s="21"/>
      <c r="R215" s="21"/>
      <c r="S215" s="18"/>
      <c r="T215" s="18"/>
      <c r="U215" s="19"/>
    </row>
    <row r="216" spans="1:21" ht="53.25" customHeight="1" x14ac:dyDescent="0.25">
      <c r="A216" s="28" t="s">
        <v>783</v>
      </c>
    </row>
    <row r="217" spans="1:21" x14ac:dyDescent="0.25">
      <c r="R217" s="77" t="s">
        <v>784</v>
      </c>
    </row>
    <row r="218" spans="1:21" ht="29.25" customHeight="1" x14ac:dyDescent="0.25">
      <c r="A218" s="29" t="s">
        <v>785</v>
      </c>
      <c r="B218" s="30"/>
      <c r="C218" s="31" t="s">
        <v>786</v>
      </c>
      <c r="D218" s="31"/>
      <c r="E218" s="30"/>
      <c r="F218" s="31"/>
      <c r="G218" s="31"/>
      <c r="H218" s="31"/>
      <c r="R218" s="77" t="s">
        <v>784</v>
      </c>
    </row>
    <row r="219" spans="1:21" x14ac:dyDescent="0.25">
      <c r="A219" s="6"/>
      <c r="B219" s="7"/>
      <c r="C219" s="13"/>
      <c r="D219" s="13"/>
      <c r="E219" s="7"/>
      <c r="F219" s="13"/>
      <c r="G219" s="13"/>
      <c r="H219" s="13"/>
      <c r="R219" s="77" t="s">
        <v>784</v>
      </c>
    </row>
    <row r="220" spans="1:21" x14ac:dyDescent="0.25">
      <c r="A220" s="51" t="s">
        <v>787</v>
      </c>
      <c r="B220" s="32"/>
      <c r="C220" s="82" t="s">
        <v>788</v>
      </c>
      <c r="D220" s="82"/>
      <c r="E220" s="2"/>
      <c r="F220" s="82" t="s">
        <v>789</v>
      </c>
      <c r="G220" s="82"/>
      <c r="H220" s="82"/>
      <c r="R220" s="77" t="s">
        <v>784</v>
      </c>
    </row>
    <row r="221" spans="1:21" x14ac:dyDescent="0.25">
      <c r="A221" s="52" t="s">
        <v>790</v>
      </c>
      <c r="B221" s="32"/>
      <c r="C221" s="83" t="s">
        <v>791</v>
      </c>
      <c r="D221" s="83"/>
      <c r="E221" s="2"/>
      <c r="F221" s="83" t="s">
        <v>792</v>
      </c>
      <c r="G221" s="83"/>
      <c r="H221" s="83"/>
      <c r="R221" s="77" t="s">
        <v>784</v>
      </c>
    </row>
    <row r="224" spans="1:21" x14ac:dyDescent="0.25">
      <c r="Q224" s="21"/>
      <c r="U224" s="19"/>
    </row>
  </sheetData>
  <autoFilter ref="A6:U216" xr:uid="{00000000-0009-0000-0000-000000000000}"/>
  <mergeCells count="6">
    <mergeCell ref="C220:D220"/>
    <mergeCell ref="F220:H220"/>
    <mergeCell ref="C221:D221"/>
    <mergeCell ref="F221:H221"/>
    <mergeCell ref="A1:A5"/>
    <mergeCell ref="B1:U3"/>
  </mergeCells>
  <conditionalFormatting sqref="R7:R1048576">
    <cfRule type="cellIs" dxfId="23" priority="5" operator="lessThan">
      <formula>+TODAY()</formula>
    </cfRule>
  </conditionalFormatting>
  <conditionalFormatting sqref="S7:S86 S89 S92:S110 S112:S113 S115:S187">
    <cfRule type="containsText" dxfId="22" priority="6" operator="containsText" text="PROGRAMADO">
      <formula>NOT(ISERROR(SEARCH("PROGRAMADO",S7)))</formula>
    </cfRule>
  </conditionalFormatting>
  <conditionalFormatting sqref="S7:S110 S112:S113 S115:S192">
    <cfRule type="containsText" dxfId="21" priority="7" operator="containsText" text="CALIBRADO">
      <formula>NOT(ISERROR(SEARCH("CALIBRADO",S7)))</formula>
    </cfRule>
    <cfRule type="containsText" dxfId="20" priority="8" operator="containsText" text="VENCIDO">
      <formula>NOT(ISERROR(SEARCH("VENCIDO",S7)))</formula>
    </cfRule>
  </conditionalFormatting>
  <conditionalFormatting sqref="S193:S215">
    <cfRule type="containsText" dxfId="19" priority="1" operator="containsText" text="CALIBRADO">
      <formula>NOT(ISERROR(SEARCH("CALIBRADO",S193)))</formula>
    </cfRule>
    <cfRule type="containsText" dxfId="18" priority="2" operator="containsText" text="VENCIDO">
      <formula>NOT(ISERROR(SEARCH("VENCIDO",S193)))</formula>
    </cfRule>
  </conditionalFormatting>
  <printOptions horizontalCentered="1"/>
  <pageMargins left="0.25" right="0.25" top="0.75" bottom="0.75" header="0.3" footer="0.3"/>
  <pageSetup scale="30" fitToHeight="0" orientation="landscape" r:id="rId1"/>
  <headerFooter>
    <oddFooter>&amp;CPágina &amp;P de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99"/>
  <sheetViews>
    <sheetView showGridLines="0" view="pageBreakPreview" topLeftCell="A6" zoomScale="70" zoomScaleNormal="100" zoomScaleSheetLayoutView="70" workbookViewId="0">
      <pane xSplit="1" ySplit="1" topLeftCell="B7" activePane="bottomRight" state="frozen"/>
      <selection pane="topRight" activeCell="B6" sqref="B6"/>
      <selection pane="bottomLeft" activeCell="A7" sqref="A7"/>
      <selection pane="bottomRight" activeCell="B10" sqref="B10"/>
    </sheetView>
  </sheetViews>
  <sheetFormatPr baseColWidth="10" defaultColWidth="11.42578125" defaultRowHeight="15" x14ac:dyDescent="0.25"/>
  <cols>
    <col min="1" max="1" width="36.7109375" style="1" customWidth="1"/>
    <col min="2" max="2" width="21" style="2" customWidth="1"/>
    <col min="3" max="3" width="18.42578125" customWidth="1"/>
    <col min="4" max="4" width="18.42578125" style="4" customWidth="1"/>
    <col min="5" max="5" width="14" style="16" customWidth="1"/>
    <col min="6" max="6" width="17.5703125" customWidth="1"/>
    <col min="7" max="7" width="14.140625" customWidth="1"/>
    <col min="8" max="8" width="16.42578125" customWidth="1"/>
    <col min="9" max="9" width="35" customWidth="1"/>
    <col min="10" max="10" width="17" customWidth="1"/>
    <col min="11" max="11" width="23.42578125" customWidth="1"/>
    <col min="12" max="13" width="34.5703125" customWidth="1"/>
    <col min="14" max="14" width="38.140625" style="73" customWidth="1"/>
    <col min="15" max="17" width="11.42578125" customWidth="1"/>
  </cols>
  <sheetData>
    <row r="1" spans="1:14" ht="15" customHeight="1" x14ac:dyDescent="0.25">
      <c r="A1" s="84" t="s">
        <v>0</v>
      </c>
      <c r="B1" s="86" t="s">
        <v>1</v>
      </c>
      <c r="C1" s="86"/>
      <c r="D1" s="86"/>
      <c r="E1" s="86"/>
      <c r="F1" s="87"/>
      <c r="G1" s="87"/>
      <c r="H1" s="87"/>
      <c r="I1" s="87"/>
      <c r="J1" s="87"/>
      <c r="K1" s="87"/>
      <c r="L1" s="87"/>
      <c r="M1" s="87"/>
      <c r="N1" s="86"/>
    </row>
    <row r="2" spans="1:14" ht="28.5" customHeight="1" x14ac:dyDescent="0.25">
      <c r="A2" s="84"/>
      <c r="B2" s="86"/>
      <c r="C2" s="86"/>
      <c r="D2" s="86"/>
      <c r="E2" s="86"/>
      <c r="F2" s="87"/>
      <c r="G2" s="87"/>
      <c r="H2" s="87"/>
      <c r="I2" s="87"/>
      <c r="J2" s="87"/>
      <c r="K2" s="87"/>
      <c r="L2" s="87"/>
      <c r="M2" s="87"/>
      <c r="N2" s="86"/>
    </row>
    <row r="3" spans="1:14" ht="30" customHeight="1" x14ac:dyDescent="0.25">
      <c r="A3" s="84"/>
      <c r="B3" s="86"/>
      <c r="C3" s="86"/>
      <c r="D3" s="86"/>
      <c r="E3" s="86"/>
      <c r="F3" s="87"/>
      <c r="G3" s="87"/>
      <c r="H3" s="87"/>
      <c r="I3" s="87"/>
      <c r="J3" s="87"/>
      <c r="K3" s="87"/>
      <c r="L3" s="87"/>
      <c r="M3" s="87"/>
      <c r="N3" s="86"/>
    </row>
    <row r="4" spans="1:14" x14ac:dyDescent="0.25">
      <c r="A4" s="84"/>
      <c r="B4" s="56"/>
      <c r="C4" s="57">
        <f ca="1">TODAY()</f>
        <v>46213</v>
      </c>
      <c r="D4"/>
      <c r="E4" s="7"/>
      <c r="F4" s="12"/>
      <c r="G4" s="12"/>
      <c r="H4" s="12"/>
      <c r="I4" s="12"/>
      <c r="J4" s="12"/>
      <c r="K4" s="12"/>
      <c r="N4" s="8" t="s">
        <v>2</v>
      </c>
    </row>
    <row r="5" spans="1:14" ht="7.5" customHeight="1" x14ac:dyDescent="0.25">
      <c r="A5" s="85"/>
      <c r="C5" s="13"/>
      <c r="D5" s="13"/>
      <c r="E5" s="7"/>
      <c r="F5" s="13"/>
      <c r="G5" s="13"/>
      <c r="H5" s="13"/>
      <c r="I5" s="13"/>
      <c r="J5" s="13"/>
      <c r="K5" s="13"/>
    </row>
    <row r="6" spans="1:14" s="66" customFormat="1" ht="32.25" customHeight="1" x14ac:dyDescent="0.25">
      <c r="A6" s="64" t="s">
        <v>3</v>
      </c>
      <c r="B6" s="64" t="s">
        <v>4</v>
      </c>
      <c r="C6" s="64" t="s">
        <v>5</v>
      </c>
      <c r="D6" s="64" t="s">
        <v>6</v>
      </c>
      <c r="E6" s="64" t="s">
        <v>7</v>
      </c>
      <c r="F6" s="64" t="s">
        <v>8</v>
      </c>
      <c r="G6" s="64" t="s">
        <v>9</v>
      </c>
      <c r="H6" s="64" t="s">
        <v>10</v>
      </c>
      <c r="I6" s="64" t="s">
        <v>11</v>
      </c>
      <c r="J6" s="64" t="s">
        <v>12</v>
      </c>
      <c r="K6" s="65" t="s">
        <v>793</v>
      </c>
      <c r="L6" s="64" t="s">
        <v>794</v>
      </c>
      <c r="M6" s="64" t="s">
        <v>795</v>
      </c>
      <c r="N6" s="64" t="s">
        <v>23</v>
      </c>
    </row>
    <row r="7" spans="1:14" ht="33" customHeight="1" x14ac:dyDescent="0.25">
      <c r="A7" s="67" t="s">
        <v>24</v>
      </c>
      <c r="B7" s="18" t="s">
        <v>25</v>
      </c>
      <c r="C7" s="18">
        <v>67313137</v>
      </c>
      <c r="D7" s="19" t="s">
        <v>26</v>
      </c>
      <c r="E7" s="18" t="s">
        <v>27</v>
      </c>
      <c r="F7" s="18" t="s">
        <v>28</v>
      </c>
      <c r="G7" s="18" t="s">
        <v>29</v>
      </c>
      <c r="H7" s="18">
        <v>1E-3</v>
      </c>
      <c r="I7" s="19" t="s">
        <v>30</v>
      </c>
      <c r="J7" s="19">
        <v>4.0000000000000001E-3</v>
      </c>
      <c r="K7" s="19"/>
      <c r="L7" s="19"/>
      <c r="M7" s="19"/>
      <c r="N7" s="59" t="s">
        <v>565</v>
      </c>
    </row>
    <row r="8" spans="1:14" ht="33" customHeight="1" x14ac:dyDescent="0.25">
      <c r="A8" s="67" t="s">
        <v>35</v>
      </c>
      <c r="B8" s="18" t="s">
        <v>36</v>
      </c>
      <c r="C8" s="18">
        <v>1709</v>
      </c>
      <c r="D8" s="19" t="s">
        <v>26</v>
      </c>
      <c r="E8" s="18" t="s">
        <v>37</v>
      </c>
      <c r="F8" s="18" t="s">
        <v>28</v>
      </c>
      <c r="G8" s="18" t="s">
        <v>29</v>
      </c>
      <c r="H8" s="18">
        <v>1</v>
      </c>
      <c r="I8" s="19" t="s">
        <v>38</v>
      </c>
      <c r="J8" s="19">
        <v>0.1</v>
      </c>
      <c r="K8" s="19"/>
      <c r="L8" s="19"/>
      <c r="M8" s="19"/>
      <c r="N8" s="59"/>
    </row>
    <row r="9" spans="1:14" ht="62.25" customHeight="1" x14ac:dyDescent="0.25">
      <c r="A9" s="67" t="s">
        <v>35</v>
      </c>
      <c r="B9" s="76" t="s">
        <v>40</v>
      </c>
      <c r="C9" s="18">
        <v>1612</v>
      </c>
      <c r="D9" s="19" t="s">
        <v>26</v>
      </c>
      <c r="E9" s="18" t="s">
        <v>41</v>
      </c>
      <c r="F9" s="18" t="s">
        <v>28</v>
      </c>
      <c r="G9" s="18" t="s">
        <v>29</v>
      </c>
      <c r="H9" s="18">
        <v>1</v>
      </c>
      <c r="I9" s="19" t="s">
        <v>42</v>
      </c>
      <c r="J9" s="19">
        <v>0.13</v>
      </c>
      <c r="K9" s="19">
        <v>2019</v>
      </c>
      <c r="L9" s="19">
        <v>2026</v>
      </c>
      <c r="M9" s="19" t="s">
        <v>796</v>
      </c>
      <c r="N9" s="19" t="s">
        <v>797</v>
      </c>
    </row>
    <row r="10" spans="1:14" ht="33" customHeight="1" x14ac:dyDescent="0.25">
      <c r="A10" s="67" t="s">
        <v>35</v>
      </c>
      <c r="B10" s="18" t="s">
        <v>43</v>
      </c>
      <c r="C10" s="18">
        <v>1608</v>
      </c>
      <c r="D10" s="19" t="s">
        <v>26</v>
      </c>
      <c r="E10" s="18" t="s">
        <v>44</v>
      </c>
      <c r="F10" s="18" t="s">
        <v>28</v>
      </c>
      <c r="G10" s="18" t="s">
        <v>29</v>
      </c>
      <c r="H10" s="18">
        <v>1</v>
      </c>
      <c r="I10" s="19" t="s">
        <v>45</v>
      </c>
      <c r="J10" s="19">
        <v>0.2</v>
      </c>
      <c r="K10" s="19"/>
      <c r="L10" s="19"/>
      <c r="M10" s="19"/>
      <c r="N10" s="59"/>
    </row>
    <row r="11" spans="1:14" ht="33" customHeight="1" x14ac:dyDescent="0.25">
      <c r="A11" s="67" t="s">
        <v>35</v>
      </c>
      <c r="B11" s="18" t="s">
        <v>46</v>
      </c>
      <c r="C11" s="18">
        <v>1708</v>
      </c>
      <c r="D11" s="19" t="s">
        <v>26</v>
      </c>
      <c r="E11" s="18" t="s">
        <v>47</v>
      </c>
      <c r="F11" s="18" t="s">
        <v>28</v>
      </c>
      <c r="G11" s="18" t="s">
        <v>29</v>
      </c>
      <c r="H11" s="18">
        <v>1</v>
      </c>
      <c r="I11" s="19" t="s">
        <v>48</v>
      </c>
      <c r="J11" s="19">
        <v>0.2</v>
      </c>
      <c r="K11" s="19"/>
      <c r="L11" s="19"/>
      <c r="M11" s="19"/>
      <c r="N11" s="59"/>
    </row>
    <row r="12" spans="1:14" ht="33" customHeight="1" x14ac:dyDescent="0.25">
      <c r="A12" s="67" t="s">
        <v>798</v>
      </c>
      <c r="B12" s="18" t="s">
        <v>50</v>
      </c>
      <c r="C12" s="18" t="s">
        <v>799</v>
      </c>
      <c r="D12" s="19" t="s">
        <v>800</v>
      </c>
      <c r="E12" s="18" t="s">
        <v>801</v>
      </c>
      <c r="F12" s="18" t="s">
        <v>66</v>
      </c>
      <c r="G12" s="18" t="s">
        <v>67</v>
      </c>
      <c r="H12" s="18">
        <v>0.1</v>
      </c>
      <c r="I12" s="19" t="s">
        <v>802</v>
      </c>
      <c r="J12" s="19">
        <v>0.05</v>
      </c>
      <c r="K12" s="19">
        <v>2019</v>
      </c>
      <c r="L12" s="19">
        <v>2022</v>
      </c>
      <c r="M12" s="19" t="s">
        <v>803</v>
      </c>
      <c r="N12" s="59" t="s">
        <v>804</v>
      </c>
    </row>
    <row r="13" spans="1:14" ht="29.25" customHeight="1" x14ac:dyDescent="0.25">
      <c r="A13" s="67" t="s">
        <v>57</v>
      </c>
      <c r="B13" s="18" t="s">
        <v>58</v>
      </c>
      <c r="C13" s="18">
        <v>15091366</v>
      </c>
      <c r="D13" s="19" t="s">
        <v>59</v>
      </c>
      <c r="E13" s="18" t="s">
        <v>60</v>
      </c>
      <c r="F13" s="18" t="s">
        <v>61</v>
      </c>
      <c r="G13" s="18" t="s">
        <v>62</v>
      </c>
      <c r="H13" s="18">
        <v>1</v>
      </c>
      <c r="I13" s="19" t="s">
        <v>63</v>
      </c>
      <c r="J13" s="19">
        <v>0.05</v>
      </c>
      <c r="K13" s="19"/>
      <c r="L13" s="19"/>
      <c r="M13" s="19"/>
      <c r="N13" s="59"/>
    </row>
    <row r="14" spans="1:14" ht="29.25" customHeight="1" x14ac:dyDescent="0.25">
      <c r="A14" s="67" t="s">
        <v>57</v>
      </c>
      <c r="B14" s="18" t="s">
        <v>58</v>
      </c>
      <c r="C14" s="18">
        <v>15091366</v>
      </c>
      <c r="D14" s="19" t="s">
        <v>59</v>
      </c>
      <c r="E14" s="18" t="s">
        <v>60</v>
      </c>
      <c r="F14" s="18" t="s">
        <v>66</v>
      </c>
      <c r="G14" s="18" t="s">
        <v>67</v>
      </c>
      <c r="H14" s="18">
        <v>0.1</v>
      </c>
      <c r="I14" s="19" t="s">
        <v>68</v>
      </c>
      <c r="J14" s="19">
        <v>0.05</v>
      </c>
      <c r="K14" s="19"/>
      <c r="L14" s="19"/>
      <c r="M14" s="19"/>
      <c r="N14" s="59"/>
    </row>
    <row r="15" spans="1:14" ht="29.25" customHeight="1" x14ac:dyDescent="0.25">
      <c r="A15" s="67" t="s">
        <v>57</v>
      </c>
      <c r="B15" s="18" t="s">
        <v>58</v>
      </c>
      <c r="C15" s="18">
        <v>15091366</v>
      </c>
      <c r="D15" s="19" t="s">
        <v>59</v>
      </c>
      <c r="E15" s="18" t="s">
        <v>60</v>
      </c>
      <c r="F15" s="58" t="s">
        <v>70</v>
      </c>
      <c r="G15" s="24" t="s">
        <v>71</v>
      </c>
      <c r="H15" s="18">
        <v>0.1</v>
      </c>
      <c r="I15" s="19" t="s">
        <v>72</v>
      </c>
      <c r="J15" s="19">
        <v>0.05</v>
      </c>
      <c r="K15" s="19"/>
      <c r="L15" s="19"/>
      <c r="M15" s="19"/>
      <c r="N15" s="59"/>
    </row>
    <row r="16" spans="1:14" ht="29.25" customHeight="1" x14ac:dyDescent="0.25">
      <c r="A16" s="67" t="s">
        <v>75</v>
      </c>
      <c r="B16" s="18" t="s">
        <v>76</v>
      </c>
      <c r="C16" s="18" t="s">
        <v>77</v>
      </c>
      <c r="D16" s="19" t="s">
        <v>78</v>
      </c>
      <c r="E16" s="18" t="s">
        <v>79</v>
      </c>
      <c r="F16" s="24" t="s">
        <v>80</v>
      </c>
      <c r="G16" s="24" t="s">
        <v>81</v>
      </c>
      <c r="H16" s="18">
        <v>0.1</v>
      </c>
      <c r="I16" s="19" t="s">
        <v>82</v>
      </c>
      <c r="J16" s="19" t="s">
        <v>83</v>
      </c>
      <c r="K16" s="19"/>
      <c r="L16" s="19"/>
      <c r="M16" s="19"/>
      <c r="N16" s="59"/>
    </row>
    <row r="17" spans="1:14" ht="29.25" customHeight="1" x14ac:dyDescent="0.25">
      <c r="A17" s="67" t="s">
        <v>88</v>
      </c>
      <c r="B17" s="18" t="s">
        <v>89</v>
      </c>
      <c r="C17" s="18" t="s">
        <v>90</v>
      </c>
      <c r="D17" s="19" t="s">
        <v>78</v>
      </c>
      <c r="E17" s="18" t="s">
        <v>91</v>
      </c>
      <c r="F17" s="24" t="s">
        <v>80</v>
      </c>
      <c r="G17" s="24" t="s">
        <v>81</v>
      </c>
      <c r="H17" s="18">
        <v>0.1</v>
      </c>
      <c r="I17" s="19" t="s">
        <v>92</v>
      </c>
      <c r="J17" s="19" t="s">
        <v>93</v>
      </c>
      <c r="K17" s="19"/>
      <c r="L17" s="19"/>
      <c r="M17" s="19"/>
      <c r="N17" s="59"/>
    </row>
    <row r="18" spans="1:14" ht="29.25" customHeight="1" x14ac:dyDescent="0.25">
      <c r="A18" s="67" t="s">
        <v>97</v>
      </c>
      <c r="B18" s="18" t="s">
        <v>98</v>
      </c>
      <c r="C18" s="18" t="s">
        <v>99</v>
      </c>
      <c r="D18" s="19" t="s">
        <v>100</v>
      </c>
      <c r="E18" s="18" t="s">
        <v>101</v>
      </c>
      <c r="F18" s="24" t="s">
        <v>80</v>
      </c>
      <c r="G18" s="24" t="s">
        <v>81</v>
      </c>
      <c r="H18" s="18">
        <v>0.01</v>
      </c>
      <c r="I18" s="25" t="s">
        <v>102</v>
      </c>
      <c r="J18" s="19">
        <v>0.03</v>
      </c>
      <c r="K18" s="19"/>
      <c r="L18" s="25"/>
      <c r="M18" s="25"/>
      <c r="N18" s="59" t="s">
        <v>105</v>
      </c>
    </row>
    <row r="19" spans="1:14" ht="29.25" customHeight="1" x14ac:dyDescent="0.25">
      <c r="A19" s="67" t="s">
        <v>97</v>
      </c>
      <c r="B19" s="18" t="s">
        <v>98</v>
      </c>
      <c r="C19" s="18" t="s">
        <v>99</v>
      </c>
      <c r="D19" s="19" t="s">
        <v>100</v>
      </c>
      <c r="E19" s="18" t="s">
        <v>101</v>
      </c>
      <c r="F19" s="58" t="s">
        <v>106</v>
      </c>
      <c r="G19" s="24" t="s">
        <v>107</v>
      </c>
      <c r="H19" s="18">
        <v>0.1</v>
      </c>
      <c r="I19" s="19" t="s">
        <v>108</v>
      </c>
      <c r="J19" s="19">
        <v>0.03</v>
      </c>
      <c r="K19" s="19"/>
      <c r="L19" s="19"/>
      <c r="M19" s="19"/>
      <c r="N19" s="59" t="s">
        <v>105</v>
      </c>
    </row>
    <row r="20" spans="1:14" ht="29.25" customHeight="1" x14ac:dyDescent="0.25">
      <c r="A20" s="67" t="s">
        <v>112</v>
      </c>
      <c r="B20" s="18" t="s">
        <v>113</v>
      </c>
      <c r="C20" s="18" t="s">
        <v>114</v>
      </c>
      <c r="D20" s="19" t="s">
        <v>115</v>
      </c>
      <c r="E20" s="18" t="s">
        <v>116</v>
      </c>
      <c r="F20" s="24" t="s">
        <v>66</v>
      </c>
      <c r="G20" s="24" t="s">
        <v>67</v>
      </c>
      <c r="H20" s="18">
        <v>0.01</v>
      </c>
      <c r="I20" s="19" t="s">
        <v>117</v>
      </c>
      <c r="J20" s="19">
        <v>5.8E-5</v>
      </c>
      <c r="K20" s="19"/>
      <c r="L20" s="19"/>
      <c r="M20" s="19"/>
      <c r="N20" s="59"/>
    </row>
    <row r="21" spans="1:14" ht="29.25" customHeight="1" x14ac:dyDescent="0.25">
      <c r="A21" s="67" t="s">
        <v>118</v>
      </c>
      <c r="B21" s="18" t="s">
        <v>119</v>
      </c>
      <c r="C21" s="18">
        <v>56036075</v>
      </c>
      <c r="D21" s="19" t="s">
        <v>120</v>
      </c>
      <c r="E21" s="18" t="s">
        <v>121</v>
      </c>
      <c r="F21" s="24" t="s">
        <v>122</v>
      </c>
      <c r="G21" s="24" t="s">
        <v>123</v>
      </c>
      <c r="H21" s="18">
        <v>0.1</v>
      </c>
      <c r="I21" s="19" t="s">
        <v>124</v>
      </c>
      <c r="J21" s="19">
        <v>0.05</v>
      </c>
      <c r="K21" s="19"/>
      <c r="L21" s="19"/>
      <c r="M21" s="19"/>
      <c r="N21" s="59"/>
    </row>
    <row r="22" spans="1:14" ht="29.25" customHeight="1" x14ac:dyDescent="0.25">
      <c r="A22" s="67" t="s">
        <v>49</v>
      </c>
      <c r="B22" s="18" t="s">
        <v>126</v>
      </c>
      <c r="C22" s="18" t="s">
        <v>751</v>
      </c>
      <c r="D22" s="19" t="s">
        <v>805</v>
      </c>
      <c r="E22" s="18" t="s">
        <v>806</v>
      </c>
      <c r="F22" s="24" t="s">
        <v>28</v>
      </c>
      <c r="G22" s="24" t="s">
        <v>53</v>
      </c>
      <c r="H22" s="18">
        <v>0.01</v>
      </c>
      <c r="I22" s="19" t="s">
        <v>807</v>
      </c>
      <c r="J22" s="19">
        <v>0.01</v>
      </c>
      <c r="K22" s="19"/>
      <c r="L22" s="19"/>
      <c r="M22" s="19"/>
      <c r="N22" s="59"/>
    </row>
    <row r="23" spans="1:14" ht="29.25" customHeight="1" x14ac:dyDescent="0.25">
      <c r="A23" s="67" t="s">
        <v>129</v>
      </c>
      <c r="B23" s="18" t="s">
        <v>130</v>
      </c>
      <c r="C23" s="18" t="s">
        <v>131</v>
      </c>
      <c r="D23" s="19" t="s">
        <v>132</v>
      </c>
      <c r="E23" s="18" t="s">
        <v>133</v>
      </c>
      <c r="F23" s="24" t="s">
        <v>134</v>
      </c>
      <c r="G23" s="24" t="s">
        <v>135</v>
      </c>
      <c r="H23" s="18">
        <v>1E-3</v>
      </c>
      <c r="I23" s="19" t="s">
        <v>136</v>
      </c>
      <c r="J23" s="19">
        <v>0.06</v>
      </c>
      <c r="K23" s="19"/>
      <c r="L23" s="19"/>
      <c r="M23" s="19"/>
      <c r="N23" s="59" t="s">
        <v>808</v>
      </c>
    </row>
    <row r="24" spans="1:14" ht="29.25" customHeight="1" x14ac:dyDescent="0.25">
      <c r="A24" s="67" t="s">
        <v>129</v>
      </c>
      <c r="B24" s="18" t="s">
        <v>138</v>
      </c>
      <c r="C24" s="18" t="s">
        <v>139</v>
      </c>
      <c r="D24" s="19" t="s">
        <v>140</v>
      </c>
      <c r="E24" s="18" t="s">
        <v>141</v>
      </c>
      <c r="F24" s="24" t="s">
        <v>134</v>
      </c>
      <c r="G24" s="18" t="s">
        <v>142</v>
      </c>
      <c r="H24" s="18">
        <v>1</v>
      </c>
      <c r="I24" s="19" t="s">
        <v>143</v>
      </c>
      <c r="J24" s="19">
        <v>0.06</v>
      </c>
      <c r="K24" s="19"/>
      <c r="L24" s="19"/>
      <c r="M24" s="19"/>
      <c r="N24" s="59"/>
    </row>
    <row r="25" spans="1:14" ht="29.25" customHeight="1" x14ac:dyDescent="0.25">
      <c r="A25" s="67" t="s">
        <v>145</v>
      </c>
      <c r="B25" s="18" t="s">
        <v>146</v>
      </c>
      <c r="C25" s="18" t="s">
        <v>147</v>
      </c>
      <c r="D25" s="19" t="s">
        <v>148</v>
      </c>
      <c r="E25" s="18" t="s">
        <v>149</v>
      </c>
      <c r="F25" s="19" t="s">
        <v>150</v>
      </c>
      <c r="G25" s="18" t="s">
        <v>151</v>
      </c>
      <c r="H25" s="18">
        <v>0.01</v>
      </c>
      <c r="I25" s="19" t="s">
        <v>152</v>
      </c>
      <c r="J25" s="19">
        <v>0.2</v>
      </c>
      <c r="K25" s="19"/>
      <c r="L25" s="19"/>
      <c r="M25" s="19"/>
      <c r="N25" s="59" t="s">
        <v>155</v>
      </c>
    </row>
    <row r="26" spans="1:14" ht="29.25" customHeight="1" x14ac:dyDescent="0.25">
      <c r="A26" s="67" t="s">
        <v>156</v>
      </c>
      <c r="B26" s="18" t="s">
        <v>157</v>
      </c>
      <c r="C26" s="18" t="s">
        <v>158</v>
      </c>
      <c r="D26" s="19" t="s">
        <v>159</v>
      </c>
      <c r="E26" s="18" t="s">
        <v>160</v>
      </c>
      <c r="F26" s="18" t="s">
        <v>161</v>
      </c>
      <c r="G26" s="18" t="s">
        <v>162</v>
      </c>
      <c r="H26" s="18">
        <v>1E-3</v>
      </c>
      <c r="I26" s="19" t="s">
        <v>163</v>
      </c>
      <c r="J26" s="19">
        <v>5.0000000000000001E-3</v>
      </c>
      <c r="K26" s="19"/>
      <c r="L26" s="19"/>
      <c r="M26" s="19"/>
      <c r="N26" s="59"/>
    </row>
    <row r="27" spans="1:14" ht="29.25" customHeight="1" x14ac:dyDescent="0.25">
      <c r="A27" s="67" t="s">
        <v>166</v>
      </c>
      <c r="B27" s="18" t="s">
        <v>167</v>
      </c>
      <c r="C27" s="18">
        <v>180815807</v>
      </c>
      <c r="D27" s="19" t="s">
        <v>115</v>
      </c>
      <c r="E27" s="18" t="s">
        <v>168</v>
      </c>
      <c r="F27" s="18" t="s">
        <v>80</v>
      </c>
      <c r="G27" s="18" t="s">
        <v>81</v>
      </c>
      <c r="H27" s="18">
        <v>0.1</v>
      </c>
      <c r="I27" s="25" t="s">
        <v>169</v>
      </c>
      <c r="J27" s="19">
        <v>1</v>
      </c>
      <c r="K27" s="19"/>
      <c r="L27" s="19"/>
      <c r="M27" s="19"/>
      <c r="N27" s="59" t="s">
        <v>155</v>
      </c>
    </row>
    <row r="28" spans="1:14" ht="29.25" customHeight="1" x14ac:dyDescent="0.25">
      <c r="A28" s="67" t="s">
        <v>166</v>
      </c>
      <c r="B28" s="18" t="s">
        <v>167</v>
      </c>
      <c r="C28" s="19">
        <v>180815807</v>
      </c>
      <c r="D28" s="19" t="s">
        <v>115</v>
      </c>
      <c r="E28" s="18" t="s">
        <v>168</v>
      </c>
      <c r="F28" s="19" t="s">
        <v>106</v>
      </c>
      <c r="G28" s="18" t="s">
        <v>172</v>
      </c>
      <c r="H28" s="18">
        <v>0.1</v>
      </c>
      <c r="I28" s="19" t="s">
        <v>173</v>
      </c>
      <c r="J28" s="19">
        <v>0.03</v>
      </c>
      <c r="K28" s="19"/>
      <c r="L28" s="19"/>
      <c r="M28" s="19"/>
      <c r="N28" s="59" t="s">
        <v>155</v>
      </c>
    </row>
    <row r="29" spans="1:14" ht="29.25" customHeight="1" x14ac:dyDescent="0.25">
      <c r="A29" s="67" t="s">
        <v>175</v>
      </c>
      <c r="B29" s="18" t="s">
        <v>176</v>
      </c>
      <c r="C29" s="19">
        <v>190010615</v>
      </c>
      <c r="D29" s="19" t="s">
        <v>177</v>
      </c>
      <c r="E29" s="18" t="s">
        <v>178</v>
      </c>
      <c r="F29" s="18" t="s">
        <v>179</v>
      </c>
      <c r="G29" s="18" t="s">
        <v>180</v>
      </c>
      <c r="H29" s="18">
        <v>0.01</v>
      </c>
      <c r="I29" s="19" t="s">
        <v>181</v>
      </c>
      <c r="J29" s="19">
        <v>0.01</v>
      </c>
      <c r="K29" s="19"/>
      <c r="L29" s="19"/>
      <c r="M29" s="19"/>
      <c r="N29" s="59"/>
    </row>
    <row r="30" spans="1:14" ht="29.25" customHeight="1" x14ac:dyDescent="0.25">
      <c r="A30" s="67" t="s">
        <v>182</v>
      </c>
      <c r="B30" s="18" t="s">
        <v>183</v>
      </c>
      <c r="C30" s="19" t="s">
        <v>99</v>
      </c>
      <c r="D30" s="19" t="s">
        <v>184</v>
      </c>
      <c r="E30" s="18" t="s">
        <v>185</v>
      </c>
      <c r="F30" s="18" t="s">
        <v>28</v>
      </c>
      <c r="G30" s="18" t="s">
        <v>53</v>
      </c>
      <c r="H30" s="18">
        <v>1</v>
      </c>
      <c r="I30" s="19" t="s">
        <v>186</v>
      </c>
      <c r="J30" s="19">
        <v>1</v>
      </c>
      <c r="K30" s="19"/>
      <c r="L30" s="19"/>
      <c r="M30" s="19"/>
      <c r="N30" s="59"/>
    </row>
    <row r="31" spans="1:14" ht="29.25" customHeight="1" x14ac:dyDescent="0.25">
      <c r="A31" s="67" t="s">
        <v>189</v>
      </c>
      <c r="B31" s="18" t="s">
        <v>190</v>
      </c>
      <c r="C31" s="19" t="s">
        <v>191</v>
      </c>
      <c r="D31" s="19" t="s">
        <v>192</v>
      </c>
      <c r="E31" s="18" t="s">
        <v>193</v>
      </c>
      <c r="F31" s="18" t="s">
        <v>61</v>
      </c>
      <c r="G31" s="18" t="s">
        <v>194</v>
      </c>
      <c r="H31" s="18">
        <v>1E-3</v>
      </c>
      <c r="I31" s="19" t="s">
        <v>195</v>
      </c>
      <c r="J31" s="19" t="s">
        <v>196</v>
      </c>
      <c r="K31" s="19"/>
      <c r="L31" s="19"/>
      <c r="M31" s="19"/>
      <c r="N31" s="59" t="s">
        <v>198</v>
      </c>
    </row>
    <row r="32" spans="1:14" ht="29.25" customHeight="1" x14ac:dyDescent="0.25">
      <c r="A32" s="67" t="s">
        <v>189</v>
      </c>
      <c r="B32" s="18" t="s">
        <v>190</v>
      </c>
      <c r="C32" s="19" t="s">
        <v>191</v>
      </c>
      <c r="D32" s="19" t="s">
        <v>192</v>
      </c>
      <c r="E32" s="18" t="s">
        <v>193</v>
      </c>
      <c r="F32" s="18" t="s">
        <v>199</v>
      </c>
      <c r="G32" s="18" t="s">
        <v>200</v>
      </c>
      <c r="H32" s="18">
        <v>1.0000000000000001E-5</v>
      </c>
      <c r="I32" s="19" t="s">
        <v>195</v>
      </c>
      <c r="J32" s="19" t="s">
        <v>201</v>
      </c>
      <c r="K32" s="19"/>
      <c r="L32" s="19"/>
      <c r="M32" s="19"/>
      <c r="N32" s="59" t="s">
        <v>198</v>
      </c>
    </row>
    <row r="33" spans="1:14" ht="29.25" customHeight="1" x14ac:dyDescent="0.25">
      <c r="A33" s="67" t="s">
        <v>189</v>
      </c>
      <c r="B33" s="18" t="s">
        <v>190</v>
      </c>
      <c r="C33" s="19" t="s">
        <v>191</v>
      </c>
      <c r="D33" s="19" t="s">
        <v>192</v>
      </c>
      <c r="E33" s="18" t="s">
        <v>193</v>
      </c>
      <c r="F33" s="18" t="s">
        <v>203</v>
      </c>
      <c r="G33" s="61" t="s">
        <v>204</v>
      </c>
      <c r="H33" s="18">
        <v>1E-3</v>
      </c>
      <c r="I33" s="19" t="s">
        <v>195</v>
      </c>
      <c r="J33" s="19" t="s">
        <v>205</v>
      </c>
      <c r="K33" s="19"/>
      <c r="L33" s="19"/>
      <c r="M33" s="19"/>
      <c r="N33" s="59" t="s">
        <v>198</v>
      </c>
    </row>
    <row r="34" spans="1:14" ht="29.25" customHeight="1" x14ac:dyDescent="0.25">
      <c r="A34" s="67" t="s">
        <v>189</v>
      </c>
      <c r="B34" s="18" t="s">
        <v>190</v>
      </c>
      <c r="C34" s="19" t="s">
        <v>191</v>
      </c>
      <c r="D34" s="19" t="s">
        <v>192</v>
      </c>
      <c r="E34" s="18" t="s">
        <v>193</v>
      </c>
      <c r="F34" s="18" t="s">
        <v>206</v>
      </c>
      <c r="G34" s="18" t="s">
        <v>207</v>
      </c>
      <c r="H34" s="18">
        <v>1E-3</v>
      </c>
      <c r="I34" s="19" t="s">
        <v>195</v>
      </c>
      <c r="J34" s="19">
        <v>2.0000000000000001E-4</v>
      </c>
      <c r="K34" s="19"/>
      <c r="L34" s="19"/>
      <c r="M34" s="19"/>
      <c r="N34" s="59" t="s">
        <v>198</v>
      </c>
    </row>
    <row r="35" spans="1:14" ht="29.25" customHeight="1" x14ac:dyDescent="0.25">
      <c r="A35" s="67" t="s">
        <v>208</v>
      </c>
      <c r="B35" s="18" t="s">
        <v>209</v>
      </c>
      <c r="C35" s="19" t="s">
        <v>210</v>
      </c>
      <c r="D35" s="19" t="s">
        <v>59</v>
      </c>
      <c r="E35" s="18" t="s">
        <v>211</v>
      </c>
      <c r="F35" s="18" t="s">
        <v>61</v>
      </c>
      <c r="G35" s="18" t="s">
        <v>194</v>
      </c>
      <c r="H35" s="18">
        <v>0.1</v>
      </c>
      <c r="I35" s="19" t="s">
        <v>212</v>
      </c>
      <c r="J35" s="19" t="s">
        <v>213</v>
      </c>
      <c r="K35" s="19"/>
      <c r="L35" s="19"/>
      <c r="M35" s="19"/>
      <c r="N35" s="59"/>
    </row>
    <row r="36" spans="1:14" ht="29.25" customHeight="1" x14ac:dyDescent="0.25">
      <c r="A36" s="67" t="s">
        <v>208</v>
      </c>
      <c r="B36" s="18" t="s">
        <v>209</v>
      </c>
      <c r="C36" s="19" t="s">
        <v>210</v>
      </c>
      <c r="D36" s="19" t="s">
        <v>59</v>
      </c>
      <c r="E36" s="18" t="s">
        <v>211</v>
      </c>
      <c r="F36" s="18" t="s">
        <v>203</v>
      </c>
      <c r="G36" s="18" t="s">
        <v>204</v>
      </c>
      <c r="H36" s="18">
        <v>1E-3</v>
      </c>
      <c r="I36" s="19" t="s">
        <v>214</v>
      </c>
      <c r="J36" s="19" t="s">
        <v>215</v>
      </c>
      <c r="K36" s="19"/>
      <c r="L36" s="19"/>
      <c r="M36" s="19"/>
      <c r="N36" s="59"/>
    </row>
    <row r="37" spans="1:14" ht="29.25" customHeight="1" x14ac:dyDescent="0.25">
      <c r="A37" s="67" t="s">
        <v>218</v>
      </c>
      <c r="B37" s="18" t="s">
        <v>219</v>
      </c>
      <c r="C37" s="19" t="s">
        <v>220</v>
      </c>
      <c r="D37" s="19" t="s">
        <v>59</v>
      </c>
      <c r="E37" s="18">
        <v>6210</v>
      </c>
      <c r="F37" s="18" t="s">
        <v>203</v>
      </c>
      <c r="G37" s="18" t="s">
        <v>204</v>
      </c>
      <c r="H37" s="18">
        <v>1E-3</v>
      </c>
      <c r="I37" s="19" t="s">
        <v>221</v>
      </c>
      <c r="J37" s="19" t="s">
        <v>222</v>
      </c>
      <c r="K37" s="19"/>
      <c r="L37" s="19"/>
      <c r="M37" s="19"/>
      <c r="N37" s="59"/>
    </row>
    <row r="38" spans="1:14" ht="29.25" customHeight="1" x14ac:dyDescent="0.25">
      <c r="A38" s="67" t="s">
        <v>218</v>
      </c>
      <c r="B38" s="18" t="s">
        <v>219</v>
      </c>
      <c r="C38" s="19" t="s">
        <v>220</v>
      </c>
      <c r="D38" s="19" t="s">
        <v>59</v>
      </c>
      <c r="E38" s="18">
        <v>6210</v>
      </c>
      <c r="F38" s="18" t="s">
        <v>199</v>
      </c>
      <c r="G38" s="18" t="s">
        <v>200</v>
      </c>
      <c r="H38" s="18">
        <v>0.1</v>
      </c>
      <c r="I38" s="19" t="s">
        <v>224</v>
      </c>
      <c r="J38" s="19" t="s">
        <v>225</v>
      </c>
      <c r="K38" s="19"/>
      <c r="L38" s="19"/>
      <c r="M38" s="19"/>
      <c r="N38" s="59"/>
    </row>
    <row r="39" spans="1:14" ht="29.25" customHeight="1" x14ac:dyDescent="0.25">
      <c r="A39" s="67" t="s">
        <v>218</v>
      </c>
      <c r="B39" s="18" t="s">
        <v>219</v>
      </c>
      <c r="C39" s="19" t="s">
        <v>220</v>
      </c>
      <c r="D39" s="19" t="s">
        <v>59</v>
      </c>
      <c r="E39" s="18">
        <v>6210</v>
      </c>
      <c r="F39" s="18" t="s">
        <v>61</v>
      </c>
      <c r="G39" s="18" t="s">
        <v>194</v>
      </c>
      <c r="H39" s="18">
        <v>0.01</v>
      </c>
      <c r="I39" s="19" t="s">
        <v>226</v>
      </c>
      <c r="J39" s="19" t="s">
        <v>227</v>
      </c>
      <c r="K39" s="19"/>
      <c r="L39" s="19"/>
      <c r="M39" s="19"/>
      <c r="N39" s="59"/>
    </row>
    <row r="40" spans="1:14" ht="29.25" customHeight="1" x14ac:dyDescent="0.25">
      <c r="A40" s="68" t="s">
        <v>236</v>
      </c>
      <c r="B40" s="46" t="s">
        <v>237</v>
      </c>
      <c r="C40" s="47" t="s">
        <v>238</v>
      </c>
      <c r="D40" s="47" t="s">
        <v>239</v>
      </c>
      <c r="E40" s="46" t="s">
        <v>240</v>
      </c>
      <c r="F40" s="46" t="s">
        <v>199</v>
      </c>
      <c r="G40" s="46" t="s">
        <v>200</v>
      </c>
      <c r="H40" s="46">
        <v>0.1</v>
      </c>
      <c r="I40" s="47" t="s">
        <v>241</v>
      </c>
      <c r="J40" s="47" t="s">
        <v>242</v>
      </c>
      <c r="K40" s="47"/>
      <c r="L40" s="47"/>
      <c r="M40" s="47"/>
      <c r="N40" s="74"/>
    </row>
    <row r="41" spans="1:14" ht="29.25" customHeight="1" x14ac:dyDescent="0.25">
      <c r="A41" s="68" t="s">
        <v>236</v>
      </c>
      <c r="B41" s="46" t="s">
        <v>237</v>
      </c>
      <c r="C41" s="47" t="s">
        <v>238</v>
      </c>
      <c r="D41" s="47" t="s">
        <v>239</v>
      </c>
      <c r="E41" s="46" t="s">
        <v>240</v>
      </c>
      <c r="F41" s="46" t="s">
        <v>243</v>
      </c>
      <c r="G41" s="46" t="s">
        <v>244</v>
      </c>
      <c r="H41" s="46">
        <v>1E-3</v>
      </c>
      <c r="I41" s="47" t="s">
        <v>245</v>
      </c>
      <c r="J41" s="47" t="s">
        <v>246</v>
      </c>
      <c r="K41" s="47"/>
      <c r="L41" s="47"/>
      <c r="M41" s="47"/>
      <c r="N41" s="74"/>
    </row>
    <row r="42" spans="1:14" ht="29.25" customHeight="1" x14ac:dyDescent="0.25">
      <c r="A42" s="68" t="s">
        <v>236</v>
      </c>
      <c r="B42" s="46" t="s">
        <v>237</v>
      </c>
      <c r="C42" s="47" t="s">
        <v>238</v>
      </c>
      <c r="D42" s="47" t="s">
        <v>239</v>
      </c>
      <c r="E42" s="46" t="s">
        <v>240</v>
      </c>
      <c r="F42" s="46" t="s">
        <v>247</v>
      </c>
      <c r="G42" s="46" t="s">
        <v>248</v>
      </c>
      <c r="H42" s="46">
        <v>1E-3</v>
      </c>
      <c r="I42" s="47" t="s">
        <v>249</v>
      </c>
      <c r="J42" s="47" t="s">
        <v>242</v>
      </c>
      <c r="K42" s="47"/>
      <c r="L42" s="47"/>
      <c r="M42" s="47"/>
      <c r="N42" s="74"/>
    </row>
    <row r="43" spans="1:14" ht="29.25" customHeight="1" x14ac:dyDescent="0.25">
      <c r="A43" s="68" t="s">
        <v>236</v>
      </c>
      <c r="B43" s="46" t="s">
        <v>237</v>
      </c>
      <c r="C43" s="47" t="s">
        <v>238</v>
      </c>
      <c r="D43" s="47" t="s">
        <v>239</v>
      </c>
      <c r="E43" s="46" t="s">
        <v>240</v>
      </c>
      <c r="F43" s="47" t="s">
        <v>250</v>
      </c>
      <c r="G43" s="46" t="s">
        <v>251</v>
      </c>
      <c r="H43" s="46">
        <v>1E-3</v>
      </c>
      <c r="I43" s="47" t="s">
        <v>252</v>
      </c>
      <c r="J43" s="47" t="s">
        <v>242</v>
      </c>
      <c r="K43" s="47"/>
      <c r="L43" s="47"/>
      <c r="M43" s="47"/>
      <c r="N43" s="74"/>
    </row>
    <row r="44" spans="1:14" ht="29.25" customHeight="1" x14ac:dyDescent="0.25">
      <c r="A44" s="68" t="s">
        <v>236</v>
      </c>
      <c r="B44" s="46" t="s">
        <v>237</v>
      </c>
      <c r="C44" s="47" t="s">
        <v>238</v>
      </c>
      <c r="D44" s="47" t="s">
        <v>239</v>
      </c>
      <c r="E44" s="46" t="s">
        <v>240</v>
      </c>
      <c r="F44" s="47" t="s">
        <v>254</v>
      </c>
      <c r="G44" s="46" t="s">
        <v>255</v>
      </c>
      <c r="H44" s="46">
        <v>1E-3</v>
      </c>
      <c r="I44" s="47" t="s">
        <v>256</v>
      </c>
      <c r="J44" s="47" t="s">
        <v>242</v>
      </c>
      <c r="K44" s="47"/>
      <c r="L44" s="47"/>
      <c r="M44" s="47"/>
      <c r="N44" s="74"/>
    </row>
    <row r="45" spans="1:14" ht="29.25" customHeight="1" x14ac:dyDescent="0.25">
      <c r="A45" s="67" t="s">
        <v>267</v>
      </c>
      <c r="B45" s="18" t="s">
        <v>268</v>
      </c>
      <c r="C45" s="19" t="s">
        <v>269</v>
      </c>
      <c r="D45" s="19" t="s">
        <v>239</v>
      </c>
      <c r="E45" s="19" t="s">
        <v>270</v>
      </c>
      <c r="F45" s="18" t="s">
        <v>271</v>
      </c>
      <c r="G45" s="18" t="s">
        <v>272</v>
      </c>
      <c r="H45" s="18">
        <v>0.1</v>
      </c>
      <c r="I45" s="19" t="s">
        <v>273</v>
      </c>
      <c r="J45" s="19">
        <v>1.6E-2</v>
      </c>
      <c r="K45" s="19"/>
      <c r="L45" s="19"/>
      <c r="M45" s="19"/>
      <c r="N45" s="59"/>
    </row>
    <row r="46" spans="1:14" ht="29.25" customHeight="1" x14ac:dyDescent="0.25">
      <c r="A46" s="67" t="s">
        <v>275</v>
      </c>
      <c r="B46" s="18" t="s">
        <v>276</v>
      </c>
      <c r="C46" s="19" t="s">
        <v>277</v>
      </c>
      <c r="D46" s="19" t="s">
        <v>239</v>
      </c>
      <c r="E46" s="19" t="s">
        <v>270</v>
      </c>
      <c r="F46" s="18" t="s">
        <v>278</v>
      </c>
      <c r="G46" s="18" t="s">
        <v>279</v>
      </c>
      <c r="H46" s="18">
        <v>0.5</v>
      </c>
      <c r="I46" s="19" t="s">
        <v>280</v>
      </c>
      <c r="J46" s="19">
        <v>0.02</v>
      </c>
      <c r="K46" s="19"/>
      <c r="L46" s="19"/>
      <c r="M46" s="19"/>
      <c r="N46" s="59"/>
    </row>
    <row r="47" spans="1:14" ht="29.25" customHeight="1" x14ac:dyDescent="0.25">
      <c r="A47" s="67" t="s">
        <v>275</v>
      </c>
      <c r="B47" s="18" t="s">
        <v>276</v>
      </c>
      <c r="C47" s="19" t="s">
        <v>281</v>
      </c>
      <c r="D47" s="19" t="s">
        <v>239</v>
      </c>
      <c r="E47" s="19" t="s">
        <v>270</v>
      </c>
      <c r="F47" s="18" t="s">
        <v>271</v>
      </c>
      <c r="G47" s="18" t="s">
        <v>272</v>
      </c>
      <c r="H47" s="18">
        <v>2</v>
      </c>
      <c r="I47" s="19" t="s">
        <v>282</v>
      </c>
      <c r="J47" s="19">
        <v>2.5000000000000001E-2</v>
      </c>
      <c r="K47" s="19"/>
      <c r="L47" s="19"/>
      <c r="M47" s="19"/>
      <c r="N47" s="59"/>
    </row>
    <row r="48" spans="1:14" ht="29.25" customHeight="1" x14ac:dyDescent="0.25">
      <c r="A48" s="67" t="s">
        <v>283</v>
      </c>
      <c r="B48" s="18" t="s">
        <v>284</v>
      </c>
      <c r="C48" s="19" t="s">
        <v>285</v>
      </c>
      <c r="D48" s="19" t="s">
        <v>239</v>
      </c>
      <c r="E48" s="19" t="s">
        <v>286</v>
      </c>
      <c r="F48" s="18" t="s">
        <v>278</v>
      </c>
      <c r="G48" s="18" t="s">
        <v>279</v>
      </c>
      <c r="H48" s="18">
        <v>0.1</v>
      </c>
      <c r="I48" s="19" t="s">
        <v>287</v>
      </c>
      <c r="J48" s="19">
        <v>5.0000000000000001E-4</v>
      </c>
      <c r="K48" s="19"/>
      <c r="L48" s="19"/>
      <c r="M48" s="19"/>
      <c r="N48" s="59"/>
    </row>
    <row r="49" spans="1:14" ht="29.25" customHeight="1" x14ac:dyDescent="0.25">
      <c r="A49" s="67" t="s">
        <v>283</v>
      </c>
      <c r="B49" s="18" t="s">
        <v>284</v>
      </c>
      <c r="C49" s="19" t="s">
        <v>288</v>
      </c>
      <c r="D49" s="19" t="s">
        <v>239</v>
      </c>
      <c r="E49" s="19" t="s">
        <v>286</v>
      </c>
      <c r="F49" s="18" t="s">
        <v>278</v>
      </c>
      <c r="G49" s="18" t="s">
        <v>279</v>
      </c>
      <c r="H49" s="18">
        <v>0.1</v>
      </c>
      <c r="I49" s="19" t="s">
        <v>289</v>
      </c>
      <c r="J49" s="19">
        <v>5.0000000000000001E-4</v>
      </c>
      <c r="K49" s="19"/>
      <c r="L49" s="19"/>
      <c r="M49" s="19"/>
      <c r="N49" s="59"/>
    </row>
    <row r="50" spans="1:14" ht="29.25" customHeight="1" x14ac:dyDescent="0.25">
      <c r="A50" s="67" t="s">
        <v>294</v>
      </c>
      <c r="B50" s="18" t="s">
        <v>295</v>
      </c>
      <c r="C50" s="19" t="s">
        <v>296</v>
      </c>
      <c r="D50" s="19" t="s">
        <v>239</v>
      </c>
      <c r="E50" s="19" t="s">
        <v>297</v>
      </c>
      <c r="F50" s="18" t="s">
        <v>271</v>
      </c>
      <c r="G50" s="18" t="s">
        <v>298</v>
      </c>
      <c r="H50" s="18">
        <v>1E-3</v>
      </c>
      <c r="I50" s="19" t="s">
        <v>299</v>
      </c>
      <c r="J50" s="19" t="s">
        <v>300</v>
      </c>
      <c r="K50" s="19"/>
      <c r="L50" s="19"/>
      <c r="M50" s="19"/>
      <c r="N50" s="59"/>
    </row>
    <row r="51" spans="1:14" ht="29.25" customHeight="1" x14ac:dyDescent="0.25">
      <c r="A51" s="67" t="s">
        <v>301</v>
      </c>
      <c r="B51" s="18" t="s">
        <v>302</v>
      </c>
      <c r="C51" s="19" t="s">
        <v>303</v>
      </c>
      <c r="D51" s="19" t="s">
        <v>239</v>
      </c>
      <c r="E51" s="19" t="s">
        <v>304</v>
      </c>
      <c r="F51" s="18" t="s">
        <v>271</v>
      </c>
      <c r="G51" s="18" t="s">
        <v>272</v>
      </c>
      <c r="H51" s="18">
        <v>2</v>
      </c>
      <c r="I51" s="19" t="s">
        <v>305</v>
      </c>
      <c r="J51" s="19">
        <v>0.02</v>
      </c>
      <c r="K51" s="19"/>
      <c r="L51" s="19"/>
      <c r="M51" s="19"/>
      <c r="N51" s="59"/>
    </row>
    <row r="52" spans="1:14" ht="29.25" customHeight="1" x14ac:dyDescent="0.25">
      <c r="A52" s="67" t="s">
        <v>301</v>
      </c>
      <c r="B52" s="18" t="s">
        <v>302</v>
      </c>
      <c r="C52" s="19" t="s">
        <v>303</v>
      </c>
      <c r="D52" s="19" t="s">
        <v>239</v>
      </c>
      <c r="E52" s="19" t="s">
        <v>304</v>
      </c>
      <c r="F52" s="18" t="s">
        <v>80</v>
      </c>
      <c r="G52" s="18" t="s">
        <v>81</v>
      </c>
      <c r="H52" s="18">
        <v>0.1</v>
      </c>
      <c r="I52" s="19" t="s">
        <v>307</v>
      </c>
      <c r="J52" s="19">
        <v>0.02</v>
      </c>
      <c r="K52" s="19"/>
      <c r="L52" s="19"/>
      <c r="M52" s="19"/>
      <c r="N52" s="59"/>
    </row>
    <row r="53" spans="1:14" ht="29.25" customHeight="1" x14ac:dyDescent="0.25">
      <c r="A53" s="67" t="s">
        <v>310</v>
      </c>
      <c r="B53" s="18" t="s">
        <v>311</v>
      </c>
      <c r="C53" s="19" t="s">
        <v>312</v>
      </c>
      <c r="D53" s="19" t="s">
        <v>239</v>
      </c>
      <c r="E53" s="19" t="s">
        <v>313</v>
      </c>
      <c r="F53" s="18" t="s">
        <v>66</v>
      </c>
      <c r="G53" s="18" t="s">
        <v>67</v>
      </c>
      <c r="H53" s="18">
        <v>0.01</v>
      </c>
      <c r="I53" s="19" t="s">
        <v>314</v>
      </c>
      <c r="J53" s="19">
        <v>0.5</v>
      </c>
      <c r="K53" s="19"/>
      <c r="L53" s="19"/>
      <c r="M53" s="19"/>
      <c r="N53" s="59"/>
    </row>
    <row r="54" spans="1:14" ht="29.25" customHeight="1" x14ac:dyDescent="0.25">
      <c r="A54" s="67" t="s">
        <v>310</v>
      </c>
      <c r="B54" s="18" t="s">
        <v>311</v>
      </c>
      <c r="C54" s="19" t="s">
        <v>312</v>
      </c>
      <c r="D54" s="19" t="s">
        <v>239</v>
      </c>
      <c r="E54" s="19" t="s">
        <v>313</v>
      </c>
      <c r="F54" s="18" t="s">
        <v>80</v>
      </c>
      <c r="G54" s="18" t="s">
        <v>81</v>
      </c>
      <c r="H54" s="18">
        <v>0.1</v>
      </c>
      <c r="I54" s="19" t="s">
        <v>316</v>
      </c>
      <c r="J54" s="19">
        <v>1</v>
      </c>
      <c r="K54" s="19"/>
      <c r="L54" s="19"/>
      <c r="M54" s="19"/>
      <c r="N54" s="59"/>
    </row>
    <row r="55" spans="1:14" ht="29.25" customHeight="1" x14ac:dyDescent="0.25">
      <c r="A55" s="67" t="s">
        <v>317</v>
      </c>
      <c r="B55" s="18" t="s">
        <v>318</v>
      </c>
      <c r="C55" s="19" t="s">
        <v>319</v>
      </c>
      <c r="D55" s="19" t="s">
        <v>239</v>
      </c>
      <c r="E55" s="19" t="s">
        <v>320</v>
      </c>
      <c r="F55" s="18" t="s">
        <v>66</v>
      </c>
      <c r="G55" s="18" t="s">
        <v>67</v>
      </c>
      <c r="H55" s="18">
        <v>0.01</v>
      </c>
      <c r="I55" s="19" t="s">
        <v>314</v>
      </c>
      <c r="J55" s="19">
        <v>0.5</v>
      </c>
      <c r="K55" s="19"/>
      <c r="L55" s="19"/>
      <c r="M55" s="19"/>
      <c r="N55" s="59"/>
    </row>
    <row r="56" spans="1:14" ht="29.25" customHeight="1" x14ac:dyDescent="0.25">
      <c r="A56" s="67" t="s">
        <v>317</v>
      </c>
      <c r="B56" s="18" t="s">
        <v>318</v>
      </c>
      <c r="C56" s="19" t="s">
        <v>319</v>
      </c>
      <c r="D56" s="19" t="s">
        <v>239</v>
      </c>
      <c r="E56" s="19" t="s">
        <v>320</v>
      </c>
      <c r="F56" s="18" t="s">
        <v>80</v>
      </c>
      <c r="G56" s="18" t="s">
        <v>81</v>
      </c>
      <c r="H56" s="18">
        <v>0.1</v>
      </c>
      <c r="I56" s="19" t="s">
        <v>316</v>
      </c>
      <c r="J56" s="19">
        <v>1</v>
      </c>
      <c r="K56" s="19"/>
      <c r="L56" s="19"/>
      <c r="M56" s="19"/>
      <c r="N56" s="59"/>
    </row>
    <row r="57" spans="1:14" ht="29.25" customHeight="1" x14ac:dyDescent="0.25">
      <c r="A57" s="67" t="s">
        <v>321</v>
      </c>
      <c r="B57" s="18" t="s">
        <v>322</v>
      </c>
      <c r="C57" s="19" t="s">
        <v>323</v>
      </c>
      <c r="D57" s="19" t="s">
        <v>239</v>
      </c>
      <c r="E57" s="19" t="s">
        <v>324</v>
      </c>
      <c r="F57" s="18" t="s">
        <v>179</v>
      </c>
      <c r="G57" s="18" t="s">
        <v>180</v>
      </c>
      <c r="H57" s="18" t="s">
        <v>325</v>
      </c>
      <c r="I57" s="19" t="s">
        <v>326</v>
      </c>
      <c r="J57" s="19">
        <v>0.05</v>
      </c>
      <c r="K57" s="19"/>
      <c r="L57" s="19"/>
      <c r="M57" s="19"/>
      <c r="N57" s="59" t="s">
        <v>327</v>
      </c>
    </row>
    <row r="58" spans="1:14" ht="29.25" customHeight="1" x14ac:dyDescent="0.25">
      <c r="A58" s="67" t="s">
        <v>328</v>
      </c>
      <c r="B58" s="18" t="s">
        <v>329</v>
      </c>
      <c r="C58" s="19" t="s">
        <v>329</v>
      </c>
      <c r="D58" s="19" t="s">
        <v>330</v>
      </c>
      <c r="E58" s="19" t="s">
        <v>300</v>
      </c>
      <c r="F58" s="18" t="s">
        <v>331</v>
      </c>
      <c r="G58" s="18" t="s">
        <v>332</v>
      </c>
      <c r="H58" s="18">
        <v>1</v>
      </c>
      <c r="I58" s="19" t="s">
        <v>333</v>
      </c>
      <c r="J58" s="19">
        <v>0.02</v>
      </c>
      <c r="K58" s="19"/>
      <c r="L58" s="19"/>
      <c r="M58" s="19"/>
      <c r="N58" s="59"/>
    </row>
    <row r="59" spans="1:14" ht="29.25" customHeight="1" x14ac:dyDescent="0.25">
      <c r="A59" s="67" t="s">
        <v>336</v>
      </c>
      <c r="B59" s="18" t="s">
        <v>337</v>
      </c>
      <c r="C59" s="19" t="s">
        <v>337</v>
      </c>
      <c r="D59" s="19" t="s">
        <v>330</v>
      </c>
      <c r="E59" s="19" t="s">
        <v>300</v>
      </c>
      <c r="F59" s="19" t="s">
        <v>338</v>
      </c>
      <c r="G59" s="18" t="s">
        <v>332</v>
      </c>
      <c r="H59" s="18">
        <v>0.1</v>
      </c>
      <c r="I59" s="19" t="s">
        <v>339</v>
      </c>
      <c r="J59" s="19">
        <v>0.02</v>
      </c>
      <c r="K59" s="19"/>
      <c r="L59" s="19"/>
      <c r="M59" s="19"/>
      <c r="N59" s="59"/>
    </row>
    <row r="60" spans="1:14" ht="29.25" customHeight="1" x14ac:dyDescent="0.25">
      <c r="A60" s="67" t="s">
        <v>340</v>
      </c>
      <c r="B60" s="18" t="s">
        <v>341</v>
      </c>
      <c r="C60" s="19" t="s">
        <v>99</v>
      </c>
      <c r="D60" s="19" t="s">
        <v>342</v>
      </c>
      <c r="E60" s="19" t="s">
        <v>343</v>
      </c>
      <c r="F60" s="18" t="s">
        <v>179</v>
      </c>
      <c r="G60" s="18" t="s">
        <v>180</v>
      </c>
      <c r="H60" s="18" t="s">
        <v>325</v>
      </c>
      <c r="I60" s="19" t="s">
        <v>344</v>
      </c>
      <c r="J60" s="19">
        <v>0.05</v>
      </c>
      <c r="K60" s="19"/>
      <c r="L60" s="19"/>
      <c r="M60" s="19"/>
      <c r="N60" s="59" t="s">
        <v>327</v>
      </c>
    </row>
    <row r="61" spans="1:14" ht="29.25" customHeight="1" x14ac:dyDescent="0.25">
      <c r="A61" s="67" t="s">
        <v>345</v>
      </c>
      <c r="B61" s="18" t="s">
        <v>346</v>
      </c>
      <c r="C61" s="19" t="s">
        <v>99</v>
      </c>
      <c r="D61" s="19" t="s">
        <v>342</v>
      </c>
      <c r="E61" s="19" t="s">
        <v>343</v>
      </c>
      <c r="F61" s="18" t="s">
        <v>179</v>
      </c>
      <c r="G61" s="18" t="s">
        <v>180</v>
      </c>
      <c r="H61" s="18" t="s">
        <v>325</v>
      </c>
      <c r="I61" s="19" t="s">
        <v>347</v>
      </c>
      <c r="J61" s="19">
        <v>0.05</v>
      </c>
      <c r="K61" s="19"/>
      <c r="L61" s="19"/>
      <c r="M61" s="19"/>
      <c r="N61" s="59" t="s">
        <v>327</v>
      </c>
    </row>
    <row r="62" spans="1:14" ht="29.25" customHeight="1" x14ac:dyDescent="0.25">
      <c r="A62" s="67" t="s">
        <v>348</v>
      </c>
      <c r="B62" s="18" t="s">
        <v>349</v>
      </c>
      <c r="C62" s="19" t="s">
        <v>350</v>
      </c>
      <c r="D62" s="19" t="s">
        <v>239</v>
      </c>
      <c r="E62" s="19" t="s">
        <v>351</v>
      </c>
      <c r="F62" s="19" t="s">
        <v>352</v>
      </c>
      <c r="G62" s="18" t="s">
        <v>353</v>
      </c>
      <c r="H62" s="18">
        <v>0.1</v>
      </c>
      <c r="I62" s="19">
        <v>0.2</v>
      </c>
      <c r="J62" s="19">
        <v>0.02</v>
      </c>
      <c r="K62" s="19"/>
      <c r="L62" s="19"/>
      <c r="M62" s="19"/>
      <c r="N62" s="59" t="s">
        <v>356</v>
      </c>
    </row>
    <row r="63" spans="1:14" ht="29.25" customHeight="1" x14ac:dyDescent="0.25">
      <c r="A63" s="67" t="s">
        <v>357</v>
      </c>
      <c r="B63" s="18" t="s">
        <v>358</v>
      </c>
      <c r="C63" s="19" t="s">
        <v>359</v>
      </c>
      <c r="D63" s="19" t="s">
        <v>239</v>
      </c>
      <c r="E63" s="19" t="s">
        <v>360</v>
      </c>
      <c r="F63" s="19" t="s">
        <v>352</v>
      </c>
      <c r="G63" s="18" t="s">
        <v>353</v>
      </c>
      <c r="H63" s="18">
        <v>0.1</v>
      </c>
      <c r="I63" s="19">
        <v>0.35</v>
      </c>
      <c r="J63" s="19">
        <v>0.03</v>
      </c>
      <c r="K63" s="19"/>
      <c r="L63" s="19"/>
      <c r="M63" s="19"/>
      <c r="N63" s="59" t="s">
        <v>356</v>
      </c>
    </row>
    <row r="64" spans="1:14" ht="29.25" customHeight="1" x14ac:dyDescent="0.25">
      <c r="A64" s="67" t="s">
        <v>362</v>
      </c>
      <c r="B64" s="18" t="s">
        <v>363</v>
      </c>
      <c r="C64" s="19" t="s">
        <v>364</v>
      </c>
      <c r="D64" s="19" t="s">
        <v>239</v>
      </c>
      <c r="E64" s="19" t="s">
        <v>365</v>
      </c>
      <c r="F64" s="19" t="s">
        <v>352</v>
      </c>
      <c r="G64" s="18" t="s">
        <v>353</v>
      </c>
      <c r="H64" s="18">
        <v>0.1</v>
      </c>
      <c r="I64" s="19">
        <v>0.5</v>
      </c>
      <c r="J64" s="19">
        <v>0.04</v>
      </c>
      <c r="K64" s="19"/>
      <c r="L64" s="19"/>
      <c r="M64" s="19"/>
      <c r="N64" s="59" t="s">
        <v>356</v>
      </c>
    </row>
    <row r="65" spans="1:14" ht="29.25" customHeight="1" x14ac:dyDescent="0.25">
      <c r="A65" s="67" t="s">
        <v>367</v>
      </c>
      <c r="B65" s="18" t="s">
        <v>368</v>
      </c>
      <c r="C65" s="19" t="s">
        <v>369</v>
      </c>
      <c r="D65" s="19" t="s">
        <v>239</v>
      </c>
      <c r="E65" s="19" t="s">
        <v>370</v>
      </c>
      <c r="F65" s="19" t="s">
        <v>352</v>
      </c>
      <c r="G65" s="18" t="s">
        <v>353</v>
      </c>
      <c r="H65" s="18">
        <v>0.1</v>
      </c>
      <c r="I65" s="19">
        <v>0.7</v>
      </c>
      <c r="J65" s="19">
        <v>0.05</v>
      </c>
      <c r="K65" s="19"/>
      <c r="L65" s="19"/>
      <c r="M65" s="19"/>
      <c r="N65" s="59" t="s">
        <v>356</v>
      </c>
    </row>
    <row r="66" spans="1:14" ht="29.25" customHeight="1" x14ac:dyDescent="0.25">
      <c r="A66" s="67" t="s">
        <v>372</v>
      </c>
      <c r="B66" s="18" t="s">
        <v>373</v>
      </c>
      <c r="C66" s="19" t="s">
        <v>374</v>
      </c>
      <c r="D66" s="19" t="s">
        <v>239</v>
      </c>
      <c r="E66" s="19" t="s">
        <v>375</v>
      </c>
      <c r="F66" s="19" t="s">
        <v>352</v>
      </c>
      <c r="G66" s="18" t="s">
        <v>353</v>
      </c>
      <c r="H66" s="18">
        <v>1</v>
      </c>
      <c r="I66" s="19">
        <v>1</v>
      </c>
      <c r="J66" s="19">
        <v>0.05</v>
      </c>
      <c r="K66" s="19"/>
      <c r="L66" s="19"/>
      <c r="M66" s="19"/>
      <c r="N66" s="59" t="s">
        <v>356</v>
      </c>
    </row>
    <row r="67" spans="1:14" ht="29.25" customHeight="1" x14ac:dyDescent="0.25">
      <c r="A67" s="67" t="s">
        <v>377</v>
      </c>
      <c r="B67" s="18" t="s">
        <v>378</v>
      </c>
      <c r="C67" s="19">
        <v>3030</v>
      </c>
      <c r="D67" s="19" t="s">
        <v>239</v>
      </c>
      <c r="E67" s="19" t="s">
        <v>379</v>
      </c>
      <c r="F67" s="18" t="s">
        <v>61</v>
      </c>
      <c r="G67" s="18" t="s">
        <v>194</v>
      </c>
      <c r="H67" s="18">
        <v>0.1</v>
      </c>
      <c r="I67" s="19" t="s">
        <v>380</v>
      </c>
      <c r="J67" s="19">
        <v>0.05</v>
      </c>
      <c r="K67" s="19"/>
      <c r="L67" s="19"/>
      <c r="M67" s="19"/>
      <c r="N67" s="59"/>
    </row>
    <row r="68" spans="1:14" ht="29.25" customHeight="1" x14ac:dyDescent="0.25">
      <c r="A68" s="67" t="s">
        <v>382</v>
      </c>
      <c r="B68" s="18" t="s">
        <v>383</v>
      </c>
      <c r="C68" s="19" t="s">
        <v>384</v>
      </c>
      <c r="D68" s="19" t="s">
        <v>385</v>
      </c>
      <c r="E68" s="19" t="s">
        <v>386</v>
      </c>
      <c r="F68" s="18" t="s">
        <v>179</v>
      </c>
      <c r="G68" s="18" t="s">
        <v>387</v>
      </c>
      <c r="H68" s="18">
        <v>0.01</v>
      </c>
      <c r="I68" s="19" t="s">
        <v>388</v>
      </c>
      <c r="J68" s="19">
        <v>0.02</v>
      </c>
      <c r="K68" s="19"/>
      <c r="L68" s="19"/>
      <c r="M68" s="19"/>
      <c r="N68" s="59"/>
    </row>
    <row r="69" spans="1:14" ht="29.25" customHeight="1" x14ac:dyDescent="0.25">
      <c r="A69" s="67" t="s">
        <v>340</v>
      </c>
      <c r="B69" s="18" t="s">
        <v>389</v>
      </c>
      <c r="C69" s="19" t="s">
        <v>99</v>
      </c>
      <c r="D69" s="19" t="s">
        <v>342</v>
      </c>
      <c r="E69" s="19" t="s">
        <v>343</v>
      </c>
      <c r="F69" s="18" t="s">
        <v>179</v>
      </c>
      <c r="G69" s="18" t="s">
        <v>387</v>
      </c>
      <c r="H69" s="18" t="s">
        <v>325</v>
      </c>
      <c r="I69" s="19">
        <v>20</v>
      </c>
      <c r="J69" s="19">
        <v>0.05</v>
      </c>
      <c r="K69" s="19"/>
      <c r="L69" s="19"/>
      <c r="M69" s="19"/>
      <c r="N69" s="59" t="s">
        <v>327</v>
      </c>
    </row>
    <row r="70" spans="1:14" ht="29.25" customHeight="1" x14ac:dyDescent="0.25">
      <c r="A70" s="67" t="s">
        <v>390</v>
      </c>
      <c r="B70" s="18" t="s">
        <v>391</v>
      </c>
      <c r="C70" s="19" t="s">
        <v>99</v>
      </c>
      <c r="D70" s="19" t="s">
        <v>342</v>
      </c>
      <c r="E70" s="19" t="s">
        <v>343</v>
      </c>
      <c r="F70" s="18" t="s">
        <v>179</v>
      </c>
      <c r="G70" s="18" t="s">
        <v>387</v>
      </c>
      <c r="H70" s="18" t="s">
        <v>325</v>
      </c>
      <c r="I70" s="19" t="s">
        <v>392</v>
      </c>
      <c r="J70" s="19">
        <v>0.05</v>
      </c>
      <c r="K70" s="19"/>
      <c r="L70" s="19"/>
      <c r="M70" s="19"/>
      <c r="N70" s="59" t="s">
        <v>327</v>
      </c>
    </row>
    <row r="71" spans="1:14" ht="29.25" customHeight="1" x14ac:dyDescent="0.25">
      <c r="A71" s="67" t="s">
        <v>393</v>
      </c>
      <c r="B71" s="18" t="s">
        <v>394</v>
      </c>
      <c r="C71" s="19" t="s">
        <v>99</v>
      </c>
      <c r="D71" s="19" t="s">
        <v>342</v>
      </c>
      <c r="E71" s="19" t="s">
        <v>343</v>
      </c>
      <c r="F71" s="18" t="s">
        <v>179</v>
      </c>
      <c r="G71" s="18" t="s">
        <v>387</v>
      </c>
      <c r="H71" s="18" t="s">
        <v>325</v>
      </c>
      <c r="I71" s="19" t="s">
        <v>395</v>
      </c>
      <c r="J71" s="19">
        <v>0.05</v>
      </c>
      <c r="K71" s="19"/>
      <c r="L71" s="19"/>
      <c r="M71" s="19"/>
      <c r="N71" s="59" t="s">
        <v>327</v>
      </c>
    </row>
    <row r="72" spans="1:14" ht="29.25" customHeight="1" x14ac:dyDescent="0.25">
      <c r="A72" s="67" t="s">
        <v>393</v>
      </c>
      <c r="B72" s="18" t="s">
        <v>396</v>
      </c>
      <c r="C72" s="19" t="s">
        <v>99</v>
      </c>
      <c r="D72" s="19" t="s">
        <v>342</v>
      </c>
      <c r="E72" s="19" t="s">
        <v>343</v>
      </c>
      <c r="F72" s="18" t="s">
        <v>179</v>
      </c>
      <c r="G72" s="18" t="s">
        <v>387</v>
      </c>
      <c r="H72" s="18" t="s">
        <v>325</v>
      </c>
      <c r="I72" s="19" t="s">
        <v>395</v>
      </c>
      <c r="J72" s="19">
        <v>0.05</v>
      </c>
      <c r="K72" s="19"/>
      <c r="L72" s="19"/>
      <c r="M72" s="19"/>
      <c r="N72" s="59" t="s">
        <v>327</v>
      </c>
    </row>
    <row r="73" spans="1:14" ht="29.25" customHeight="1" x14ac:dyDescent="0.25">
      <c r="A73" s="67" t="s">
        <v>393</v>
      </c>
      <c r="B73" s="18" t="s">
        <v>397</v>
      </c>
      <c r="C73" s="19" t="s">
        <v>99</v>
      </c>
      <c r="D73" s="19" t="s">
        <v>342</v>
      </c>
      <c r="E73" s="19" t="s">
        <v>343</v>
      </c>
      <c r="F73" s="18" t="s">
        <v>179</v>
      </c>
      <c r="G73" s="18" t="s">
        <v>387</v>
      </c>
      <c r="H73" s="18" t="s">
        <v>325</v>
      </c>
      <c r="I73" s="19" t="s">
        <v>395</v>
      </c>
      <c r="J73" s="19">
        <v>0.05</v>
      </c>
      <c r="K73" s="19"/>
      <c r="L73" s="19"/>
      <c r="M73" s="19"/>
      <c r="N73" s="59" t="s">
        <v>327</v>
      </c>
    </row>
    <row r="74" spans="1:14" ht="29.25" customHeight="1" x14ac:dyDescent="0.25">
      <c r="A74" s="67" t="s">
        <v>393</v>
      </c>
      <c r="B74" s="18" t="s">
        <v>398</v>
      </c>
      <c r="C74" s="19" t="s">
        <v>99</v>
      </c>
      <c r="D74" s="19" t="s">
        <v>342</v>
      </c>
      <c r="E74" s="19" t="s">
        <v>343</v>
      </c>
      <c r="F74" s="18" t="s">
        <v>179</v>
      </c>
      <c r="G74" s="18" t="s">
        <v>387</v>
      </c>
      <c r="H74" s="18" t="s">
        <v>325</v>
      </c>
      <c r="I74" s="19" t="s">
        <v>395</v>
      </c>
      <c r="J74" s="19">
        <v>0.05</v>
      </c>
      <c r="K74" s="19"/>
      <c r="L74" s="19"/>
      <c r="M74" s="19"/>
      <c r="N74" s="59" t="s">
        <v>327</v>
      </c>
    </row>
    <row r="75" spans="1:14" ht="29.25" customHeight="1" x14ac:dyDescent="0.25">
      <c r="A75" s="67" t="s">
        <v>399</v>
      </c>
      <c r="B75" s="18" t="s">
        <v>400</v>
      </c>
      <c r="C75" s="19" t="s">
        <v>99</v>
      </c>
      <c r="D75" s="19" t="s">
        <v>342</v>
      </c>
      <c r="E75" s="19" t="s">
        <v>343</v>
      </c>
      <c r="F75" s="18" t="s">
        <v>179</v>
      </c>
      <c r="G75" s="18" t="s">
        <v>387</v>
      </c>
      <c r="H75" s="18" t="s">
        <v>325</v>
      </c>
      <c r="I75" s="19" t="s">
        <v>401</v>
      </c>
      <c r="J75" s="19">
        <v>0.05</v>
      </c>
      <c r="K75" s="19"/>
      <c r="L75" s="19"/>
      <c r="M75" s="19"/>
      <c r="N75" s="59" t="s">
        <v>327</v>
      </c>
    </row>
    <row r="76" spans="1:14" ht="29.25" customHeight="1" x14ac:dyDescent="0.25">
      <c r="A76" s="67" t="s">
        <v>402</v>
      </c>
      <c r="B76" s="18" t="s">
        <v>403</v>
      </c>
      <c r="C76" s="19" t="s">
        <v>99</v>
      </c>
      <c r="D76" s="19" t="s">
        <v>342</v>
      </c>
      <c r="E76" s="19" t="s">
        <v>404</v>
      </c>
      <c r="F76" s="18" t="s">
        <v>179</v>
      </c>
      <c r="G76" s="18" t="s">
        <v>387</v>
      </c>
      <c r="H76" s="18" t="s">
        <v>325</v>
      </c>
      <c r="I76" s="19" t="s">
        <v>405</v>
      </c>
      <c r="J76" s="19">
        <v>0.05</v>
      </c>
      <c r="K76" s="19"/>
      <c r="L76" s="19"/>
      <c r="M76" s="19"/>
      <c r="N76" s="59" t="s">
        <v>327</v>
      </c>
    </row>
    <row r="77" spans="1:14" ht="29.25" customHeight="1" x14ac:dyDescent="0.25">
      <c r="A77" s="67" t="s">
        <v>406</v>
      </c>
      <c r="B77" s="18" t="s">
        <v>407</v>
      </c>
      <c r="C77" s="19" t="s">
        <v>99</v>
      </c>
      <c r="D77" s="19" t="s">
        <v>342</v>
      </c>
      <c r="E77" s="19" t="s">
        <v>343</v>
      </c>
      <c r="F77" s="18" t="s">
        <v>179</v>
      </c>
      <c r="G77" s="18" t="s">
        <v>180</v>
      </c>
      <c r="H77" s="18" t="s">
        <v>325</v>
      </c>
      <c r="I77" s="19">
        <v>380</v>
      </c>
      <c r="J77" s="19">
        <v>0.05</v>
      </c>
      <c r="K77" s="19"/>
      <c r="L77" s="19"/>
      <c r="M77" s="19"/>
      <c r="N77" s="59" t="s">
        <v>327</v>
      </c>
    </row>
    <row r="78" spans="1:14" ht="29.25" customHeight="1" x14ac:dyDescent="0.25">
      <c r="A78" s="67" t="s">
        <v>408</v>
      </c>
      <c r="B78" s="18" t="s">
        <v>409</v>
      </c>
      <c r="C78" s="19" t="s">
        <v>99</v>
      </c>
      <c r="D78" s="19" t="s">
        <v>342</v>
      </c>
      <c r="E78" s="19" t="s">
        <v>343</v>
      </c>
      <c r="F78" s="18" t="s">
        <v>179</v>
      </c>
      <c r="G78" s="18" t="s">
        <v>180</v>
      </c>
      <c r="H78" s="18" t="s">
        <v>325</v>
      </c>
      <c r="I78" s="19">
        <v>1440</v>
      </c>
      <c r="J78" s="19">
        <v>0.05</v>
      </c>
      <c r="K78" s="19"/>
      <c r="L78" s="19"/>
      <c r="M78" s="19"/>
      <c r="N78" s="59" t="s">
        <v>327</v>
      </c>
    </row>
    <row r="79" spans="1:14" ht="29.25" customHeight="1" x14ac:dyDescent="0.25">
      <c r="A79" s="67" t="s">
        <v>410</v>
      </c>
      <c r="B79" s="18" t="s">
        <v>411</v>
      </c>
      <c r="C79" s="19" t="s">
        <v>99</v>
      </c>
      <c r="D79" s="19" t="s">
        <v>342</v>
      </c>
      <c r="E79" s="19" t="s">
        <v>343</v>
      </c>
      <c r="F79" s="18" t="s">
        <v>179</v>
      </c>
      <c r="G79" s="18" t="s">
        <v>180</v>
      </c>
      <c r="H79" s="18" t="s">
        <v>325</v>
      </c>
      <c r="I79" s="19">
        <v>4700</v>
      </c>
      <c r="J79" s="19">
        <v>0.05</v>
      </c>
      <c r="K79" s="19"/>
      <c r="L79" s="19"/>
      <c r="M79" s="19"/>
      <c r="N79" s="59" t="s">
        <v>327</v>
      </c>
    </row>
    <row r="80" spans="1:14" ht="29.25" customHeight="1" x14ac:dyDescent="0.25">
      <c r="A80" s="67" t="s">
        <v>412</v>
      </c>
      <c r="B80" s="18" t="s">
        <v>413</v>
      </c>
      <c r="C80" s="19" t="s">
        <v>99</v>
      </c>
      <c r="D80" s="19" t="s">
        <v>342</v>
      </c>
      <c r="E80" s="19" t="s">
        <v>343</v>
      </c>
      <c r="F80" s="18" t="s">
        <v>179</v>
      </c>
      <c r="G80" s="18" t="s">
        <v>180</v>
      </c>
      <c r="H80" s="18" t="s">
        <v>325</v>
      </c>
      <c r="I80" s="19" t="s">
        <v>414</v>
      </c>
      <c r="J80" s="19">
        <v>0.05</v>
      </c>
      <c r="K80" s="19"/>
      <c r="L80" s="19"/>
      <c r="M80" s="19"/>
      <c r="N80" s="59" t="s">
        <v>327</v>
      </c>
    </row>
    <row r="81" spans="1:14" ht="29.25" customHeight="1" x14ac:dyDescent="0.25">
      <c r="A81" s="67" t="s">
        <v>415</v>
      </c>
      <c r="B81" s="18" t="s">
        <v>416</v>
      </c>
      <c r="C81" s="19" t="s">
        <v>99</v>
      </c>
      <c r="D81" s="19" t="s">
        <v>342</v>
      </c>
      <c r="E81" s="19" t="s">
        <v>343</v>
      </c>
      <c r="F81" s="18" t="s">
        <v>179</v>
      </c>
      <c r="G81" s="18" t="s">
        <v>180</v>
      </c>
      <c r="H81" s="18" t="s">
        <v>325</v>
      </c>
      <c r="I81" s="19">
        <v>130</v>
      </c>
      <c r="J81" s="19">
        <v>0.05</v>
      </c>
      <c r="K81" s="19"/>
      <c r="L81" s="19"/>
      <c r="M81" s="19"/>
      <c r="N81" s="59" t="s">
        <v>327</v>
      </c>
    </row>
    <row r="82" spans="1:14" ht="29.25" customHeight="1" x14ac:dyDescent="0.25">
      <c r="A82" s="67" t="s">
        <v>417</v>
      </c>
      <c r="B82" s="18" t="s">
        <v>418</v>
      </c>
      <c r="C82" s="19" t="s">
        <v>99</v>
      </c>
      <c r="D82" s="19" t="s">
        <v>342</v>
      </c>
      <c r="E82" s="19" t="s">
        <v>343</v>
      </c>
      <c r="F82" s="18" t="s">
        <v>179</v>
      </c>
      <c r="G82" s="18" t="s">
        <v>180</v>
      </c>
      <c r="H82" s="18" t="s">
        <v>325</v>
      </c>
      <c r="I82" s="19">
        <v>30</v>
      </c>
      <c r="J82" s="19">
        <v>0.05</v>
      </c>
      <c r="K82" s="19"/>
      <c r="L82" s="19"/>
      <c r="M82" s="19"/>
      <c r="N82" s="59" t="s">
        <v>327</v>
      </c>
    </row>
    <row r="83" spans="1:14" ht="29.25" customHeight="1" x14ac:dyDescent="0.25">
      <c r="A83" s="67" t="s">
        <v>419</v>
      </c>
      <c r="B83" s="18" t="s">
        <v>420</v>
      </c>
      <c r="C83" s="19" t="s">
        <v>421</v>
      </c>
      <c r="D83" s="19" t="s">
        <v>239</v>
      </c>
      <c r="E83" s="19" t="s">
        <v>422</v>
      </c>
      <c r="F83" s="18" t="s">
        <v>423</v>
      </c>
      <c r="G83" s="18" t="s">
        <v>424</v>
      </c>
      <c r="H83" s="18">
        <v>1</v>
      </c>
      <c r="I83" s="19" t="s">
        <v>425</v>
      </c>
      <c r="J83" s="19">
        <v>0.02</v>
      </c>
      <c r="K83" s="19"/>
      <c r="L83" s="19"/>
      <c r="M83" s="19"/>
      <c r="N83" s="59"/>
    </row>
    <row r="84" spans="1:14" ht="29.25" customHeight="1" x14ac:dyDescent="0.25">
      <c r="A84" s="67" t="s">
        <v>427</v>
      </c>
      <c r="B84" s="18" t="s">
        <v>428</v>
      </c>
      <c r="C84" s="19">
        <v>69654</v>
      </c>
      <c r="D84" s="19" t="s">
        <v>39</v>
      </c>
      <c r="E84" s="19" t="s">
        <v>429</v>
      </c>
      <c r="F84" s="18" t="s">
        <v>28</v>
      </c>
      <c r="G84" s="18" t="s">
        <v>430</v>
      </c>
      <c r="H84" s="18" t="s">
        <v>325</v>
      </c>
      <c r="I84" s="19" t="s">
        <v>431</v>
      </c>
      <c r="J84" s="19">
        <v>0.76</v>
      </c>
      <c r="K84" s="19"/>
      <c r="L84" s="19"/>
      <c r="M84" s="19"/>
      <c r="N84" s="59"/>
    </row>
    <row r="85" spans="1:14" ht="29.25" customHeight="1" x14ac:dyDescent="0.25">
      <c r="A85" s="67" t="s">
        <v>433</v>
      </c>
      <c r="B85" s="18" t="s">
        <v>434</v>
      </c>
      <c r="C85" s="19" t="s">
        <v>99</v>
      </c>
      <c r="D85" s="19" t="s">
        <v>239</v>
      </c>
      <c r="E85" s="19" t="s">
        <v>300</v>
      </c>
      <c r="F85" s="18" t="s">
        <v>435</v>
      </c>
      <c r="G85" s="18" t="s">
        <v>436</v>
      </c>
      <c r="H85" s="18">
        <v>1</v>
      </c>
      <c r="I85" s="19" t="s">
        <v>437</v>
      </c>
      <c r="J85" s="19" t="s">
        <v>300</v>
      </c>
      <c r="K85" s="19"/>
      <c r="L85" s="19"/>
      <c r="M85" s="19"/>
      <c r="N85" s="59" t="s">
        <v>438</v>
      </c>
    </row>
    <row r="86" spans="1:14" ht="33.75" customHeight="1" x14ac:dyDescent="0.25">
      <c r="A86" s="55" t="s">
        <v>439</v>
      </c>
      <c r="B86" s="18" t="s">
        <v>440</v>
      </c>
      <c r="C86" s="19" t="s">
        <v>441</v>
      </c>
      <c r="D86" s="19" t="s">
        <v>442</v>
      </c>
      <c r="E86" s="19" t="s">
        <v>443</v>
      </c>
      <c r="F86" s="18" t="s">
        <v>271</v>
      </c>
      <c r="G86" s="18" t="s">
        <v>272</v>
      </c>
      <c r="H86" s="18">
        <v>1</v>
      </c>
      <c r="I86" s="19" t="s">
        <v>444</v>
      </c>
      <c r="J86" s="19">
        <v>1.6E-2</v>
      </c>
      <c r="K86" s="19"/>
      <c r="L86" s="19"/>
      <c r="M86" s="19"/>
      <c r="N86" s="59" t="s">
        <v>445</v>
      </c>
    </row>
    <row r="87" spans="1:14" ht="32.25" customHeight="1" x14ac:dyDescent="0.25">
      <c r="A87" s="67" t="s">
        <v>439</v>
      </c>
      <c r="B87" s="18" t="s">
        <v>446</v>
      </c>
      <c r="C87" s="19" t="s">
        <v>441</v>
      </c>
      <c r="D87" s="19" t="s">
        <v>442</v>
      </c>
      <c r="E87" s="19" t="s">
        <v>443</v>
      </c>
      <c r="F87" s="18" t="s">
        <v>271</v>
      </c>
      <c r="G87" s="18" t="s">
        <v>272</v>
      </c>
      <c r="H87" s="18">
        <v>1</v>
      </c>
      <c r="I87" s="19" t="s">
        <v>444</v>
      </c>
      <c r="J87" s="19" t="s">
        <v>447</v>
      </c>
      <c r="K87" s="19"/>
      <c r="L87" s="19"/>
      <c r="M87" s="19"/>
      <c r="N87" s="59" t="s">
        <v>448</v>
      </c>
    </row>
    <row r="88" spans="1:14" ht="29.25" customHeight="1" x14ac:dyDescent="0.25">
      <c r="A88" s="67" t="s">
        <v>449</v>
      </c>
      <c r="B88" s="18" t="s">
        <v>450</v>
      </c>
      <c r="C88" s="19" t="s">
        <v>451</v>
      </c>
      <c r="D88" s="19" t="s">
        <v>452</v>
      </c>
      <c r="E88" s="19" t="s">
        <v>300</v>
      </c>
      <c r="F88" s="18" t="s">
        <v>134</v>
      </c>
      <c r="G88" s="18" t="s">
        <v>135</v>
      </c>
      <c r="H88" s="18">
        <v>0.1</v>
      </c>
      <c r="I88" s="19" t="s">
        <v>453</v>
      </c>
      <c r="J88" s="19">
        <v>0.01</v>
      </c>
      <c r="K88" s="19"/>
      <c r="L88" s="19"/>
      <c r="M88" s="19"/>
      <c r="N88" s="59"/>
    </row>
    <row r="89" spans="1:14" ht="36.75" customHeight="1" x14ac:dyDescent="0.25">
      <c r="A89" s="71" t="s">
        <v>454</v>
      </c>
      <c r="B89" s="18" t="s">
        <v>455</v>
      </c>
      <c r="C89" s="19" t="s">
        <v>456</v>
      </c>
      <c r="D89" s="19" t="s">
        <v>148</v>
      </c>
      <c r="E89" s="19" t="s">
        <v>457</v>
      </c>
      <c r="F89" s="18" t="s">
        <v>80</v>
      </c>
      <c r="G89" s="18" t="s">
        <v>81</v>
      </c>
      <c r="H89" s="18">
        <v>0.1</v>
      </c>
      <c r="I89" s="19" t="s">
        <v>458</v>
      </c>
      <c r="J89" s="19">
        <v>0.01</v>
      </c>
      <c r="K89" s="19"/>
      <c r="L89" s="19"/>
      <c r="M89" s="19"/>
      <c r="N89" s="59" t="s">
        <v>459</v>
      </c>
    </row>
    <row r="90" spans="1:14" ht="26.25" customHeight="1" x14ac:dyDescent="0.25">
      <c r="A90" s="67" t="s">
        <v>460</v>
      </c>
      <c r="B90" s="18" t="s">
        <v>461</v>
      </c>
      <c r="C90" s="19">
        <v>1090186991</v>
      </c>
      <c r="D90" s="19" t="s">
        <v>148</v>
      </c>
      <c r="E90" s="19" t="s">
        <v>462</v>
      </c>
      <c r="F90" s="18" t="s">
        <v>463</v>
      </c>
      <c r="G90" s="18" t="s">
        <v>464</v>
      </c>
      <c r="H90" s="18">
        <v>0.1</v>
      </c>
      <c r="I90" s="19" t="s">
        <v>465</v>
      </c>
      <c r="J90" s="19">
        <v>0.02</v>
      </c>
      <c r="K90" s="19"/>
      <c r="L90" s="19"/>
      <c r="M90" s="16"/>
      <c r="N90" s="73" t="s">
        <v>155</v>
      </c>
    </row>
    <row r="91" spans="1:14" ht="29.25" customHeight="1" x14ac:dyDescent="0.25">
      <c r="A91" s="67" t="s">
        <v>467</v>
      </c>
      <c r="B91" s="18" t="s">
        <v>468</v>
      </c>
      <c r="C91" s="19">
        <v>133</v>
      </c>
      <c r="D91" s="19" t="s">
        <v>39</v>
      </c>
      <c r="E91" s="19" t="s">
        <v>469</v>
      </c>
      <c r="F91" s="18" t="s">
        <v>80</v>
      </c>
      <c r="G91" s="18" t="s">
        <v>81</v>
      </c>
      <c r="H91" s="18">
        <v>0.1</v>
      </c>
      <c r="I91" s="19" t="s">
        <v>470</v>
      </c>
      <c r="J91" s="19">
        <v>0.02</v>
      </c>
      <c r="K91" s="19"/>
      <c r="L91" s="19"/>
      <c r="M91" s="19"/>
      <c r="N91" s="59" t="s">
        <v>155</v>
      </c>
    </row>
    <row r="92" spans="1:14" ht="29.25" customHeight="1" x14ac:dyDescent="0.25">
      <c r="A92" s="67" t="s">
        <v>471</v>
      </c>
      <c r="B92" s="18" t="s">
        <v>472</v>
      </c>
      <c r="C92" s="19" t="s">
        <v>99</v>
      </c>
      <c r="D92" s="19" t="s">
        <v>342</v>
      </c>
      <c r="E92" s="19" t="s">
        <v>404</v>
      </c>
      <c r="F92" s="18" t="s">
        <v>179</v>
      </c>
      <c r="G92" s="18" t="s">
        <v>387</v>
      </c>
      <c r="H92" s="18" t="s">
        <v>325</v>
      </c>
      <c r="I92" s="19">
        <v>2</v>
      </c>
      <c r="J92" s="19">
        <v>0.05</v>
      </c>
      <c r="K92" s="19"/>
      <c r="L92" s="19"/>
      <c r="M92" s="19"/>
      <c r="N92" s="59" t="s">
        <v>327</v>
      </c>
    </row>
    <row r="93" spans="1:14" ht="29.25" customHeight="1" x14ac:dyDescent="0.25">
      <c r="A93" s="67" t="s">
        <v>473</v>
      </c>
      <c r="B93" s="18" t="s">
        <v>474</v>
      </c>
      <c r="C93" s="19" t="s">
        <v>99</v>
      </c>
      <c r="D93" s="19" t="s">
        <v>342</v>
      </c>
      <c r="E93" s="19" t="s">
        <v>475</v>
      </c>
      <c r="F93" s="18" t="s">
        <v>179</v>
      </c>
      <c r="G93" s="18" t="s">
        <v>180</v>
      </c>
      <c r="H93" s="18" t="s">
        <v>325</v>
      </c>
      <c r="I93" s="19">
        <v>130</v>
      </c>
      <c r="J93" s="19">
        <v>0.05</v>
      </c>
      <c r="K93" s="19"/>
      <c r="L93" s="19"/>
      <c r="M93" s="19"/>
      <c r="N93" s="59" t="s">
        <v>327</v>
      </c>
    </row>
    <row r="94" spans="1:14" ht="29.25" customHeight="1" x14ac:dyDescent="0.25">
      <c r="A94" s="67" t="s">
        <v>476</v>
      </c>
      <c r="B94" s="18" t="s">
        <v>477</v>
      </c>
      <c r="C94" s="19" t="s">
        <v>99</v>
      </c>
      <c r="D94" s="19" t="s">
        <v>342</v>
      </c>
      <c r="E94" s="19" t="s">
        <v>343</v>
      </c>
      <c r="F94" s="18" t="s">
        <v>179</v>
      </c>
      <c r="G94" s="18" t="s">
        <v>180</v>
      </c>
      <c r="H94" s="18" t="s">
        <v>325</v>
      </c>
      <c r="I94" s="19">
        <v>450</v>
      </c>
      <c r="J94" s="19">
        <v>0.05</v>
      </c>
      <c r="K94" s="19"/>
      <c r="L94" s="19"/>
      <c r="M94" s="19"/>
      <c r="N94" s="59" t="s">
        <v>327</v>
      </c>
    </row>
    <row r="95" spans="1:14" ht="29.25" customHeight="1" x14ac:dyDescent="0.25">
      <c r="A95" s="70" t="s">
        <v>478</v>
      </c>
      <c r="B95" s="18" t="s">
        <v>479</v>
      </c>
      <c r="C95" s="19">
        <v>171129858</v>
      </c>
      <c r="D95" s="19" t="s">
        <v>480</v>
      </c>
      <c r="E95" s="19" t="s">
        <v>481</v>
      </c>
      <c r="F95" s="19" t="s">
        <v>482</v>
      </c>
      <c r="G95" s="18" t="s">
        <v>200</v>
      </c>
      <c r="H95" s="18">
        <v>0.1</v>
      </c>
      <c r="I95" s="19" t="s">
        <v>483</v>
      </c>
      <c r="J95" s="19">
        <v>0.03</v>
      </c>
      <c r="K95" s="19"/>
      <c r="L95" s="19"/>
      <c r="M95" s="19"/>
      <c r="N95" s="59" t="s">
        <v>198</v>
      </c>
    </row>
    <row r="96" spans="1:14" ht="29.25" customHeight="1" x14ac:dyDescent="0.25">
      <c r="A96" s="67" t="s">
        <v>486</v>
      </c>
      <c r="B96" s="18" t="s">
        <v>487</v>
      </c>
      <c r="C96" s="19">
        <v>37277583</v>
      </c>
      <c r="D96" s="19" t="s">
        <v>488</v>
      </c>
      <c r="E96" s="19" t="s">
        <v>489</v>
      </c>
      <c r="F96" s="19" t="s">
        <v>106</v>
      </c>
      <c r="G96" s="18" t="s">
        <v>490</v>
      </c>
      <c r="H96" s="18">
        <v>0.1</v>
      </c>
      <c r="I96" s="19" t="s">
        <v>491</v>
      </c>
      <c r="J96" s="19">
        <v>0.03</v>
      </c>
      <c r="K96" s="19"/>
      <c r="L96" s="19"/>
      <c r="M96" s="19"/>
      <c r="N96" s="59"/>
    </row>
    <row r="97" spans="1:14" ht="29.25" customHeight="1" x14ac:dyDescent="0.25">
      <c r="A97" s="67" t="s">
        <v>486</v>
      </c>
      <c r="B97" s="18" t="s">
        <v>487</v>
      </c>
      <c r="C97" s="19">
        <v>37277583</v>
      </c>
      <c r="D97" s="19" t="s">
        <v>488</v>
      </c>
      <c r="E97" s="19" t="s">
        <v>489</v>
      </c>
      <c r="F97" s="18" t="s">
        <v>80</v>
      </c>
      <c r="G97" s="18" t="s">
        <v>81</v>
      </c>
      <c r="H97" s="18">
        <v>0.1</v>
      </c>
      <c r="I97" s="19" t="s">
        <v>492</v>
      </c>
      <c r="J97" s="19">
        <v>0.01</v>
      </c>
      <c r="K97" s="19"/>
      <c r="L97" s="19"/>
      <c r="M97" s="19"/>
      <c r="N97" s="59"/>
    </row>
    <row r="98" spans="1:14" ht="29.25" customHeight="1" x14ac:dyDescent="0.25">
      <c r="A98" s="67" t="s">
        <v>486</v>
      </c>
      <c r="B98" s="18" t="s">
        <v>494</v>
      </c>
      <c r="C98" s="19">
        <v>37297410</v>
      </c>
      <c r="D98" s="19" t="s">
        <v>488</v>
      </c>
      <c r="E98" s="19" t="s">
        <v>489</v>
      </c>
      <c r="F98" s="19" t="s">
        <v>106</v>
      </c>
      <c r="G98" s="18" t="s">
        <v>490</v>
      </c>
      <c r="H98" s="18">
        <v>0.1</v>
      </c>
      <c r="I98" s="19" t="s">
        <v>491</v>
      </c>
      <c r="J98" s="19">
        <v>0.1</v>
      </c>
      <c r="K98" s="19"/>
      <c r="L98" s="19"/>
      <c r="M98" s="19"/>
      <c r="N98" s="59"/>
    </row>
    <row r="99" spans="1:14" ht="29.25" customHeight="1" x14ac:dyDescent="0.25">
      <c r="A99" s="67" t="s">
        <v>486</v>
      </c>
      <c r="B99" s="18" t="s">
        <v>494</v>
      </c>
      <c r="C99" s="19">
        <v>37297410</v>
      </c>
      <c r="D99" s="19" t="s">
        <v>488</v>
      </c>
      <c r="E99" s="19" t="s">
        <v>489</v>
      </c>
      <c r="F99" s="18" t="s">
        <v>80</v>
      </c>
      <c r="G99" s="18" t="s">
        <v>81</v>
      </c>
      <c r="H99" s="18">
        <v>0.1</v>
      </c>
      <c r="I99" s="19" t="s">
        <v>492</v>
      </c>
      <c r="J99" s="19">
        <v>0.01</v>
      </c>
      <c r="K99" s="19"/>
      <c r="L99" s="19"/>
      <c r="M99" s="19"/>
      <c r="N99" s="59"/>
    </row>
    <row r="100" spans="1:14" ht="29.25" customHeight="1" x14ac:dyDescent="0.25">
      <c r="A100" s="67" t="s">
        <v>497</v>
      </c>
      <c r="B100" s="18" t="s">
        <v>498</v>
      </c>
      <c r="C100" s="19" t="s">
        <v>499</v>
      </c>
      <c r="D100" s="19" t="s">
        <v>500</v>
      </c>
      <c r="E100" s="19">
        <v>2</v>
      </c>
      <c r="F100" s="18" t="s">
        <v>28</v>
      </c>
      <c r="G100" s="18" t="s">
        <v>53</v>
      </c>
      <c r="H100" s="18">
        <v>1E-3</v>
      </c>
      <c r="I100" s="19" t="s">
        <v>501</v>
      </c>
      <c r="J100" s="19">
        <v>1E-3</v>
      </c>
      <c r="K100" s="19"/>
      <c r="L100" s="19"/>
      <c r="M100" s="19"/>
      <c r="N100" s="59" t="s">
        <v>502</v>
      </c>
    </row>
    <row r="101" spans="1:14" ht="29.25" customHeight="1" x14ac:dyDescent="0.25">
      <c r="A101" s="67" t="s">
        <v>503</v>
      </c>
      <c r="B101" s="18" t="s">
        <v>504</v>
      </c>
      <c r="C101" s="19" t="s">
        <v>325</v>
      </c>
      <c r="D101" s="19" t="s">
        <v>505</v>
      </c>
      <c r="E101" s="19" t="s">
        <v>300</v>
      </c>
      <c r="F101" s="18" t="s">
        <v>506</v>
      </c>
      <c r="G101" s="18" t="s">
        <v>507</v>
      </c>
      <c r="H101" s="18">
        <v>0.01</v>
      </c>
      <c r="I101" s="19" t="s">
        <v>508</v>
      </c>
      <c r="J101" s="19">
        <v>0.01</v>
      </c>
      <c r="K101" s="19"/>
      <c r="L101" s="19"/>
      <c r="M101" s="19"/>
      <c r="N101" s="59" t="s">
        <v>502</v>
      </c>
    </row>
    <row r="102" spans="1:14" ht="29.25" customHeight="1" x14ac:dyDescent="0.25">
      <c r="A102" s="67" t="s">
        <v>509</v>
      </c>
      <c r="B102" s="18" t="s">
        <v>510</v>
      </c>
      <c r="C102" s="19" t="s">
        <v>511</v>
      </c>
      <c r="D102" s="19" t="s">
        <v>239</v>
      </c>
      <c r="E102" s="19" t="s">
        <v>512</v>
      </c>
      <c r="F102" s="18" t="s">
        <v>28</v>
      </c>
      <c r="G102" s="18" t="s">
        <v>53</v>
      </c>
      <c r="H102" s="18" t="s">
        <v>325</v>
      </c>
      <c r="I102" s="19" t="s">
        <v>512</v>
      </c>
      <c r="J102" s="19">
        <v>0.01</v>
      </c>
      <c r="K102" s="19"/>
      <c r="L102" s="19"/>
      <c r="M102" s="19"/>
      <c r="N102" s="59" t="s">
        <v>327</v>
      </c>
    </row>
    <row r="103" spans="1:14" ht="29.25" customHeight="1" x14ac:dyDescent="0.25">
      <c r="A103" s="67" t="s">
        <v>514</v>
      </c>
      <c r="B103" s="18" t="s">
        <v>515</v>
      </c>
      <c r="C103" s="19">
        <v>1456283</v>
      </c>
      <c r="D103" s="18" t="s">
        <v>516</v>
      </c>
      <c r="E103" s="19" t="s">
        <v>517</v>
      </c>
      <c r="F103" s="18" t="s">
        <v>518</v>
      </c>
      <c r="G103" s="18" t="s">
        <v>519</v>
      </c>
      <c r="H103" s="18">
        <v>1E-3</v>
      </c>
      <c r="I103" s="19" t="s">
        <v>520</v>
      </c>
      <c r="J103" s="19">
        <v>0.2</v>
      </c>
      <c r="K103" s="19"/>
      <c r="L103" s="19"/>
      <c r="M103" s="19"/>
      <c r="N103" s="59"/>
    </row>
    <row r="104" spans="1:14" ht="29.25" customHeight="1" x14ac:dyDescent="0.25">
      <c r="A104" s="67" t="s">
        <v>514</v>
      </c>
      <c r="B104" s="18" t="s">
        <v>522</v>
      </c>
      <c r="C104" s="19">
        <v>1456266</v>
      </c>
      <c r="D104" s="18" t="s">
        <v>516</v>
      </c>
      <c r="E104" s="19" t="s">
        <v>517</v>
      </c>
      <c r="F104" s="18" t="s">
        <v>518</v>
      </c>
      <c r="G104" s="18" t="s">
        <v>519</v>
      </c>
      <c r="H104" s="18">
        <v>1E-3</v>
      </c>
      <c r="I104" s="19" t="s">
        <v>520</v>
      </c>
      <c r="J104" s="19">
        <v>0.2</v>
      </c>
      <c r="K104" s="19"/>
      <c r="L104" s="19"/>
      <c r="M104" s="19"/>
      <c r="N104" s="59"/>
    </row>
    <row r="105" spans="1:14" ht="29.25" customHeight="1" x14ac:dyDescent="0.25">
      <c r="A105" s="67" t="s">
        <v>514</v>
      </c>
      <c r="B105" s="18" t="s">
        <v>523</v>
      </c>
      <c r="C105" s="19">
        <v>1456267</v>
      </c>
      <c r="D105" s="18" t="s">
        <v>516</v>
      </c>
      <c r="E105" s="19" t="s">
        <v>517</v>
      </c>
      <c r="F105" s="18" t="s">
        <v>518</v>
      </c>
      <c r="G105" s="18" t="s">
        <v>519</v>
      </c>
      <c r="H105" s="18">
        <v>1E-3</v>
      </c>
      <c r="I105" s="19" t="s">
        <v>520</v>
      </c>
      <c r="J105" s="19">
        <v>0.2</v>
      </c>
      <c r="K105" s="19"/>
      <c r="L105" s="19"/>
      <c r="M105" s="19"/>
      <c r="N105" s="59"/>
    </row>
    <row r="106" spans="1:14" ht="29.25" customHeight="1" x14ac:dyDescent="0.25">
      <c r="A106" s="67" t="s">
        <v>524</v>
      </c>
      <c r="B106" s="18" t="s">
        <v>525</v>
      </c>
      <c r="C106" s="19" t="s">
        <v>300</v>
      </c>
      <c r="D106" s="19" t="s">
        <v>300</v>
      </c>
      <c r="E106" s="19" t="s">
        <v>343</v>
      </c>
      <c r="F106" s="18" t="s">
        <v>179</v>
      </c>
      <c r="G106" s="18" t="s">
        <v>180</v>
      </c>
      <c r="H106" s="18">
        <v>1</v>
      </c>
      <c r="I106" s="19">
        <v>500</v>
      </c>
      <c r="J106" s="19" t="s">
        <v>526</v>
      </c>
      <c r="K106" s="19"/>
      <c r="L106" s="19"/>
      <c r="M106" s="19"/>
      <c r="N106" s="59" t="s">
        <v>327</v>
      </c>
    </row>
    <row r="107" spans="1:14" ht="29.25" customHeight="1" x14ac:dyDescent="0.25">
      <c r="A107" s="67" t="s">
        <v>527</v>
      </c>
      <c r="B107" s="18" t="s">
        <v>528</v>
      </c>
      <c r="C107" s="19" t="s">
        <v>325</v>
      </c>
      <c r="D107" s="19" t="s">
        <v>529</v>
      </c>
      <c r="E107" s="19" t="s">
        <v>300</v>
      </c>
      <c r="F107" s="18" t="s">
        <v>28</v>
      </c>
      <c r="G107" s="18" t="s">
        <v>53</v>
      </c>
      <c r="H107" s="18">
        <v>0.01</v>
      </c>
      <c r="I107" s="19" t="s">
        <v>530</v>
      </c>
      <c r="J107" s="19">
        <v>0.02</v>
      </c>
      <c r="K107" s="19"/>
      <c r="L107" s="19"/>
      <c r="M107" s="19"/>
      <c r="N107" s="59"/>
    </row>
    <row r="108" spans="1:14" ht="29.25" customHeight="1" x14ac:dyDescent="0.25">
      <c r="A108" s="67" t="s">
        <v>439</v>
      </c>
      <c r="B108" s="18" t="s">
        <v>531</v>
      </c>
      <c r="C108" s="19" t="s">
        <v>325</v>
      </c>
      <c r="D108" s="19" t="s">
        <v>442</v>
      </c>
      <c r="E108" s="19" t="s">
        <v>532</v>
      </c>
      <c r="F108" s="18" t="s">
        <v>271</v>
      </c>
      <c r="G108" s="18" t="s">
        <v>272</v>
      </c>
      <c r="H108" s="18">
        <v>1</v>
      </c>
      <c r="I108" s="19" t="s">
        <v>533</v>
      </c>
      <c r="J108" s="19">
        <v>2</v>
      </c>
      <c r="K108" s="19"/>
      <c r="L108" s="19"/>
      <c r="M108" s="19"/>
      <c r="N108" s="59" t="s">
        <v>448</v>
      </c>
    </row>
    <row r="109" spans="1:14" ht="29.25" customHeight="1" x14ac:dyDescent="0.25">
      <c r="A109" s="67" t="s">
        <v>439</v>
      </c>
      <c r="B109" s="18" t="s">
        <v>537</v>
      </c>
      <c r="C109" s="19" t="s">
        <v>325</v>
      </c>
      <c r="D109" s="19" t="s">
        <v>442</v>
      </c>
      <c r="E109" s="19" t="s">
        <v>538</v>
      </c>
      <c r="F109" s="18" t="s">
        <v>271</v>
      </c>
      <c r="G109" s="18" t="s">
        <v>272</v>
      </c>
      <c r="H109" s="18">
        <v>1</v>
      </c>
      <c r="I109" s="19" t="s">
        <v>533</v>
      </c>
      <c r="J109" s="19">
        <v>1.1000000000000001</v>
      </c>
      <c r="K109" s="19"/>
      <c r="L109" s="19"/>
      <c r="M109" s="19"/>
      <c r="N109" s="59" t="s">
        <v>448</v>
      </c>
    </row>
    <row r="110" spans="1:14" ht="29.25" customHeight="1" x14ac:dyDescent="0.25">
      <c r="A110" s="67" t="s">
        <v>439</v>
      </c>
      <c r="B110" s="18" t="s">
        <v>539</v>
      </c>
      <c r="C110" s="19" t="s">
        <v>325</v>
      </c>
      <c r="D110" s="19" t="s">
        <v>442</v>
      </c>
      <c r="E110" s="19" t="s">
        <v>538</v>
      </c>
      <c r="F110" s="18" t="s">
        <v>271</v>
      </c>
      <c r="G110" s="18" t="s">
        <v>272</v>
      </c>
      <c r="H110" s="18">
        <v>1</v>
      </c>
      <c r="I110" s="19" t="s">
        <v>533</v>
      </c>
      <c r="J110" s="19">
        <v>1.8</v>
      </c>
      <c r="K110" s="19"/>
      <c r="L110" s="19"/>
      <c r="M110" s="19"/>
      <c r="N110" s="59" t="s">
        <v>448</v>
      </c>
    </row>
    <row r="111" spans="1:14" ht="29.25" customHeight="1" x14ac:dyDescent="0.25">
      <c r="A111" s="67" t="s">
        <v>439</v>
      </c>
      <c r="B111" s="18" t="s">
        <v>540</v>
      </c>
      <c r="C111" s="19" t="s">
        <v>325</v>
      </c>
      <c r="D111" s="19" t="s">
        <v>442</v>
      </c>
      <c r="E111" s="19" t="s">
        <v>538</v>
      </c>
      <c r="F111" s="18" t="s">
        <v>271</v>
      </c>
      <c r="G111" s="18" t="s">
        <v>272</v>
      </c>
      <c r="H111" s="18">
        <v>1</v>
      </c>
      <c r="I111" s="19" t="s">
        <v>533</v>
      </c>
      <c r="J111" s="19">
        <v>1.1599999999999999</v>
      </c>
      <c r="K111" s="19"/>
      <c r="L111" s="19"/>
      <c r="M111" s="19"/>
      <c r="N111" s="59" t="s">
        <v>448</v>
      </c>
    </row>
    <row r="112" spans="1:14" ht="29.25" customHeight="1" x14ac:dyDescent="0.25">
      <c r="A112" s="67" t="s">
        <v>542</v>
      </c>
      <c r="B112" s="18" t="s">
        <v>543</v>
      </c>
      <c r="C112" s="19" t="s">
        <v>544</v>
      </c>
      <c r="D112" s="19" t="s">
        <v>545</v>
      </c>
      <c r="E112" s="19" t="s">
        <v>546</v>
      </c>
      <c r="F112" s="19" t="s">
        <v>547</v>
      </c>
      <c r="G112" s="18" t="s">
        <v>548</v>
      </c>
      <c r="H112" s="18">
        <v>0.1</v>
      </c>
      <c r="I112" s="19" t="s">
        <v>549</v>
      </c>
      <c r="J112" s="19">
        <v>0.5</v>
      </c>
      <c r="K112" s="19"/>
      <c r="L112" s="19"/>
      <c r="M112" s="19"/>
      <c r="N112" s="59" t="s">
        <v>448</v>
      </c>
    </row>
    <row r="113" spans="1:14" ht="29.25" customHeight="1" x14ac:dyDescent="0.25">
      <c r="A113" s="67" t="s">
        <v>542</v>
      </c>
      <c r="B113" s="18" t="s">
        <v>553</v>
      </c>
      <c r="C113" s="19" t="s">
        <v>554</v>
      </c>
      <c r="D113" s="19" t="s">
        <v>545</v>
      </c>
      <c r="E113" s="19" t="s">
        <v>546</v>
      </c>
      <c r="F113" s="19" t="s">
        <v>547</v>
      </c>
      <c r="G113" s="18" t="s">
        <v>548</v>
      </c>
      <c r="H113" s="18">
        <v>0.1</v>
      </c>
      <c r="I113" s="19" t="s">
        <v>549</v>
      </c>
      <c r="J113" s="19">
        <v>0.5</v>
      </c>
      <c r="K113" s="19"/>
      <c r="L113" s="19"/>
      <c r="M113" s="19"/>
      <c r="N113" s="59" t="s">
        <v>448</v>
      </c>
    </row>
    <row r="114" spans="1:14" ht="29.25" customHeight="1" x14ac:dyDescent="0.25">
      <c r="A114" s="67" t="s">
        <v>542</v>
      </c>
      <c r="B114" s="18" t="s">
        <v>555</v>
      </c>
      <c r="C114" s="19" t="s">
        <v>556</v>
      </c>
      <c r="D114" s="19" t="s">
        <v>545</v>
      </c>
      <c r="E114" s="19" t="s">
        <v>546</v>
      </c>
      <c r="F114" s="19" t="s">
        <v>547</v>
      </c>
      <c r="G114" s="18" t="s">
        <v>548</v>
      </c>
      <c r="H114" s="18">
        <v>0.1</v>
      </c>
      <c r="I114" s="19" t="s">
        <v>549</v>
      </c>
      <c r="J114" s="19">
        <v>0.5</v>
      </c>
      <c r="K114" s="19"/>
      <c r="L114" s="19"/>
      <c r="M114" s="19"/>
      <c r="N114" s="59" t="s">
        <v>448</v>
      </c>
    </row>
    <row r="115" spans="1:14" ht="25.5" customHeight="1" x14ac:dyDescent="0.25">
      <c r="A115" s="70" t="s">
        <v>557</v>
      </c>
      <c r="B115" s="18" t="s">
        <v>558</v>
      </c>
      <c r="C115" s="19" t="s">
        <v>559</v>
      </c>
      <c r="D115" s="19" t="s">
        <v>560</v>
      </c>
      <c r="E115" s="18" t="s">
        <v>239</v>
      </c>
      <c r="F115" s="18" t="s">
        <v>134</v>
      </c>
      <c r="G115" s="19" t="s">
        <v>135</v>
      </c>
      <c r="H115" s="18">
        <v>0.01</v>
      </c>
      <c r="I115" s="19" t="s">
        <v>561</v>
      </c>
      <c r="J115" s="18" t="s">
        <v>562</v>
      </c>
      <c r="K115" s="18"/>
      <c r="L115" s="19"/>
      <c r="M115" s="19"/>
      <c r="N115" s="59" t="s">
        <v>565</v>
      </c>
    </row>
    <row r="116" spans="1:14" ht="29.25" customHeight="1" x14ac:dyDescent="0.25">
      <c r="A116" s="69" t="s">
        <v>566</v>
      </c>
      <c r="B116" s="18" t="s">
        <v>567</v>
      </c>
      <c r="C116" s="19" t="s">
        <v>568</v>
      </c>
      <c r="D116" s="18" t="s">
        <v>569</v>
      </c>
      <c r="E116" s="19" t="s">
        <v>570</v>
      </c>
      <c r="F116" s="18" t="s">
        <v>435</v>
      </c>
      <c r="G116" s="19" t="s">
        <v>571</v>
      </c>
      <c r="H116" s="18">
        <v>2</v>
      </c>
      <c r="I116" s="19" t="s">
        <v>572</v>
      </c>
      <c r="J116" s="18">
        <v>2</v>
      </c>
      <c r="K116" s="18"/>
      <c r="L116" s="18"/>
      <c r="M116" s="18"/>
      <c r="N116" s="59" t="s">
        <v>448</v>
      </c>
    </row>
    <row r="117" spans="1:14" ht="29.25" customHeight="1" x14ac:dyDescent="0.25">
      <c r="A117" s="69" t="s">
        <v>566</v>
      </c>
      <c r="B117" s="18" t="s">
        <v>574</v>
      </c>
      <c r="C117" s="19" t="s">
        <v>575</v>
      </c>
      <c r="D117" s="18" t="s">
        <v>569</v>
      </c>
      <c r="E117" s="19" t="s">
        <v>570</v>
      </c>
      <c r="F117" s="18" t="s">
        <v>435</v>
      </c>
      <c r="G117" s="19" t="s">
        <v>571</v>
      </c>
      <c r="H117" s="18">
        <v>2</v>
      </c>
      <c r="I117" s="19" t="s">
        <v>572</v>
      </c>
      <c r="J117" s="18">
        <v>2</v>
      </c>
      <c r="K117" s="18"/>
      <c r="L117" s="18"/>
      <c r="M117" s="18"/>
      <c r="N117" s="59" t="s">
        <v>448</v>
      </c>
    </row>
    <row r="118" spans="1:14" ht="29.25" customHeight="1" x14ac:dyDescent="0.25">
      <c r="A118" s="69" t="s">
        <v>566</v>
      </c>
      <c r="B118" s="18" t="s">
        <v>576</v>
      </c>
      <c r="C118" s="19" t="s">
        <v>577</v>
      </c>
      <c r="D118" s="18" t="s">
        <v>569</v>
      </c>
      <c r="E118" s="19" t="s">
        <v>570</v>
      </c>
      <c r="F118" s="18" t="s">
        <v>435</v>
      </c>
      <c r="G118" s="19" t="s">
        <v>571</v>
      </c>
      <c r="H118" s="18">
        <v>2</v>
      </c>
      <c r="I118" s="19" t="s">
        <v>572</v>
      </c>
      <c r="J118" s="18">
        <v>2</v>
      </c>
      <c r="K118" s="18"/>
      <c r="L118" s="18"/>
      <c r="M118" s="18"/>
      <c r="N118" s="59" t="s">
        <v>448</v>
      </c>
    </row>
    <row r="119" spans="1:14" ht="29.25" customHeight="1" x14ac:dyDescent="0.25">
      <c r="A119" s="69" t="s">
        <v>566</v>
      </c>
      <c r="B119" s="18" t="s">
        <v>578</v>
      </c>
      <c r="C119" s="19" t="s">
        <v>579</v>
      </c>
      <c r="D119" s="18" t="s">
        <v>580</v>
      </c>
      <c r="E119" s="19">
        <v>3679</v>
      </c>
      <c r="F119" s="18" t="s">
        <v>435</v>
      </c>
      <c r="G119" s="19" t="s">
        <v>571</v>
      </c>
      <c r="H119" s="18">
        <v>1</v>
      </c>
      <c r="I119" s="19" t="s">
        <v>572</v>
      </c>
      <c r="J119" s="18">
        <v>1</v>
      </c>
      <c r="K119" s="18"/>
      <c r="L119" s="18"/>
      <c r="M119" s="18"/>
      <c r="N119" s="59" t="s">
        <v>448</v>
      </c>
    </row>
    <row r="120" spans="1:14" ht="29.25" customHeight="1" x14ac:dyDescent="0.25">
      <c r="A120" s="69" t="s">
        <v>566</v>
      </c>
      <c r="B120" s="18" t="s">
        <v>581</v>
      </c>
      <c r="C120" s="19" t="s">
        <v>582</v>
      </c>
      <c r="D120" s="18" t="s">
        <v>580</v>
      </c>
      <c r="E120" s="19">
        <v>3679</v>
      </c>
      <c r="F120" s="18" t="s">
        <v>435</v>
      </c>
      <c r="G120" s="19" t="s">
        <v>571</v>
      </c>
      <c r="H120" s="18">
        <v>1</v>
      </c>
      <c r="I120" s="19" t="s">
        <v>572</v>
      </c>
      <c r="J120" s="18">
        <v>1</v>
      </c>
      <c r="K120" s="18"/>
      <c r="L120" s="18"/>
      <c r="M120" s="18"/>
      <c r="N120" s="59" t="s">
        <v>448</v>
      </c>
    </row>
    <row r="121" spans="1:14" ht="29.25" customHeight="1" x14ac:dyDescent="0.25">
      <c r="A121" s="69" t="s">
        <v>566</v>
      </c>
      <c r="B121" s="18" t="s">
        <v>583</v>
      </c>
      <c r="C121" s="19" t="s">
        <v>584</v>
      </c>
      <c r="D121" s="18" t="s">
        <v>580</v>
      </c>
      <c r="E121" s="19">
        <v>3679</v>
      </c>
      <c r="F121" s="18" t="s">
        <v>435</v>
      </c>
      <c r="G121" s="19" t="s">
        <v>571</v>
      </c>
      <c r="H121" s="18">
        <v>1</v>
      </c>
      <c r="I121" s="19" t="s">
        <v>572</v>
      </c>
      <c r="J121" s="18">
        <v>1</v>
      </c>
      <c r="K121" s="18"/>
      <c r="L121" s="18"/>
      <c r="M121" s="18"/>
      <c r="N121" s="59" t="s">
        <v>448</v>
      </c>
    </row>
    <row r="122" spans="1:14" ht="29.25" customHeight="1" x14ac:dyDescent="0.25">
      <c r="A122" s="69" t="s">
        <v>585</v>
      </c>
      <c r="B122" s="18" t="s">
        <v>586</v>
      </c>
      <c r="C122" s="19" t="s">
        <v>300</v>
      </c>
      <c r="D122" s="18" t="s">
        <v>300</v>
      </c>
      <c r="E122" s="19" t="s">
        <v>343</v>
      </c>
      <c r="F122" s="18" t="s">
        <v>179</v>
      </c>
      <c r="G122" s="19" t="s">
        <v>180</v>
      </c>
      <c r="H122" s="18" t="s">
        <v>325</v>
      </c>
      <c r="I122" s="19">
        <v>516.44000000000005</v>
      </c>
      <c r="J122" s="18" t="s">
        <v>526</v>
      </c>
      <c r="K122" s="18"/>
      <c r="L122" s="18"/>
      <c r="M122" s="18"/>
      <c r="N122" s="59" t="s">
        <v>327</v>
      </c>
    </row>
    <row r="123" spans="1:14" ht="29.25" customHeight="1" x14ac:dyDescent="0.25">
      <c r="A123" s="69" t="s">
        <v>585</v>
      </c>
      <c r="B123" s="18" t="s">
        <v>587</v>
      </c>
      <c r="C123" s="19" t="s">
        <v>300</v>
      </c>
      <c r="D123" s="18" t="s">
        <v>300</v>
      </c>
      <c r="E123" s="19" t="s">
        <v>300</v>
      </c>
      <c r="F123" s="18" t="s">
        <v>179</v>
      </c>
      <c r="G123" s="19" t="s">
        <v>180</v>
      </c>
      <c r="H123" s="18" t="s">
        <v>325</v>
      </c>
      <c r="I123" s="19">
        <v>592.61</v>
      </c>
      <c r="J123" s="18" t="s">
        <v>526</v>
      </c>
      <c r="K123" s="18"/>
      <c r="L123" s="19"/>
      <c r="M123" s="19"/>
      <c r="N123" s="59" t="s">
        <v>327</v>
      </c>
    </row>
    <row r="124" spans="1:14" ht="29.25" customHeight="1" x14ac:dyDescent="0.25">
      <c r="A124" s="69" t="s">
        <v>585</v>
      </c>
      <c r="B124" s="18" t="s">
        <v>588</v>
      </c>
      <c r="C124" s="19" t="s">
        <v>300</v>
      </c>
      <c r="D124" s="18" t="s">
        <v>300</v>
      </c>
      <c r="E124" s="19" t="s">
        <v>300</v>
      </c>
      <c r="F124" s="18" t="s">
        <v>179</v>
      </c>
      <c r="G124" s="19" t="s">
        <v>180</v>
      </c>
      <c r="H124" s="18" t="s">
        <v>325</v>
      </c>
      <c r="I124" s="19">
        <v>238.3</v>
      </c>
      <c r="J124" s="18" t="s">
        <v>526</v>
      </c>
      <c r="K124" s="18"/>
      <c r="L124" s="19"/>
      <c r="M124" s="19"/>
      <c r="N124" s="59" t="s">
        <v>327</v>
      </c>
    </row>
    <row r="125" spans="1:14" ht="29.25" customHeight="1" x14ac:dyDescent="0.25">
      <c r="A125" s="69" t="s">
        <v>589</v>
      </c>
      <c r="B125" s="18" t="s">
        <v>590</v>
      </c>
      <c r="C125" s="19" t="s">
        <v>300</v>
      </c>
      <c r="D125" s="18" t="s">
        <v>300</v>
      </c>
      <c r="E125" s="19" t="s">
        <v>300</v>
      </c>
      <c r="F125" s="18" t="s">
        <v>179</v>
      </c>
      <c r="G125" s="19" t="s">
        <v>387</v>
      </c>
      <c r="H125" s="18" t="s">
        <v>325</v>
      </c>
      <c r="I125" s="19">
        <v>15</v>
      </c>
      <c r="J125" s="18" t="s">
        <v>526</v>
      </c>
      <c r="K125" s="18"/>
      <c r="L125" s="18"/>
      <c r="M125" s="18"/>
      <c r="N125" s="59" t="s">
        <v>327</v>
      </c>
    </row>
    <row r="126" spans="1:14" ht="29.25" customHeight="1" x14ac:dyDescent="0.25">
      <c r="A126" s="69" t="s">
        <v>591</v>
      </c>
      <c r="B126" s="18" t="s">
        <v>592</v>
      </c>
      <c r="C126" s="19" t="s">
        <v>300</v>
      </c>
      <c r="D126" s="18" t="s">
        <v>300</v>
      </c>
      <c r="E126" s="19" t="s">
        <v>300</v>
      </c>
      <c r="F126" s="18" t="s">
        <v>179</v>
      </c>
      <c r="G126" s="19" t="s">
        <v>387</v>
      </c>
      <c r="H126" s="18" t="s">
        <v>325</v>
      </c>
      <c r="I126" s="19">
        <v>15</v>
      </c>
      <c r="J126" s="18" t="s">
        <v>526</v>
      </c>
      <c r="K126" s="18"/>
      <c r="L126" s="18"/>
      <c r="M126" s="18"/>
      <c r="N126" s="59" t="s">
        <v>327</v>
      </c>
    </row>
    <row r="127" spans="1:14" ht="29.25" customHeight="1" x14ac:dyDescent="0.25">
      <c r="A127" s="69" t="s">
        <v>593</v>
      </c>
      <c r="B127" s="18" t="s">
        <v>594</v>
      </c>
      <c r="C127" s="19" t="s">
        <v>300</v>
      </c>
      <c r="D127" s="18" t="s">
        <v>300</v>
      </c>
      <c r="E127" s="19" t="s">
        <v>300</v>
      </c>
      <c r="F127" s="18" t="s">
        <v>179</v>
      </c>
      <c r="G127" s="19" t="s">
        <v>180</v>
      </c>
      <c r="H127" s="18" t="s">
        <v>325</v>
      </c>
      <c r="I127" s="19">
        <v>7.35</v>
      </c>
      <c r="J127" s="18" t="s">
        <v>526</v>
      </c>
      <c r="K127" s="18"/>
      <c r="L127" s="18"/>
      <c r="M127" s="18"/>
      <c r="N127" s="59" t="s">
        <v>327</v>
      </c>
    </row>
    <row r="128" spans="1:14" ht="29.25" customHeight="1" x14ac:dyDescent="0.25">
      <c r="A128" s="69" t="s">
        <v>585</v>
      </c>
      <c r="B128" s="18" t="s">
        <v>595</v>
      </c>
      <c r="C128" s="19" t="s">
        <v>300</v>
      </c>
      <c r="D128" s="18" t="s">
        <v>300</v>
      </c>
      <c r="E128" s="19" t="s">
        <v>300</v>
      </c>
      <c r="F128" s="18" t="s">
        <v>179</v>
      </c>
      <c r="G128" s="19" t="s">
        <v>180</v>
      </c>
      <c r="H128" s="18" t="s">
        <v>325</v>
      </c>
      <c r="I128" s="19" t="s">
        <v>596</v>
      </c>
      <c r="J128" s="18" t="s">
        <v>526</v>
      </c>
      <c r="K128" s="18"/>
      <c r="L128" s="18"/>
      <c r="M128" s="18"/>
      <c r="N128" s="59" t="s">
        <v>327</v>
      </c>
    </row>
    <row r="129" spans="1:14" ht="29.25" customHeight="1" x14ac:dyDescent="0.25">
      <c r="A129" s="69" t="s">
        <v>585</v>
      </c>
      <c r="B129" s="18" t="s">
        <v>597</v>
      </c>
      <c r="C129" s="19" t="s">
        <v>300</v>
      </c>
      <c r="D129" s="18" t="s">
        <v>300</v>
      </c>
      <c r="E129" s="19" t="s">
        <v>300</v>
      </c>
      <c r="F129" s="18" t="s">
        <v>179</v>
      </c>
      <c r="G129" s="19" t="s">
        <v>180</v>
      </c>
      <c r="H129" s="18" t="s">
        <v>325</v>
      </c>
      <c r="I129" s="19" t="s">
        <v>598</v>
      </c>
      <c r="J129" s="18" t="s">
        <v>526</v>
      </c>
      <c r="K129" s="18"/>
      <c r="L129" s="18"/>
      <c r="M129" s="18"/>
      <c r="N129" s="59" t="s">
        <v>327</v>
      </c>
    </row>
    <row r="130" spans="1:14" ht="29.25" customHeight="1" x14ac:dyDescent="0.25">
      <c r="A130" s="69" t="s">
        <v>585</v>
      </c>
      <c r="B130" s="18" t="s">
        <v>599</v>
      </c>
      <c r="C130" s="19" t="s">
        <v>300</v>
      </c>
      <c r="D130" s="18" t="s">
        <v>300</v>
      </c>
      <c r="E130" s="19" t="s">
        <v>300</v>
      </c>
      <c r="F130" s="18" t="s">
        <v>179</v>
      </c>
      <c r="G130" s="19" t="s">
        <v>180</v>
      </c>
      <c r="H130" s="18" t="s">
        <v>325</v>
      </c>
      <c r="I130" s="19" t="s">
        <v>600</v>
      </c>
      <c r="J130" s="18" t="s">
        <v>526</v>
      </c>
      <c r="K130" s="18"/>
      <c r="L130" s="18"/>
      <c r="M130" s="18"/>
      <c r="N130" s="59" t="s">
        <v>327</v>
      </c>
    </row>
    <row r="131" spans="1:14" ht="29.25" customHeight="1" x14ac:dyDescent="0.25">
      <c r="A131" s="69" t="s">
        <v>585</v>
      </c>
      <c r="B131" s="18" t="s">
        <v>601</v>
      </c>
      <c r="C131" s="19" t="s">
        <v>300</v>
      </c>
      <c r="D131" s="18" t="s">
        <v>300</v>
      </c>
      <c r="E131" s="19" t="s">
        <v>300</v>
      </c>
      <c r="F131" s="18" t="s">
        <v>179</v>
      </c>
      <c r="G131" s="19" t="s">
        <v>180</v>
      </c>
      <c r="H131" s="18" t="s">
        <v>325</v>
      </c>
      <c r="I131" s="19" t="s">
        <v>602</v>
      </c>
      <c r="J131" s="18" t="s">
        <v>603</v>
      </c>
      <c r="K131" s="18"/>
      <c r="L131" s="18"/>
      <c r="M131" s="18"/>
      <c r="N131" s="59" t="s">
        <v>327</v>
      </c>
    </row>
    <row r="132" spans="1:14" ht="29.25" customHeight="1" x14ac:dyDescent="0.25">
      <c r="A132" s="69" t="s">
        <v>377</v>
      </c>
      <c r="B132" s="18" t="s">
        <v>604</v>
      </c>
      <c r="C132" s="19" t="s">
        <v>605</v>
      </c>
      <c r="D132" s="18" t="s">
        <v>239</v>
      </c>
      <c r="E132" s="19" t="s">
        <v>606</v>
      </c>
      <c r="F132" s="18" t="s">
        <v>61</v>
      </c>
      <c r="G132" s="19" t="s">
        <v>194</v>
      </c>
      <c r="H132" s="18" t="s">
        <v>325</v>
      </c>
      <c r="I132" s="19" t="s">
        <v>607</v>
      </c>
      <c r="J132" s="18">
        <v>0.1</v>
      </c>
      <c r="K132" s="18"/>
      <c r="L132" s="18"/>
      <c r="M132" s="18"/>
      <c r="N132" s="59"/>
    </row>
    <row r="133" spans="1:14" ht="29.25" customHeight="1" x14ac:dyDescent="0.25">
      <c r="A133" s="69" t="s">
        <v>609</v>
      </c>
      <c r="B133" s="18" t="s">
        <v>610</v>
      </c>
      <c r="C133" s="19" t="s">
        <v>611</v>
      </c>
      <c r="D133" s="18" t="s">
        <v>612</v>
      </c>
      <c r="E133" s="19" t="s">
        <v>613</v>
      </c>
      <c r="F133" s="18" t="s">
        <v>80</v>
      </c>
      <c r="G133" s="19" t="s">
        <v>81</v>
      </c>
      <c r="H133" s="18">
        <v>0.1</v>
      </c>
      <c r="I133" s="18" t="s">
        <v>614</v>
      </c>
      <c r="J133" s="18">
        <v>0.1</v>
      </c>
      <c r="K133" s="18"/>
      <c r="L133" s="47"/>
      <c r="M133" s="47"/>
      <c r="N133" s="59"/>
    </row>
    <row r="134" spans="1:14" ht="29.25" customHeight="1" x14ac:dyDescent="0.25">
      <c r="A134" s="69" t="s">
        <v>609</v>
      </c>
      <c r="B134" s="18" t="s">
        <v>616</v>
      </c>
      <c r="C134" s="19" t="s">
        <v>611</v>
      </c>
      <c r="D134" s="18" t="s">
        <v>612</v>
      </c>
      <c r="E134" s="19" t="s">
        <v>613</v>
      </c>
      <c r="F134" s="18" t="s">
        <v>80</v>
      </c>
      <c r="G134" s="19" t="s">
        <v>81</v>
      </c>
      <c r="H134" s="18">
        <v>0.1</v>
      </c>
      <c r="I134" s="18" t="s">
        <v>614</v>
      </c>
      <c r="J134" s="18">
        <v>0.1</v>
      </c>
      <c r="K134" s="18"/>
      <c r="L134" s="47"/>
      <c r="M134" s="47"/>
      <c r="N134" s="59"/>
    </row>
    <row r="135" spans="1:14" ht="29.25" customHeight="1" x14ac:dyDescent="0.25">
      <c r="A135" s="69" t="s">
        <v>609</v>
      </c>
      <c r="B135" s="18" t="s">
        <v>617</v>
      </c>
      <c r="C135" s="19" t="s">
        <v>611</v>
      </c>
      <c r="D135" s="18" t="s">
        <v>612</v>
      </c>
      <c r="E135" s="19" t="s">
        <v>613</v>
      </c>
      <c r="F135" s="18" t="s">
        <v>80</v>
      </c>
      <c r="G135" s="19" t="s">
        <v>81</v>
      </c>
      <c r="H135" s="18">
        <v>0.1</v>
      </c>
      <c r="I135" s="18" t="s">
        <v>614</v>
      </c>
      <c r="J135" s="18">
        <v>0.1</v>
      </c>
      <c r="K135" s="18"/>
      <c r="L135" s="47"/>
      <c r="M135" s="47"/>
      <c r="N135" s="59"/>
    </row>
    <row r="136" spans="1:14" ht="29.25" customHeight="1" x14ac:dyDescent="0.25">
      <c r="A136" s="69" t="s">
        <v>609</v>
      </c>
      <c r="B136" s="18" t="s">
        <v>618</v>
      </c>
      <c r="C136" s="19" t="s">
        <v>611</v>
      </c>
      <c r="D136" s="18" t="s">
        <v>612</v>
      </c>
      <c r="E136" s="19" t="s">
        <v>613</v>
      </c>
      <c r="F136" s="18" t="s">
        <v>80</v>
      </c>
      <c r="G136" s="19" t="s">
        <v>81</v>
      </c>
      <c r="H136" s="18">
        <v>0.1</v>
      </c>
      <c r="I136" s="18" t="s">
        <v>614</v>
      </c>
      <c r="J136" s="18">
        <v>0.1</v>
      </c>
      <c r="K136" s="18"/>
      <c r="L136" s="47"/>
      <c r="M136" s="47"/>
      <c r="N136" s="59"/>
    </row>
    <row r="137" spans="1:14" ht="29.25" customHeight="1" x14ac:dyDescent="0.25">
      <c r="A137" s="69" t="s">
        <v>609</v>
      </c>
      <c r="B137" s="18" t="s">
        <v>619</v>
      </c>
      <c r="C137" s="19" t="s">
        <v>611</v>
      </c>
      <c r="D137" s="18" t="s">
        <v>612</v>
      </c>
      <c r="E137" s="19" t="s">
        <v>613</v>
      </c>
      <c r="F137" s="18" t="s">
        <v>80</v>
      </c>
      <c r="G137" s="19" t="s">
        <v>81</v>
      </c>
      <c r="H137" s="18">
        <v>0.1</v>
      </c>
      <c r="I137" s="18" t="s">
        <v>620</v>
      </c>
      <c r="J137" s="18">
        <v>0.1</v>
      </c>
      <c r="K137" s="18"/>
      <c r="L137" s="47"/>
      <c r="M137" s="47"/>
      <c r="N137" s="59" t="s">
        <v>622</v>
      </c>
    </row>
    <row r="138" spans="1:14" ht="29.25" customHeight="1" x14ac:dyDescent="0.25">
      <c r="A138" s="69" t="s">
        <v>609</v>
      </c>
      <c r="B138" s="18" t="s">
        <v>623</v>
      </c>
      <c r="C138" s="19" t="s">
        <v>611</v>
      </c>
      <c r="D138" s="18" t="s">
        <v>612</v>
      </c>
      <c r="E138" s="19" t="s">
        <v>613</v>
      </c>
      <c r="F138" s="18" t="s">
        <v>80</v>
      </c>
      <c r="G138" s="19" t="s">
        <v>81</v>
      </c>
      <c r="H138" s="18">
        <v>0.1</v>
      </c>
      <c r="I138" s="18" t="s">
        <v>620</v>
      </c>
      <c r="J138" s="18">
        <v>0.1</v>
      </c>
      <c r="K138" s="18"/>
      <c r="L138" s="47"/>
      <c r="M138" s="47"/>
      <c r="N138" s="59" t="s">
        <v>622</v>
      </c>
    </row>
    <row r="139" spans="1:14" ht="29.25" customHeight="1" x14ac:dyDescent="0.25">
      <c r="A139" s="69" t="s">
        <v>609</v>
      </c>
      <c r="B139" s="18" t="s">
        <v>624</v>
      </c>
      <c r="C139" s="19" t="s">
        <v>611</v>
      </c>
      <c r="D139" s="18" t="s">
        <v>612</v>
      </c>
      <c r="E139" s="19" t="s">
        <v>613</v>
      </c>
      <c r="F139" s="18" t="s">
        <v>80</v>
      </c>
      <c r="G139" s="19" t="s">
        <v>81</v>
      </c>
      <c r="H139" s="18">
        <v>0.1</v>
      </c>
      <c r="I139" s="18" t="s">
        <v>620</v>
      </c>
      <c r="J139" s="18">
        <v>0.1</v>
      </c>
      <c r="K139" s="18"/>
      <c r="L139" s="47"/>
      <c r="M139" s="47"/>
      <c r="N139" s="59" t="s">
        <v>622</v>
      </c>
    </row>
    <row r="140" spans="1:14" ht="29.25" customHeight="1" x14ac:dyDescent="0.25">
      <c r="A140" s="69" t="s">
        <v>478</v>
      </c>
      <c r="B140" s="19" t="s">
        <v>625</v>
      </c>
      <c r="C140" s="19" t="s">
        <v>626</v>
      </c>
      <c r="D140" s="18" t="s">
        <v>627</v>
      </c>
      <c r="E140" s="19" t="s">
        <v>628</v>
      </c>
      <c r="F140" s="18" t="s">
        <v>199</v>
      </c>
      <c r="G140" s="19" t="s">
        <v>200</v>
      </c>
      <c r="H140" s="18">
        <v>0.1</v>
      </c>
      <c r="I140" s="25" t="s">
        <v>629</v>
      </c>
      <c r="J140" s="18">
        <v>0.1</v>
      </c>
      <c r="K140" s="18"/>
      <c r="L140" s="62"/>
      <c r="M140" s="62"/>
      <c r="N140" s="59"/>
    </row>
    <row r="141" spans="1:14" ht="29.25" customHeight="1" x14ac:dyDescent="0.25">
      <c r="A141" s="69" t="s">
        <v>631</v>
      </c>
      <c r="B141" s="18" t="s">
        <v>632</v>
      </c>
      <c r="C141" s="19" t="s">
        <v>633</v>
      </c>
      <c r="D141" s="18" t="s">
        <v>634</v>
      </c>
      <c r="E141" s="19" t="s">
        <v>300</v>
      </c>
      <c r="F141" s="18" t="s">
        <v>80</v>
      </c>
      <c r="G141" s="19" t="s">
        <v>81</v>
      </c>
      <c r="H141" s="18">
        <v>0.1</v>
      </c>
      <c r="I141" s="25" t="s">
        <v>635</v>
      </c>
      <c r="J141" s="18">
        <v>0.1</v>
      </c>
      <c r="K141" s="18"/>
      <c r="L141" s="62"/>
      <c r="M141" s="62"/>
      <c r="N141" s="59"/>
    </row>
    <row r="142" spans="1:14" ht="29.25" customHeight="1" x14ac:dyDescent="0.25">
      <c r="A142" s="69" t="s">
        <v>637</v>
      </c>
      <c r="B142" s="18" t="s">
        <v>638</v>
      </c>
      <c r="C142" s="19">
        <v>2021053100440120</v>
      </c>
      <c r="D142" s="18" t="s">
        <v>634</v>
      </c>
      <c r="E142" s="19" t="s">
        <v>300</v>
      </c>
      <c r="F142" s="18" t="s">
        <v>80</v>
      </c>
      <c r="G142" s="19" t="s">
        <v>81</v>
      </c>
      <c r="H142" s="18">
        <v>0.1</v>
      </c>
      <c r="I142" s="25" t="s">
        <v>635</v>
      </c>
      <c r="J142" s="18">
        <v>0.1</v>
      </c>
      <c r="K142" s="18"/>
      <c r="L142" s="62"/>
      <c r="M142" s="62"/>
      <c r="N142" s="59"/>
    </row>
    <row r="143" spans="1:14" ht="29.25" customHeight="1" x14ac:dyDescent="0.25">
      <c r="A143" s="69" t="s">
        <v>639</v>
      </c>
      <c r="B143" s="18" t="s">
        <v>640</v>
      </c>
      <c r="C143" s="19">
        <v>2021053100440120</v>
      </c>
      <c r="D143" s="18" t="s">
        <v>634</v>
      </c>
      <c r="E143" s="19" t="s">
        <v>300</v>
      </c>
      <c r="F143" s="18" t="s">
        <v>80</v>
      </c>
      <c r="G143" s="19" t="s">
        <v>81</v>
      </c>
      <c r="H143" s="18">
        <v>0.1</v>
      </c>
      <c r="I143" s="25" t="s">
        <v>635</v>
      </c>
      <c r="J143" s="18">
        <v>0.1</v>
      </c>
      <c r="K143" s="18"/>
      <c r="L143" s="62"/>
      <c r="M143" s="62"/>
      <c r="N143" s="59"/>
    </row>
    <row r="144" spans="1:14" ht="29.25" customHeight="1" x14ac:dyDescent="0.25">
      <c r="A144" s="69" t="s">
        <v>641</v>
      </c>
      <c r="B144" s="18" t="s">
        <v>642</v>
      </c>
      <c r="C144" s="19">
        <v>2157022802</v>
      </c>
      <c r="D144" s="18" t="s">
        <v>643</v>
      </c>
      <c r="E144" s="19" t="s">
        <v>644</v>
      </c>
      <c r="F144" s="19" t="s">
        <v>199</v>
      </c>
      <c r="G144" s="19" t="s">
        <v>200</v>
      </c>
      <c r="H144" s="18">
        <v>0.1</v>
      </c>
      <c r="I144" s="19" t="s">
        <v>645</v>
      </c>
      <c r="J144" s="18">
        <v>0.1</v>
      </c>
      <c r="K144" s="18"/>
      <c r="L144" s="19"/>
      <c r="M144" s="19"/>
      <c r="N144" s="59"/>
    </row>
    <row r="145" spans="1:14" ht="29.25" customHeight="1" x14ac:dyDescent="0.25">
      <c r="A145" s="69" t="s">
        <v>641</v>
      </c>
      <c r="B145" s="18" t="s">
        <v>642</v>
      </c>
      <c r="C145" s="19">
        <v>2157022802</v>
      </c>
      <c r="D145" s="18" t="s">
        <v>643</v>
      </c>
      <c r="E145" s="19" t="s">
        <v>644</v>
      </c>
      <c r="F145" s="19" t="s">
        <v>247</v>
      </c>
      <c r="G145" s="19" t="s">
        <v>248</v>
      </c>
      <c r="H145" s="18">
        <v>0.1</v>
      </c>
      <c r="I145" s="19" t="s">
        <v>647</v>
      </c>
      <c r="J145" s="18">
        <v>0.1</v>
      </c>
      <c r="K145" s="18"/>
      <c r="L145" s="19"/>
      <c r="M145" s="19"/>
      <c r="N145" s="59"/>
    </row>
    <row r="146" spans="1:14" ht="29.25" customHeight="1" x14ac:dyDescent="0.25">
      <c r="A146" s="69" t="s">
        <v>641</v>
      </c>
      <c r="B146" s="18" t="s">
        <v>642</v>
      </c>
      <c r="C146" s="19">
        <v>2157022802</v>
      </c>
      <c r="D146" s="18" t="s">
        <v>643</v>
      </c>
      <c r="E146" s="19" t="s">
        <v>644</v>
      </c>
      <c r="F146" s="19" t="s">
        <v>518</v>
      </c>
      <c r="G146" s="19" t="s">
        <v>200</v>
      </c>
      <c r="H146" s="18">
        <v>0.1</v>
      </c>
      <c r="I146" s="19" t="s">
        <v>647</v>
      </c>
      <c r="J146" s="18">
        <v>0.1</v>
      </c>
      <c r="K146" s="18"/>
      <c r="L146" s="19"/>
      <c r="M146" s="19"/>
      <c r="N146" s="59"/>
    </row>
    <row r="147" spans="1:14" ht="29.25" customHeight="1" x14ac:dyDescent="0.25">
      <c r="A147" s="69" t="s">
        <v>648</v>
      </c>
      <c r="B147" s="18" t="s">
        <v>649</v>
      </c>
      <c r="C147" s="19" t="s">
        <v>650</v>
      </c>
      <c r="D147" s="19" t="s">
        <v>651</v>
      </c>
      <c r="E147" s="19" t="s">
        <v>652</v>
      </c>
      <c r="F147" s="18" t="s">
        <v>66</v>
      </c>
      <c r="G147" s="19" t="s">
        <v>67</v>
      </c>
      <c r="H147" s="18">
        <v>1</v>
      </c>
      <c r="I147" s="18" t="s">
        <v>653</v>
      </c>
      <c r="J147" s="18">
        <v>1</v>
      </c>
      <c r="K147" s="18"/>
      <c r="L147" s="18"/>
      <c r="M147" s="18"/>
      <c r="N147" s="59"/>
    </row>
    <row r="148" spans="1:14" ht="29.25" customHeight="1" x14ac:dyDescent="0.25">
      <c r="A148" s="69" t="s">
        <v>654</v>
      </c>
      <c r="B148" s="18" t="s">
        <v>655</v>
      </c>
      <c r="C148" s="19" t="s">
        <v>656</v>
      </c>
      <c r="D148" s="19" t="s">
        <v>657</v>
      </c>
      <c r="E148" s="19" t="s">
        <v>658</v>
      </c>
      <c r="F148" s="18" t="s">
        <v>80</v>
      </c>
      <c r="G148" s="19" t="s">
        <v>81</v>
      </c>
      <c r="H148" s="18">
        <v>0.1</v>
      </c>
      <c r="I148" s="18" t="s">
        <v>659</v>
      </c>
      <c r="J148" s="18">
        <v>0.1</v>
      </c>
      <c r="K148" s="18"/>
      <c r="L148" s="18"/>
      <c r="M148" s="18"/>
      <c r="N148" s="59"/>
    </row>
    <row r="149" spans="1:14" ht="29.25" customHeight="1" x14ac:dyDescent="0.25">
      <c r="A149" s="69" t="s">
        <v>661</v>
      </c>
      <c r="B149" s="18" t="s">
        <v>662</v>
      </c>
      <c r="C149" s="19" t="s">
        <v>663</v>
      </c>
      <c r="D149" s="18" t="s">
        <v>664</v>
      </c>
      <c r="E149" s="19" t="s">
        <v>665</v>
      </c>
      <c r="F149" s="19" t="s">
        <v>666</v>
      </c>
      <c r="G149" s="18" t="s">
        <v>424</v>
      </c>
      <c r="H149" s="18">
        <v>0.1</v>
      </c>
      <c r="I149" s="18" t="s">
        <v>667</v>
      </c>
      <c r="J149" s="18">
        <v>0.1</v>
      </c>
      <c r="K149" s="18"/>
      <c r="L149" s="18"/>
      <c r="M149" s="18"/>
      <c r="N149" s="59"/>
    </row>
    <row r="150" spans="1:14" ht="29.25" customHeight="1" x14ac:dyDescent="0.25">
      <c r="A150" s="69" t="s">
        <v>661</v>
      </c>
      <c r="B150" s="18" t="s">
        <v>670</v>
      </c>
      <c r="C150" s="19" t="s">
        <v>663</v>
      </c>
      <c r="D150" s="18" t="s">
        <v>664</v>
      </c>
      <c r="E150" s="19" t="s">
        <v>665</v>
      </c>
      <c r="F150" s="19" t="s">
        <v>666</v>
      </c>
      <c r="G150" s="18" t="s">
        <v>424</v>
      </c>
      <c r="H150" s="18">
        <v>0.1</v>
      </c>
      <c r="I150" s="18" t="s">
        <v>667</v>
      </c>
      <c r="J150" s="18">
        <v>0.1</v>
      </c>
      <c r="K150" s="18"/>
      <c r="L150" s="18"/>
      <c r="M150" s="18"/>
      <c r="N150" s="59"/>
    </row>
    <row r="151" spans="1:14" ht="29.25" customHeight="1" x14ac:dyDescent="0.25">
      <c r="A151" s="69" t="s">
        <v>661</v>
      </c>
      <c r="B151" s="18" t="s">
        <v>671</v>
      </c>
      <c r="C151" s="19" t="s">
        <v>663</v>
      </c>
      <c r="D151" s="18" t="s">
        <v>664</v>
      </c>
      <c r="E151" s="19" t="s">
        <v>665</v>
      </c>
      <c r="F151" s="19" t="s">
        <v>666</v>
      </c>
      <c r="G151" s="18" t="s">
        <v>424</v>
      </c>
      <c r="H151" s="18">
        <v>0.1</v>
      </c>
      <c r="I151" s="18" t="s">
        <v>667</v>
      </c>
      <c r="J151" s="18">
        <v>0.1</v>
      </c>
      <c r="K151" s="18"/>
      <c r="L151" s="18"/>
      <c r="M151" s="18"/>
      <c r="N151" s="59"/>
    </row>
    <row r="152" spans="1:14" ht="29.25" customHeight="1" x14ac:dyDescent="0.25">
      <c r="A152" s="69" t="s">
        <v>661</v>
      </c>
      <c r="B152" s="18" t="s">
        <v>672</v>
      </c>
      <c r="C152" s="19" t="s">
        <v>663</v>
      </c>
      <c r="D152" s="18" t="s">
        <v>664</v>
      </c>
      <c r="E152" s="19" t="s">
        <v>665</v>
      </c>
      <c r="F152" s="19" t="s">
        <v>666</v>
      </c>
      <c r="G152" s="18" t="s">
        <v>424</v>
      </c>
      <c r="H152" s="18">
        <v>0.1</v>
      </c>
      <c r="I152" s="18" t="s">
        <v>667</v>
      </c>
      <c r="J152" s="18">
        <v>0.1</v>
      </c>
      <c r="K152" s="18"/>
      <c r="L152" s="18"/>
      <c r="M152" s="18"/>
      <c r="N152" s="59"/>
    </row>
    <row r="153" spans="1:14" ht="29.25" customHeight="1" x14ac:dyDescent="0.25">
      <c r="A153" s="69" t="s">
        <v>661</v>
      </c>
      <c r="B153" s="18" t="s">
        <v>673</v>
      </c>
      <c r="C153" s="19" t="s">
        <v>663</v>
      </c>
      <c r="D153" s="18" t="s">
        <v>664</v>
      </c>
      <c r="E153" s="19" t="s">
        <v>665</v>
      </c>
      <c r="F153" s="19" t="s">
        <v>666</v>
      </c>
      <c r="G153" s="18" t="s">
        <v>424</v>
      </c>
      <c r="H153" s="18">
        <v>0.1</v>
      </c>
      <c r="I153" s="18" t="s">
        <v>667</v>
      </c>
      <c r="J153" s="18">
        <v>0.1</v>
      </c>
      <c r="K153" s="18"/>
      <c r="L153" s="18"/>
      <c r="M153" s="18"/>
      <c r="N153" s="59"/>
    </row>
    <row r="154" spans="1:14" ht="29.25" customHeight="1" x14ac:dyDescent="0.25">
      <c r="A154" s="69" t="s">
        <v>661</v>
      </c>
      <c r="B154" s="18" t="s">
        <v>674</v>
      </c>
      <c r="C154" s="19" t="s">
        <v>663</v>
      </c>
      <c r="D154" s="18" t="s">
        <v>664</v>
      </c>
      <c r="E154" s="19" t="s">
        <v>665</v>
      </c>
      <c r="F154" s="19" t="s">
        <v>666</v>
      </c>
      <c r="G154" s="18" t="s">
        <v>424</v>
      </c>
      <c r="H154" s="18">
        <v>0.1</v>
      </c>
      <c r="I154" s="18" t="s">
        <v>667</v>
      </c>
      <c r="J154" s="18">
        <v>0.1</v>
      </c>
      <c r="K154" s="18"/>
      <c r="L154" s="18"/>
      <c r="M154" s="18"/>
      <c r="N154" s="59"/>
    </row>
    <row r="155" spans="1:14" ht="29.25" customHeight="1" x14ac:dyDescent="0.25">
      <c r="A155" s="69" t="s">
        <v>661</v>
      </c>
      <c r="B155" s="18" t="s">
        <v>675</v>
      </c>
      <c r="C155" s="19" t="s">
        <v>663</v>
      </c>
      <c r="D155" s="18" t="s">
        <v>664</v>
      </c>
      <c r="E155" s="19" t="s">
        <v>665</v>
      </c>
      <c r="F155" s="19" t="s">
        <v>666</v>
      </c>
      <c r="G155" s="18" t="s">
        <v>424</v>
      </c>
      <c r="H155" s="18">
        <v>0.1</v>
      </c>
      <c r="I155" s="18" t="s">
        <v>667</v>
      </c>
      <c r="J155" s="18">
        <v>0.1</v>
      </c>
      <c r="K155" s="18"/>
      <c r="L155" s="18"/>
      <c r="M155" s="18"/>
      <c r="N155" s="59"/>
    </row>
    <row r="156" spans="1:14" ht="29.25" customHeight="1" x14ac:dyDescent="0.25">
      <c r="A156" s="69" t="s">
        <v>661</v>
      </c>
      <c r="B156" s="18" t="s">
        <v>676</v>
      </c>
      <c r="C156" s="19" t="s">
        <v>663</v>
      </c>
      <c r="D156" s="18" t="s">
        <v>664</v>
      </c>
      <c r="E156" s="19" t="s">
        <v>665</v>
      </c>
      <c r="F156" s="19" t="s">
        <v>666</v>
      </c>
      <c r="G156" s="18" t="s">
        <v>424</v>
      </c>
      <c r="H156" s="18">
        <v>0.1</v>
      </c>
      <c r="I156" s="18" t="s">
        <v>667</v>
      </c>
      <c r="J156" s="18">
        <v>0.1</v>
      </c>
      <c r="K156" s="18"/>
      <c r="L156" s="18"/>
      <c r="M156" s="18"/>
      <c r="N156" s="59"/>
    </row>
    <row r="157" spans="1:14" ht="29.25" customHeight="1" x14ac:dyDescent="0.25">
      <c r="A157" s="69" t="s">
        <v>661</v>
      </c>
      <c r="B157" s="18" t="s">
        <v>677</v>
      </c>
      <c r="C157" s="19" t="s">
        <v>663</v>
      </c>
      <c r="D157" s="18" t="s">
        <v>664</v>
      </c>
      <c r="E157" s="19" t="s">
        <v>665</v>
      </c>
      <c r="F157" s="19" t="s">
        <v>666</v>
      </c>
      <c r="G157" s="18" t="s">
        <v>424</v>
      </c>
      <c r="H157" s="18">
        <v>0.1</v>
      </c>
      <c r="I157" s="18" t="s">
        <v>667</v>
      </c>
      <c r="J157" s="18">
        <v>0.1</v>
      </c>
      <c r="K157" s="18"/>
      <c r="L157" s="18"/>
      <c r="M157" s="18"/>
      <c r="N157" s="59"/>
    </row>
    <row r="158" spans="1:14" ht="29.25" customHeight="1" x14ac:dyDescent="0.25">
      <c r="A158" s="67" t="s">
        <v>340</v>
      </c>
      <c r="B158" s="18" t="s">
        <v>678</v>
      </c>
      <c r="C158" s="19" t="s">
        <v>99</v>
      </c>
      <c r="D158" s="19" t="s">
        <v>342</v>
      </c>
      <c r="E158" s="19" t="s">
        <v>343</v>
      </c>
      <c r="F158" s="18" t="s">
        <v>179</v>
      </c>
      <c r="G158" s="18" t="s">
        <v>387</v>
      </c>
      <c r="H158" s="18" t="s">
        <v>325</v>
      </c>
      <c r="I158" s="19">
        <v>20</v>
      </c>
      <c r="J158" s="19">
        <v>0.05</v>
      </c>
      <c r="K158" s="19"/>
      <c r="L158" s="19"/>
      <c r="M158" s="19"/>
      <c r="N158" s="59" t="s">
        <v>327</v>
      </c>
    </row>
    <row r="159" spans="1:14" ht="29.25" customHeight="1" x14ac:dyDescent="0.25">
      <c r="A159" s="67" t="s">
        <v>679</v>
      </c>
      <c r="B159" s="18" t="s">
        <v>680</v>
      </c>
      <c r="C159" s="19" t="s">
        <v>99</v>
      </c>
      <c r="D159" s="19" t="s">
        <v>342</v>
      </c>
      <c r="E159" s="19" t="s">
        <v>343</v>
      </c>
      <c r="F159" s="18" t="s">
        <v>179</v>
      </c>
      <c r="G159" s="18" t="s">
        <v>387</v>
      </c>
      <c r="H159" s="18" t="s">
        <v>325</v>
      </c>
      <c r="I159" s="19">
        <v>20</v>
      </c>
      <c r="J159" s="19">
        <v>0.05</v>
      </c>
      <c r="K159" s="19"/>
      <c r="L159" s="19"/>
      <c r="M159" s="19"/>
      <c r="N159" s="59" t="s">
        <v>327</v>
      </c>
    </row>
    <row r="160" spans="1:14" ht="29.25" customHeight="1" x14ac:dyDescent="0.25">
      <c r="A160" s="67" t="s">
        <v>681</v>
      </c>
      <c r="B160" s="18" t="s">
        <v>682</v>
      </c>
      <c r="C160" s="19" t="s">
        <v>683</v>
      </c>
      <c r="D160" s="19" t="s">
        <v>684</v>
      </c>
      <c r="E160" s="19">
        <v>456</v>
      </c>
      <c r="F160" s="18" t="s">
        <v>28</v>
      </c>
      <c r="G160" s="75" t="s">
        <v>685</v>
      </c>
      <c r="H160" s="18" t="s">
        <v>686</v>
      </c>
      <c r="I160" s="19" t="s">
        <v>687</v>
      </c>
      <c r="J160" s="19"/>
      <c r="K160" s="19"/>
      <c r="L160" s="19"/>
      <c r="M160" s="19"/>
      <c r="N160" s="59"/>
    </row>
    <row r="161" spans="1:14" ht="45" customHeight="1" x14ac:dyDescent="0.25">
      <c r="A161" s="69" t="s">
        <v>690</v>
      </c>
      <c r="B161" s="18" t="s">
        <v>691</v>
      </c>
      <c r="C161" s="19">
        <v>230429101</v>
      </c>
      <c r="D161" s="18" t="s">
        <v>692</v>
      </c>
      <c r="E161" s="19" t="s">
        <v>693</v>
      </c>
      <c r="F161" s="19" t="s">
        <v>694</v>
      </c>
      <c r="G161" s="19" t="s">
        <v>695</v>
      </c>
      <c r="H161" s="19" t="s">
        <v>696</v>
      </c>
      <c r="I161" s="19" t="s">
        <v>697</v>
      </c>
      <c r="J161" s="18"/>
      <c r="K161" s="18"/>
      <c r="L161" s="19"/>
      <c r="M161" s="19"/>
      <c r="N161" s="59"/>
    </row>
    <row r="162" spans="1:14" ht="36.75" customHeight="1" x14ac:dyDescent="0.25">
      <c r="A162" s="69" t="s">
        <v>699</v>
      </c>
      <c r="B162" s="18" t="s">
        <v>700</v>
      </c>
      <c r="C162" s="19" t="s">
        <v>104</v>
      </c>
      <c r="D162" s="18" t="s">
        <v>701</v>
      </c>
      <c r="E162" s="19" t="s">
        <v>702</v>
      </c>
      <c r="F162" s="19" t="s">
        <v>199</v>
      </c>
      <c r="G162" s="78" t="s">
        <v>703</v>
      </c>
      <c r="H162" s="19" t="s">
        <v>704</v>
      </c>
      <c r="I162" s="78" t="s">
        <v>705</v>
      </c>
      <c r="J162" s="18">
        <v>0.01</v>
      </c>
      <c r="K162" s="18"/>
      <c r="L162" s="19"/>
      <c r="M162" s="19"/>
      <c r="N162" s="59"/>
    </row>
    <row r="163" spans="1:14" ht="34.5" customHeight="1" x14ac:dyDescent="0.25">
      <c r="A163" s="69" t="s">
        <v>707</v>
      </c>
      <c r="B163" s="18" t="s">
        <v>708</v>
      </c>
      <c r="C163" s="19" t="s">
        <v>104</v>
      </c>
      <c r="D163" s="18" t="s">
        <v>701</v>
      </c>
      <c r="E163" s="19" t="s">
        <v>709</v>
      </c>
      <c r="F163" s="18" t="s">
        <v>61</v>
      </c>
      <c r="G163" s="19" t="s">
        <v>710</v>
      </c>
      <c r="H163" s="18">
        <v>1</v>
      </c>
      <c r="I163" s="19" t="s">
        <v>711</v>
      </c>
      <c r="J163" s="18"/>
      <c r="K163" s="18"/>
      <c r="L163" s="18"/>
      <c r="M163" s="18"/>
      <c r="N163" s="59"/>
    </row>
    <row r="164" spans="1:14" ht="45.75" customHeight="1" x14ac:dyDescent="0.25">
      <c r="A164" s="69" t="s">
        <v>707</v>
      </c>
      <c r="B164" s="18" t="s">
        <v>708</v>
      </c>
      <c r="C164" s="19" t="s">
        <v>104</v>
      </c>
      <c r="D164" s="18" t="s">
        <v>701</v>
      </c>
      <c r="E164" s="19" t="s">
        <v>709</v>
      </c>
      <c r="F164" s="18" t="s">
        <v>714</v>
      </c>
      <c r="G164" s="19" t="s">
        <v>71</v>
      </c>
      <c r="H164" s="19" t="s">
        <v>715</v>
      </c>
      <c r="I164" s="19" t="s">
        <v>716</v>
      </c>
      <c r="J164" s="18"/>
      <c r="K164" s="18"/>
      <c r="L164" s="18"/>
      <c r="M164" s="18"/>
      <c r="N164" s="59"/>
    </row>
    <row r="165" spans="1:14" x14ac:dyDescent="0.25">
      <c r="A165" s="69" t="s">
        <v>717</v>
      </c>
      <c r="B165" s="18" t="s">
        <v>718</v>
      </c>
      <c r="C165" s="19" t="s">
        <v>719</v>
      </c>
      <c r="D165" s="18" t="s">
        <v>720</v>
      </c>
      <c r="E165" s="19" t="s">
        <v>721</v>
      </c>
      <c r="F165" s="18" t="s">
        <v>271</v>
      </c>
      <c r="G165" s="19" t="s">
        <v>722</v>
      </c>
      <c r="H165" s="18">
        <v>0.1</v>
      </c>
      <c r="I165" s="19" t="s">
        <v>723</v>
      </c>
      <c r="J165" s="18" t="s">
        <v>724</v>
      </c>
      <c r="K165" s="18"/>
      <c r="L165" s="19"/>
      <c r="M165" s="19"/>
      <c r="N165" s="59"/>
    </row>
    <row r="166" spans="1:14" ht="30" x14ac:dyDescent="0.25">
      <c r="A166" s="69" t="s">
        <v>717</v>
      </c>
      <c r="B166" s="18" t="s">
        <v>718</v>
      </c>
      <c r="C166" s="19" t="s">
        <v>719</v>
      </c>
      <c r="D166" s="18" t="s">
        <v>720</v>
      </c>
      <c r="E166" s="19" t="s">
        <v>721</v>
      </c>
      <c r="F166" s="19" t="s">
        <v>726</v>
      </c>
      <c r="G166" s="19" t="s">
        <v>727</v>
      </c>
      <c r="H166" s="19" t="s">
        <v>728</v>
      </c>
      <c r="I166" s="19" t="s">
        <v>729</v>
      </c>
      <c r="J166" s="19" t="s">
        <v>728</v>
      </c>
      <c r="K166" s="18"/>
      <c r="L166" s="19"/>
      <c r="M166" s="19"/>
      <c r="N166" s="59"/>
    </row>
    <row r="167" spans="1:14" ht="36" customHeight="1" x14ac:dyDescent="0.25">
      <c r="A167" s="69" t="s">
        <v>731</v>
      </c>
      <c r="B167" s="18" t="s">
        <v>732</v>
      </c>
      <c r="C167" s="19" t="s">
        <v>733</v>
      </c>
      <c r="D167" s="18" t="s">
        <v>734</v>
      </c>
      <c r="E167" s="19" t="s">
        <v>735</v>
      </c>
      <c r="F167" s="19" t="s">
        <v>736</v>
      </c>
      <c r="G167" s="19" t="s">
        <v>737</v>
      </c>
      <c r="H167" s="18"/>
      <c r="I167" s="19" t="s">
        <v>738</v>
      </c>
      <c r="J167" s="18"/>
      <c r="K167" s="18"/>
      <c r="L167" s="19"/>
      <c r="M167" s="19"/>
      <c r="N167" s="59"/>
    </row>
    <row r="168" spans="1:14" x14ac:dyDescent="0.25">
      <c r="A168" s="69" t="s">
        <v>717</v>
      </c>
      <c r="B168" s="18" t="s">
        <v>741</v>
      </c>
      <c r="C168" s="19" t="s">
        <v>742</v>
      </c>
      <c r="D168" s="18" t="s">
        <v>720</v>
      </c>
      <c r="E168" s="19" t="s">
        <v>721</v>
      </c>
      <c r="F168" s="18" t="s">
        <v>271</v>
      </c>
      <c r="G168" s="19" t="s">
        <v>722</v>
      </c>
      <c r="H168" s="18">
        <v>0.1</v>
      </c>
      <c r="I168" s="19" t="s">
        <v>723</v>
      </c>
      <c r="J168" s="18" t="s">
        <v>724</v>
      </c>
      <c r="K168" s="18"/>
      <c r="L168" s="19"/>
      <c r="M168" s="19"/>
      <c r="N168" s="59"/>
    </row>
    <row r="169" spans="1:14" ht="30" x14ac:dyDescent="0.25">
      <c r="A169" s="69" t="s">
        <v>717</v>
      </c>
      <c r="B169" s="18" t="s">
        <v>741</v>
      </c>
      <c r="C169" s="19" t="s">
        <v>742</v>
      </c>
      <c r="D169" s="18" t="s">
        <v>720</v>
      </c>
      <c r="E169" s="19" t="s">
        <v>721</v>
      </c>
      <c r="F169" s="19" t="s">
        <v>726</v>
      </c>
      <c r="G169" s="19" t="s">
        <v>727</v>
      </c>
      <c r="H169" s="19" t="s">
        <v>728</v>
      </c>
      <c r="I169" s="19" t="s">
        <v>729</v>
      </c>
      <c r="J169" s="19" t="s">
        <v>728</v>
      </c>
      <c r="K169" s="18"/>
      <c r="L169" s="19"/>
      <c r="M169" s="19"/>
      <c r="N169" s="59"/>
    </row>
    <row r="170" spans="1:14" x14ac:dyDescent="0.25">
      <c r="A170" s="69" t="s">
        <v>809</v>
      </c>
      <c r="B170" s="18" t="s">
        <v>744</v>
      </c>
      <c r="C170" s="19">
        <v>76314038</v>
      </c>
      <c r="D170" s="18" t="s">
        <v>26</v>
      </c>
      <c r="E170" s="19" t="s">
        <v>745</v>
      </c>
      <c r="F170" s="18" t="s">
        <v>28</v>
      </c>
      <c r="G170" s="19" t="s">
        <v>53</v>
      </c>
      <c r="H170" s="19" t="s">
        <v>746</v>
      </c>
      <c r="I170" s="19" t="s">
        <v>747</v>
      </c>
      <c r="J170" s="18" t="s">
        <v>748</v>
      </c>
      <c r="K170" s="18"/>
      <c r="L170" s="18"/>
      <c r="M170" s="18"/>
      <c r="N170" s="59"/>
    </row>
    <row r="171" spans="1:14" ht="30" customHeight="1" x14ac:dyDescent="0.25">
      <c r="A171" s="69" t="s">
        <v>35</v>
      </c>
      <c r="B171" s="18" t="s">
        <v>750</v>
      </c>
      <c r="C171" s="19" t="s">
        <v>751</v>
      </c>
      <c r="D171" s="18" t="s">
        <v>26</v>
      </c>
      <c r="E171" s="19" t="s">
        <v>41</v>
      </c>
      <c r="F171" s="18" t="s">
        <v>28</v>
      </c>
      <c r="G171" s="19" t="s">
        <v>53</v>
      </c>
      <c r="H171" s="18" t="s">
        <v>752</v>
      </c>
      <c r="I171" s="19" t="s">
        <v>753</v>
      </c>
      <c r="J171" s="18" t="s">
        <v>754</v>
      </c>
      <c r="K171" s="18"/>
      <c r="L171" s="18"/>
      <c r="M171" s="18"/>
      <c r="N171" s="59"/>
    </row>
    <row r="172" spans="1:14" ht="42.75" customHeight="1" x14ac:dyDescent="0.25">
      <c r="A172" s="69" t="s">
        <v>755</v>
      </c>
      <c r="B172" s="18" t="s">
        <v>756</v>
      </c>
      <c r="C172" s="19" t="s">
        <v>757</v>
      </c>
      <c r="D172" s="18" t="s">
        <v>758</v>
      </c>
      <c r="E172" s="19" t="s">
        <v>759</v>
      </c>
      <c r="F172" s="18" t="s">
        <v>66</v>
      </c>
      <c r="G172" s="19" t="s">
        <v>67</v>
      </c>
      <c r="H172" s="18">
        <v>1E-3</v>
      </c>
      <c r="I172" s="19" t="s">
        <v>760</v>
      </c>
      <c r="J172" s="19" t="s">
        <v>761</v>
      </c>
      <c r="K172" s="18"/>
      <c r="L172" s="19"/>
      <c r="M172" s="19"/>
      <c r="N172" s="59"/>
    </row>
    <row r="173" spans="1:14" ht="45" customHeight="1" x14ac:dyDescent="0.25">
      <c r="A173" s="69" t="s">
        <v>762</v>
      </c>
      <c r="B173" s="18" t="s">
        <v>763</v>
      </c>
      <c r="C173" s="19" t="s">
        <v>764</v>
      </c>
      <c r="D173" s="18" t="s">
        <v>765</v>
      </c>
      <c r="E173" s="19" t="s">
        <v>766</v>
      </c>
      <c r="F173" s="18" t="s">
        <v>271</v>
      </c>
      <c r="G173" s="19" t="s">
        <v>272</v>
      </c>
      <c r="H173" s="18">
        <v>1</v>
      </c>
      <c r="I173" s="19" t="s">
        <v>767</v>
      </c>
      <c r="J173" s="19" t="s">
        <v>768</v>
      </c>
      <c r="K173" s="18"/>
      <c r="L173" s="19"/>
      <c r="M173" s="19"/>
      <c r="N173" s="59"/>
    </row>
    <row r="174" spans="1:14" ht="52.5" customHeight="1" x14ac:dyDescent="0.25">
      <c r="A174" s="69" t="s">
        <v>770</v>
      </c>
      <c r="B174" s="18" t="s">
        <v>771</v>
      </c>
      <c r="C174" s="19"/>
      <c r="D174" s="18" t="s">
        <v>772</v>
      </c>
      <c r="E174" s="19" t="s">
        <v>773</v>
      </c>
      <c r="F174" s="18" t="s">
        <v>774</v>
      </c>
      <c r="G174" s="19" t="s">
        <v>135</v>
      </c>
      <c r="H174" s="18"/>
      <c r="I174" s="19"/>
      <c r="J174" s="18"/>
      <c r="K174" s="18"/>
      <c r="L174" s="19"/>
      <c r="M174" s="19"/>
      <c r="N174" s="59"/>
    </row>
    <row r="175" spans="1:14" ht="45.75" customHeight="1" x14ac:dyDescent="0.25">
      <c r="A175" s="69" t="s">
        <v>776</v>
      </c>
      <c r="B175" s="18" t="s">
        <v>777</v>
      </c>
      <c r="C175" s="19">
        <v>260416</v>
      </c>
      <c r="D175" s="18" t="s">
        <v>778</v>
      </c>
      <c r="E175" s="19" t="s">
        <v>779</v>
      </c>
      <c r="F175" s="18" t="s">
        <v>28</v>
      </c>
      <c r="G175" s="19" t="s">
        <v>53</v>
      </c>
      <c r="H175" s="18">
        <v>1</v>
      </c>
      <c r="I175" s="19" t="s">
        <v>780</v>
      </c>
      <c r="J175" s="18">
        <v>1</v>
      </c>
      <c r="K175" s="18"/>
      <c r="L175" s="18"/>
      <c r="M175" s="18"/>
      <c r="N175" s="59"/>
    </row>
    <row r="176" spans="1:14" ht="42.75" customHeight="1" x14ac:dyDescent="0.25">
      <c r="A176" s="27"/>
      <c r="B176" s="18"/>
      <c r="C176" s="19"/>
      <c r="D176" s="18"/>
      <c r="E176" s="19"/>
      <c r="F176" s="18"/>
      <c r="G176" s="19"/>
      <c r="H176" s="18"/>
      <c r="I176" s="19"/>
      <c r="J176" s="18"/>
      <c r="K176" s="18"/>
      <c r="L176" s="18"/>
      <c r="M176" s="18"/>
      <c r="N176" s="59"/>
    </row>
    <row r="177" spans="1:17" ht="52.5" customHeight="1" x14ac:dyDescent="0.25">
      <c r="A177" s="27"/>
      <c r="B177" s="18"/>
      <c r="C177" s="19"/>
      <c r="D177" s="18"/>
      <c r="E177" s="19"/>
      <c r="F177" s="18"/>
      <c r="G177" s="19"/>
      <c r="H177" s="18"/>
      <c r="I177" s="19"/>
      <c r="J177" s="18"/>
      <c r="K177" s="18"/>
      <c r="L177" s="18"/>
      <c r="M177" s="18"/>
      <c r="N177" s="59"/>
    </row>
    <row r="178" spans="1:17" ht="57" customHeight="1" x14ac:dyDescent="0.25">
      <c r="A178" s="27"/>
      <c r="B178" s="18"/>
      <c r="C178" s="19"/>
      <c r="D178" s="18"/>
      <c r="E178" s="19"/>
      <c r="F178" s="18"/>
      <c r="G178" s="19"/>
      <c r="H178" s="18"/>
      <c r="I178" s="19"/>
      <c r="J178" s="18"/>
      <c r="K178" s="18"/>
      <c r="L178" s="18"/>
      <c r="M178" s="18"/>
      <c r="N178" s="59"/>
      <c r="Q178" t="s">
        <v>782</v>
      </c>
    </row>
    <row r="179" spans="1:17" ht="60" customHeight="1" x14ac:dyDescent="0.25">
      <c r="A179" s="27"/>
      <c r="B179" s="18"/>
      <c r="C179" s="19"/>
      <c r="D179" s="18"/>
      <c r="E179" s="19"/>
      <c r="F179" s="18"/>
      <c r="G179" s="19"/>
      <c r="H179" s="18"/>
      <c r="I179" s="19"/>
      <c r="J179" s="18"/>
      <c r="K179" s="18"/>
      <c r="L179" s="18"/>
      <c r="M179" s="18"/>
      <c r="N179" s="59"/>
    </row>
    <row r="180" spans="1:17" ht="39.75" customHeight="1" x14ac:dyDescent="0.25">
      <c r="A180" s="27"/>
      <c r="B180" s="18"/>
      <c r="C180" s="19"/>
      <c r="D180" s="18"/>
      <c r="E180" s="19"/>
      <c r="F180" s="18"/>
      <c r="G180" s="19"/>
      <c r="H180" s="18"/>
      <c r="I180" s="19"/>
      <c r="J180" s="18"/>
      <c r="K180" s="18"/>
      <c r="L180" s="18"/>
      <c r="M180" s="18"/>
      <c r="N180" s="59"/>
    </row>
    <row r="181" spans="1:17" ht="45" customHeight="1" x14ac:dyDescent="0.25">
      <c r="A181" s="27"/>
      <c r="B181" s="18"/>
      <c r="C181" s="19"/>
      <c r="D181" s="18"/>
      <c r="E181" s="19"/>
      <c r="F181" s="18"/>
      <c r="G181" s="19"/>
      <c r="H181" s="18"/>
      <c r="I181" s="19"/>
      <c r="J181" s="18"/>
      <c r="K181" s="18"/>
      <c r="L181" s="18"/>
      <c r="M181" s="18"/>
      <c r="N181" s="59"/>
    </row>
    <row r="182" spans="1:17" ht="42" customHeight="1" x14ac:dyDescent="0.25">
      <c r="A182" s="27"/>
      <c r="B182" s="18"/>
      <c r="C182" s="19"/>
      <c r="D182" s="18"/>
      <c r="E182" s="19"/>
      <c r="F182" s="18"/>
      <c r="G182" s="19"/>
      <c r="H182" s="18"/>
      <c r="I182" s="19"/>
      <c r="J182" s="18"/>
      <c r="K182" s="18"/>
      <c r="L182" s="18"/>
      <c r="M182" s="18"/>
      <c r="N182" s="59"/>
    </row>
    <row r="183" spans="1:17" ht="45.75" customHeight="1" x14ac:dyDescent="0.25">
      <c r="A183" s="27"/>
      <c r="B183" s="18"/>
      <c r="C183" s="19"/>
      <c r="D183" s="18"/>
      <c r="E183" s="19"/>
      <c r="F183" s="18"/>
      <c r="G183" s="19"/>
      <c r="H183" s="18"/>
      <c r="I183" s="19"/>
      <c r="J183" s="18"/>
      <c r="K183" s="18"/>
      <c r="L183" s="18"/>
      <c r="M183" s="18"/>
      <c r="N183" s="59"/>
    </row>
    <row r="184" spans="1:17" ht="34.5" customHeight="1" x14ac:dyDescent="0.25">
      <c r="A184" s="27"/>
      <c r="B184" s="18"/>
      <c r="C184" s="19"/>
      <c r="D184" s="18"/>
      <c r="E184" s="19"/>
      <c r="F184" s="18"/>
      <c r="G184" s="19"/>
      <c r="H184" s="18"/>
      <c r="I184" s="19"/>
      <c r="J184" s="18"/>
      <c r="K184" s="18"/>
      <c r="L184" s="18"/>
      <c r="M184" s="18"/>
      <c r="N184" s="59"/>
    </row>
    <row r="185" spans="1:17" ht="39.75" customHeight="1" x14ac:dyDescent="0.25">
      <c r="A185" s="27"/>
      <c r="B185" s="18"/>
      <c r="C185" s="19"/>
      <c r="D185" s="18"/>
      <c r="E185" s="19"/>
      <c r="F185" s="18"/>
      <c r="G185" s="19"/>
      <c r="H185" s="18"/>
      <c r="I185" s="19"/>
      <c r="J185" s="18"/>
      <c r="K185" s="18"/>
      <c r="L185" s="18"/>
      <c r="M185" s="18"/>
      <c r="N185" s="59"/>
    </row>
    <row r="186" spans="1:17" ht="48" customHeight="1" x14ac:dyDescent="0.25">
      <c r="A186" s="27"/>
      <c r="B186" s="18"/>
      <c r="C186" s="19"/>
      <c r="D186" s="18"/>
      <c r="E186" s="19"/>
      <c r="F186" s="18"/>
      <c r="G186" s="19"/>
      <c r="H186" s="18"/>
      <c r="I186" s="19"/>
      <c r="J186" s="18"/>
      <c r="K186" s="18"/>
      <c r="L186" s="18"/>
      <c r="M186" s="18"/>
      <c r="N186" s="59"/>
    </row>
    <row r="187" spans="1:17" ht="64.5" customHeight="1" x14ac:dyDescent="0.25">
      <c r="A187" s="27"/>
      <c r="B187" s="18"/>
      <c r="C187" s="19"/>
      <c r="D187" s="18"/>
      <c r="E187" s="19"/>
      <c r="F187" s="18"/>
      <c r="G187" s="19"/>
      <c r="H187" s="18"/>
      <c r="I187" s="19"/>
      <c r="J187" s="18"/>
      <c r="K187" s="18"/>
      <c r="L187" s="18"/>
      <c r="M187" s="18"/>
      <c r="N187" s="59"/>
    </row>
    <row r="188" spans="1:17" ht="52.5" customHeight="1" x14ac:dyDescent="0.25">
      <c r="A188" s="27"/>
      <c r="B188" s="18"/>
      <c r="C188" s="19"/>
      <c r="D188" s="18"/>
      <c r="E188" s="19"/>
      <c r="F188" s="18"/>
      <c r="G188" s="19"/>
      <c r="H188" s="18"/>
      <c r="I188" s="19"/>
      <c r="J188" s="18"/>
      <c r="K188" s="18"/>
      <c r="L188" s="18"/>
      <c r="M188" s="18"/>
      <c r="N188" s="59"/>
    </row>
    <row r="189" spans="1:17" ht="45.75" customHeight="1" x14ac:dyDescent="0.25">
      <c r="A189" s="27"/>
      <c r="B189" s="18"/>
      <c r="C189" s="19"/>
      <c r="D189" s="18"/>
      <c r="E189" s="19"/>
      <c r="F189" s="18"/>
      <c r="G189" s="19"/>
      <c r="H189" s="18"/>
      <c r="I189" s="19"/>
      <c r="J189" s="18"/>
      <c r="K189" s="18"/>
      <c r="L189" s="18"/>
      <c r="M189" s="18"/>
      <c r="N189" s="59"/>
    </row>
    <row r="190" spans="1:17" ht="51.75" customHeight="1" x14ac:dyDescent="0.25">
      <c r="A190" s="27"/>
      <c r="B190" s="18"/>
      <c r="C190" s="19"/>
      <c r="D190" s="18"/>
      <c r="E190" s="19"/>
      <c r="F190" s="18"/>
      <c r="G190" s="19"/>
      <c r="H190" s="18"/>
      <c r="I190" s="19"/>
      <c r="J190" s="18"/>
      <c r="K190" s="18"/>
      <c r="L190" s="18"/>
      <c r="M190" s="18"/>
      <c r="N190" s="59"/>
    </row>
    <row r="191" spans="1:17" ht="53.25" customHeight="1" x14ac:dyDescent="0.25">
      <c r="A191" s="28" t="s">
        <v>783</v>
      </c>
    </row>
    <row r="193" spans="1:14" ht="29.25" customHeight="1" x14ac:dyDescent="0.25">
      <c r="A193" s="29" t="s">
        <v>785</v>
      </c>
      <c r="B193" s="30"/>
      <c r="C193" s="31" t="s">
        <v>786</v>
      </c>
      <c r="D193" s="31"/>
      <c r="E193" s="30"/>
      <c r="F193" s="31"/>
      <c r="G193" s="31"/>
      <c r="H193" s="31"/>
    </row>
    <row r="194" spans="1:14" x14ac:dyDescent="0.25">
      <c r="A194" s="6"/>
      <c r="B194" s="7"/>
      <c r="C194" s="13"/>
      <c r="D194" s="13"/>
      <c r="E194" s="7"/>
      <c r="F194" s="13"/>
      <c r="G194" s="13"/>
      <c r="H194" s="13"/>
    </row>
    <row r="195" spans="1:14" x14ac:dyDescent="0.25">
      <c r="A195" s="51" t="s">
        <v>787</v>
      </c>
      <c r="B195" s="32"/>
      <c r="C195" s="82" t="s">
        <v>788</v>
      </c>
      <c r="D195" s="82"/>
      <c r="E195" s="2"/>
      <c r="F195" s="82" t="s">
        <v>789</v>
      </c>
      <c r="G195" s="82"/>
      <c r="H195" s="82"/>
    </row>
    <row r="196" spans="1:14" x14ac:dyDescent="0.25">
      <c r="A196" s="52" t="s">
        <v>790</v>
      </c>
      <c r="B196" s="32"/>
      <c r="C196" s="83" t="s">
        <v>791</v>
      </c>
      <c r="D196" s="83"/>
      <c r="E196" s="2"/>
      <c r="F196" s="83" t="s">
        <v>792</v>
      </c>
      <c r="G196" s="83"/>
      <c r="H196" s="83"/>
    </row>
    <row r="199" spans="1:14" x14ac:dyDescent="0.25">
      <c r="N199" s="59"/>
    </row>
  </sheetData>
  <autoFilter ref="A6:N191" xr:uid="{00000000-0009-0000-0000-000001000000}"/>
  <mergeCells count="6">
    <mergeCell ref="A1:A5"/>
    <mergeCell ref="B1:N3"/>
    <mergeCell ref="C195:D195"/>
    <mergeCell ref="F195:H195"/>
    <mergeCell ref="C196:D196"/>
    <mergeCell ref="F196:H196"/>
  </mergeCells>
  <printOptions horizontalCentered="1"/>
  <pageMargins left="0.25" right="0.25" top="0.75" bottom="0.75" header="0.3" footer="0.3"/>
  <pageSetup scale="39" fitToHeight="0" orientation="landscape" r:id="rId1"/>
  <headerFooter>
    <oddFooter>&amp;CPágina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W16"/>
  <sheetViews>
    <sheetView showGridLines="0" zoomScaleNormal="100" workbookViewId="0">
      <selection activeCell="B8" sqref="B8"/>
    </sheetView>
  </sheetViews>
  <sheetFormatPr baseColWidth="10" defaultColWidth="11.42578125" defaultRowHeight="15" x14ac:dyDescent="0.25"/>
  <cols>
    <col min="1" max="1" width="36.7109375" style="1" customWidth="1"/>
    <col min="2" max="2" width="17.28515625" style="2" customWidth="1"/>
    <col min="3" max="3" width="17.5703125" customWidth="1"/>
    <col min="4" max="4" width="18.42578125" style="4" customWidth="1"/>
    <col min="5" max="5" width="14" style="16" customWidth="1"/>
    <col min="6" max="6" width="16.5703125" customWidth="1"/>
    <col min="7" max="7" width="10.42578125" customWidth="1"/>
    <col min="8" max="8" width="10.28515625" customWidth="1"/>
    <col min="9" max="9" width="32.28515625" customWidth="1"/>
    <col min="10" max="11" width="14.42578125" customWidth="1"/>
    <col min="12" max="12" width="32.28515625" customWidth="1"/>
    <col min="13" max="13" width="11.42578125" customWidth="1"/>
    <col min="14" max="15" width="13.140625" customWidth="1"/>
    <col min="16" max="16" width="15.42578125" customWidth="1"/>
    <col min="17" max="17" width="23" customWidth="1"/>
    <col min="18" max="18" width="14.140625" customWidth="1"/>
    <col min="19" max="19" width="11.42578125" style="43"/>
    <col min="20" max="20" width="14.140625" customWidth="1"/>
    <col min="21" max="21" width="15.85546875" style="2" customWidth="1"/>
    <col min="22" max="22" width="38.140625" customWidth="1"/>
    <col min="23" max="23" width="14.7109375" customWidth="1"/>
  </cols>
  <sheetData>
    <row r="1" spans="1:23" ht="15" customHeight="1" x14ac:dyDescent="0.25">
      <c r="C1" s="3"/>
      <c r="E1" s="5"/>
      <c r="F1" s="6"/>
      <c r="G1" s="6"/>
      <c r="H1" s="6"/>
      <c r="I1" s="6"/>
      <c r="J1" s="6"/>
      <c r="K1" s="6"/>
      <c r="S1"/>
    </row>
    <row r="2" spans="1:23" ht="28.5" customHeight="1" x14ac:dyDescent="0.25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</row>
    <row r="3" spans="1:23" ht="30" customHeight="1" x14ac:dyDescent="0.25">
      <c r="C3" s="7"/>
      <c r="E3" s="5"/>
      <c r="F3" s="6"/>
      <c r="G3" s="6"/>
      <c r="H3" s="6"/>
      <c r="I3" s="6"/>
      <c r="J3" s="6"/>
      <c r="K3" s="6"/>
      <c r="S3"/>
      <c r="V3" s="8" t="s">
        <v>2</v>
      </c>
    </row>
    <row r="4" spans="1:23" x14ac:dyDescent="0.25">
      <c r="A4" s="9" t="s">
        <v>810</v>
      </c>
      <c r="B4" s="10"/>
      <c r="C4" s="11">
        <f ca="1">TODAY()</f>
        <v>46213</v>
      </c>
      <c r="D4"/>
      <c r="E4" s="7"/>
      <c r="F4" s="12"/>
      <c r="G4" s="12"/>
      <c r="H4" s="12"/>
      <c r="I4" s="12"/>
      <c r="J4" s="12"/>
      <c r="K4" s="12"/>
      <c r="S4"/>
    </row>
    <row r="5" spans="1:23" ht="7.5" customHeight="1" x14ac:dyDescent="0.25">
      <c r="C5" s="13"/>
      <c r="D5" s="13"/>
      <c r="E5" s="7"/>
      <c r="F5" s="13"/>
      <c r="G5" s="13"/>
      <c r="H5" s="13"/>
      <c r="I5" s="13"/>
      <c r="J5" s="13"/>
      <c r="K5" s="13"/>
      <c r="S5"/>
    </row>
    <row r="6" spans="1:23" s="16" customFormat="1" ht="32.25" customHeight="1" x14ac:dyDescent="0.25">
      <c r="A6" s="14" t="s">
        <v>3</v>
      </c>
      <c r="B6" s="14" t="s">
        <v>4</v>
      </c>
      <c r="C6" s="14" t="s">
        <v>5</v>
      </c>
      <c r="D6" s="14" t="s">
        <v>6</v>
      </c>
      <c r="E6" s="14" t="s">
        <v>7</v>
      </c>
      <c r="F6" s="14" t="s">
        <v>8</v>
      </c>
      <c r="G6" s="14" t="s">
        <v>9</v>
      </c>
      <c r="H6" s="14" t="s">
        <v>10</v>
      </c>
      <c r="I6" s="14" t="s">
        <v>11</v>
      </c>
      <c r="J6" s="14" t="s">
        <v>12</v>
      </c>
      <c r="K6" s="15" t="s">
        <v>13</v>
      </c>
      <c r="L6" s="14" t="s">
        <v>14</v>
      </c>
      <c r="M6" s="14" t="s">
        <v>15</v>
      </c>
      <c r="N6" s="14" t="s">
        <v>811</v>
      </c>
      <c r="O6" s="14" t="s">
        <v>812</v>
      </c>
      <c r="P6" s="14" t="s">
        <v>17</v>
      </c>
      <c r="Q6" s="14" t="s">
        <v>18</v>
      </c>
      <c r="R6" s="14" t="s">
        <v>19</v>
      </c>
      <c r="S6" s="14" t="s">
        <v>20</v>
      </c>
      <c r="T6" s="14" t="s">
        <v>21</v>
      </c>
      <c r="U6" s="14" t="s">
        <v>22</v>
      </c>
      <c r="V6" s="14" t="s">
        <v>23</v>
      </c>
      <c r="W6" s="14" t="s">
        <v>813</v>
      </c>
    </row>
    <row r="8" spans="1:23" ht="29.25" customHeight="1" x14ac:dyDescent="0.25">
      <c r="A8" s="33" t="s">
        <v>454</v>
      </c>
      <c r="B8" s="34" t="s">
        <v>814</v>
      </c>
      <c r="C8" s="35" t="s">
        <v>815</v>
      </c>
      <c r="D8" s="35" t="s">
        <v>148</v>
      </c>
      <c r="E8" s="35" t="s">
        <v>300</v>
      </c>
      <c r="F8" s="34" t="s">
        <v>80</v>
      </c>
      <c r="G8" s="34" t="s">
        <v>81</v>
      </c>
      <c r="H8" s="34">
        <v>0.1</v>
      </c>
      <c r="I8" s="35" t="s">
        <v>458</v>
      </c>
      <c r="J8" s="35">
        <v>0.01</v>
      </c>
      <c r="K8" s="35" t="s">
        <v>31</v>
      </c>
      <c r="L8" s="35" t="s">
        <v>458</v>
      </c>
      <c r="M8" s="34">
        <v>12</v>
      </c>
      <c r="N8" s="36">
        <v>0</v>
      </c>
      <c r="O8" s="36">
        <v>0</v>
      </c>
      <c r="P8" s="37">
        <v>43633</v>
      </c>
      <c r="Q8" s="38" t="s">
        <v>65</v>
      </c>
      <c r="R8" s="37">
        <f>EDATE(P8,M8)</f>
        <v>43999</v>
      </c>
      <c r="S8" s="37">
        <f>R8-45</f>
        <v>43954</v>
      </c>
      <c r="T8" s="34" t="str">
        <f ca="1">+IF(S8&gt;TODAY(),"CALIBRADO","PROGRAMADO")</f>
        <v>PROGRAMADO</v>
      </c>
      <c r="U8" s="34" t="s">
        <v>816</v>
      </c>
      <c r="V8" s="17" t="s">
        <v>817</v>
      </c>
      <c r="W8" s="37"/>
    </row>
    <row r="9" spans="1:23" ht="29.25" customHeight="1" x14ac:dyDescent="0.25">
      <c r="A9" s="33" t="s">
        <v>818</v>
      </c>
      <c r="B9" s="34" t="s">
        <v>819</v>
      </c>
      <c r="C9" s="35" t="s">
        <v>820</v>
      </c>
      <c r="D9" s="34" t="s">
        <v>821</v>
      </c>
      <c r="E9" s="35" t="s">
        <v>822</v>
      </c>
      <c r="F9" s="34" t="s">
        <v>435</v>
      </c>
      <c r="G9" s="34" t="s">
        <v>823</v>
      </c>
      <c r="H9" s="34"/>
      <c r="I9" s="35"/>
      <c r="J9" s="35"/>
      <c r="K9" s="35" t="s">
        <v>31</v>
      </c>
      <c r="L9" s="35"/>
      <c r="M9" s="34">
        <v>16</v>
      </c>
      <c r="N9" s="36">
        <v>160000</v>
      </c>
      <c r="O9" s="36">
        <v>0</v>
      </c>
      <c r="P9" s="37">
        <v>43798</v>
      </c>
      <c r="Q9" s="38" t="s">
        <v>485</v>
      </c>
      <c r="R9" s="37">
        <f>EDATE(P9,M9)</f>
        <v>44284</v>
      </c>
      <c r="S9" s="37">
        <f>R9-45</f>
        <v>44239</v>
      </c>
      <c r="T9" s="34" t="str">
        <f ca="1">+IF(S9&gt;TODAY(),"CALIBRADO","PROGRAMADO")</f>
        <v>PROGRAMADO</v>
      </c>
      <c r="U9" s="34" t="s">
        <v>816</v>
      </c>
      <c r="V9" s="27" t="s">
        <v>824</v>
      </c>
      <c r="W9" s="37"/>
    </row>
    <row r="10" spans="1:23" ht="29.25" customHeight="1" x14ac:dyDescent="0.25">
      <c r="A10" s="39"/>
      <c r="B10" s="40"/>
      <c r="C10" s="41"/>
      <c r="D10" s="40"/>
      <c r="E10" s="41"/>
      <c r="F10" s="40"/>
      <c r="G10" s="40"/>
      <c r="H10" s="40"/>
      <c r="I10" s="41"/>
      <c r="J10" s="41"/>
      <c r="K10" s="41"/>
      <c r="L10" s="41"/>
      <c r="M10" s="40"/>
      <c r="N10" s="42"/>
      <c r="O10" s="42"/>
      <c r="P10" s="43"/>
      <c r="Q10" s="44"/>
      <c r="R10" s="43"/>
      <c r="T10" s="40"/>
      <c r="U10" s="40"/>
      <c r="V10" s="45"/>
    </row>
    <row r="11" spans="1:23" ht="25.5" x14ac:dyDescent="0.25">
      <c r="A11" s="28" t="s">
        <v>783</v>
      </c>
    </row>
    <row r="13" spans="1:23" x14ac:dyDescent="0.25">
      <c r="A13" s="29" t="s">
        <v>785</v>
      </c>
      <c r="B13" s="30"/>
      <c r="C13" s="31" t="s">
        <v>786</v>
      </c>
      <c r="D13" s="31"/>
      <c r="E13" s="30"/>
      <c r="F13" s="31"/>
      <c r="G13" s="31"/>
      <c r="H13" s="31"/>
    </row>
    <row r="14" spans="1:23" x14ac:dyDescent="0.25">
      <c r="A14" s="6"/>
      <c r="B14" s="7"/>
      <c r="C14" s="13"/>
      <c r="D14" s="13"/>
      <c r="E14" s="7"/>
      <c r="F14" s="13"/>
      <c r="G14" s="13"/>
      <c r="H14" s="13"/>
    </row>
    <row r="15" spans="1:23" x14ac:dyDescent="0.25">
      <c r="A15" s="51" t="s">
        <v>787</v>
      </c>
      <c r="B15" s="32"/>
      <c r="C15" s="51" t="s">
        <v>788</v>
      </c>
      <c r="D15" s="51"/>
      <c r="E15" s="2"/>
      <c r="F15" s="82" t="s">
        <v>789</v>
      </c>
      <c r="G15" s="82"/>
      <c r="H15" s="82"/>
    </row>
    <row r="16" spans="1:23" x14ac:dyDescent="0.25">
      <c r="A16" s="52" t="s">
        <v>790</v>
      </c>
      <c r="B16" s="32"/>
      <c r="C16" s="52" t="s">
        <v>791</v>
      </c>
      <c r="D16" s="52"/>
      <c r="E16" s="2"/>
      <c r="F16" s="83" t="s">
        <v>792</v>
      </c>
      <c r="G16" s="83"/>
      <c r="H16" s="83"/>
    </row>
  </sheetData>
  <autoFilter ref="A6:V11" xr:uid="{00000000-0009-0000-0000-000002000000}"/>
  <mergeCells count="3">
    <mergeCell ref="A2:V2"/>
    <mergeCell ref="F15:H15"/>
    <mergeCell ref="F16:H16"/>
  </mergeCells>
  <conditionalFormatting sqref="S8:S9">
    <cfRule type="cellIs" dxfId="17" priority="3" operator="lessThan">
      <formula>+TODAY()</formula>
    </cfRule>
  </conditionalFormatting>
  <conditionalFormatting sqref="T8:T10">
    <cfRule type="containsText" dxfId="16" priority="1" operator="containsText" text="CALIBRADO">
      <formula>NOT(ISERROR(SEARCH("CALIBRADO",T8)))</formula>
    </cfRule>
    <cfRule type="containsText" dxfId="15" priority="2" operator="containsText" text="PROGRAMADO">
      <formula>NOT(ISERROR(SEARCH("PROGRAMADO",T8)))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scale="70" orientation="portrait" r:id="rId1"/>
  <headerFooter>
    <oddFooter>&amp;CPágina &amp;P de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W22"/>
  <sheetViews>
    <sheetView showGridLines="0" zoomScaleNormal="100" workbookViewId="0">
      <selection activeCell="B12" sqref="B12"/>
    </sheetView>
  </sheetViews>
  <sheetFormatPr baseColWidth="10" defaultColWidth="11.42578125" defaultRowHeight="15" x14ac:dyDescent="0.25"/>
  <cols>
    <col min="1" max="1" width="36.7109375" style="1" customWidth="1"/>
    <col min="2" max="2" width="17.28515625" style="2" customWidth="1"/>
    <col min="3" max="3" width="17.5703125" customWidth="1"/>
    <col min="4" max="4" width="18.42578125" style="4" customWidth="1"/>
    <col min="5" max="5" width="14" style="16" customWidth="1"/>
    <col min="6" max="6" width="16.5703125" customWidth="1"/>
    <col min="7" max="7" width="10.42578125" customWidth="1"/>
    <col min="8" max="8" width="10.28515625" customWidth="1"/>
    <col min="9" max="9" width="32.28515625" customWidth="1"/>
    <col min="10" max="11" width="14.42578125" customWidth="1"/>
    <col min="12" max="12" width="32.28515625" customWidth="1"/>
    <col min="13" max="13" width="11.42578125" customWidth="1"/>
    <col min="14" max="15" width="13.140625" customWidth="1"/>
    <col min="16" max="16" width="15.42578125" customWidth="1"/>
    <col min="17" max="17" width="23" customWidth="1"/>
    <col min="18" max="18" width="14.140625" customWidth="1"/>
    <col min="19" max="19" width="11.42578125" style="43"/>
    <col min="20" max="20" width="14.140625" customWidth="1"/>
    <col min="21" max="21" width="15.85546875" style="2" customWidth="1"/>
    <col min="22" max="22" width="38.140625" customWidth="1"/>
    <col min="23" max="23" width="14.7109375" customWidth="1"/>
  </cols>
  <sheetData>
    <row r="1" spans="1:23" ht="15" customHeight="1" x14ac:dyDescent="0.25">
      <c r="C1" s="3"/>
      <c r="E1" s="5"/>
      <c r="F1" s="6"/>
      <c r="G1" s="6"/>
      <c r="H1" s="6"/>
      <c r="I1" s="6"/>
      <c r="J1" s="6"/>
      <c r="K1" s="6"/>
      <c r="S1"/>
    </row>
    <row r="2" spans="1:23" ht="28.5" customHeight="1" x14ac:dyDescent="0.25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</row>
    <row r="3" spans="1:23" ht="30" customHeight="1" x14ac:dyDescent="0.25">
      <c r="C3" s="7"/>
      <c r="E3" s="5"/>
      <c r="F3" s="6"/>
      <c r="G3" s="6"/>
      <c r="H3" s="6"/>
      <c r="I3" s="6"/>
      <c r="J3" s="6"/>
      <c r="K3" s="6"/>
      <c r="S3"/>
      <c r="V3" s="8" t="s">
        <v>2</v>
      </c>
    </row>
    <row r="4" spans="1:23" x14ac:dyDescent="0.25">
      <c r="A4" s="9" t="s">
        <v>810</v>
      </c>
      <c r="B4" s="10"/>
      <c r="C4" s="11">
        <f ca="1">TODAY()</f>
        <v>46213</v>
      </c>
      <c r="D4"/>
      <c r="E4" s="7"/>
      <c r="F4" s="12"/>
      <c r="G4" s="12"/>
      <c r="H4" s="12"/>
      <c r="I4" s="12"/>
      <c r="J4" s="12"/>
      <c r="K4" s="12"/>
      <c r="S4"/>
    </row>
    <row r="5" spans="1:23" ht="7.5" customHeight="1" x14ac:dyDescent="0.25">
      <c r="C5" s="13"/>
      <c r="D5" s="13"/>
      <c r="E5" s="7"/>
      <c r="F5" s="13"/>
      <c r="G5" s="13"/>
      <c r="H5" s="13"/>
      <c r="I5" s="13"/>
      <c r="J5" s="13"/>
      <c r="K5" s="13"/>
      <c r="S5"/>
    </row>
    <row r="6" spans="1:23" s="16" customFormat="1" ht="32.25" customHeight="1" x14ac:dyDescent="0.25">
      <c r="A6" s="14" t="s">
        <v>3</v>
      </c>
      <c r="B6" s="14" t="s">
        <v>4</v>
      </c>
      <c r="C6" s="14" t="s">
        <v>5</v>
      </c>
      <c r="D6" s="14" t="s">
        <v>6</v>
      </c>
      <c r="E6" s="14" t="s">
        <v>7</v>
      </c>
      <c r="F6" s="14" t="s">
        <v>8</v>
      </c>
      <c r="G6" s="14" t="s">
        <v>9</v>
      </c>
      <c r="H6" s="14" t="s">
        <v>10</v>
      </c>
      <c r="I6" s="14" t="s">
        <v>11</v>
      </c>
      <c r="J6" s="14" t="s">
        <v>12</v>
      </c>
      <c r="K6" s="15" t="s">
        <v>13</v>
      </c>
      <c r="L6" s="14" t="s">
        <v>14</v>
      </c>
      <c r="M6" s="14" t="s">
        <v>15</v>
      </c>
      <c r="N6" s="15" t="s">
        <v>811</v>
      </c>
      <c r="O6" s="15" t="s">
        <v>812</v>
      </c>
      <c r="P6" s="14" t="s">
        <v>17</v>
      </c>
      <c r="Q6" s="14" t="s">
        <v>18</v>
      </c>
      <c r="R6" s="14" t="s">
        <v>19</v>
      </c>
      <c r="S6" s="14" t="s">
        <v>20</v>
      </c>
      <c r="T6" s="14" t="s">
        <v>21</v>
      </c>
      <c r="U6" s="14" t="s">
        <v>22</v>
      </c>
      <c r="V6" s="14" t="s">
        <v>23</v>
      </c>
      <c r="W6" s="14" t="s">
        <v>813</v>
      </c>
    </row>
    <row r="7" spans="1:23" ht="29.25" customHeight="1" x14ac:dyDescent="0.25">
      <c r="A7" s="17" t="s">
        <v>798</v>
      </c>
      <c r="B7" s="18" t="s">
        <v>50</v>
      </c>
      <c r="C7" s="18" t="s">
        <v>799</v>
      </c>
      <c r="D7" s="19" t="s">
        <v>800</v>
      </c>
      <c r="E7" s="18" t="s">
        <v>801</v>
      </c>
      <c r="F7" s="18" t="s">
        <v>66</v>
      </c>
      <c r="G7" s="18" t="s">
        <v>67</v>
      </c>
      <c r="H7" s="18">
        <v>0.1</v>
      </c>
      <c r="I7" s="19" t="s">
        <v>802</v>
      </c>
      <c r="J7" s="19">
        <v>0.05</v>
      </c>
      <c r="K7" s="19" t="s">
        <v>31</v>
      </c>
      <c r="L7" s="19" t="s">
        <v>802</v>
      </c>
      <c r="M7" s="18">
        <v>18</v>
      </c>
      <c r="N7" s="20">
        <v>393000</v>
      </c>
      <c r="O7" s="20">
        <v>0</v>
      </c>
      <c r="P7" s="21">
        <v>43749</v>
      </c>
      <c r="Q7" s="22" t="s">
        <v>65</v>
      </c>
      <c r="R7" s="21">
        <f t="shared" ref="R7:R14" si="0">EDATE(P7,M7)</f>
        <v>44297</v>
      </c>
      <c r="S7" s="21">
        <f t="shared" ref="S7:S14" si="1">R7-45</f>
        <v>44252</v>
      </c>
      <c r="T7" s="18" t="str">
        <f t="shared" ref="T7:T14" ca="1" si="2">+IF(S7&gt;TODAY(),"CALIBRADO","PROGRAMADO")</f>
        <v>PROGRAMADO</v>
      </c>
      <c r="U7" s="18" t="s">
        <v>825</v>
      </c>
      <c r="V7" s="26" t="s">
        <v>826</v>
      </c>
      <c r="W7" s="21">
        <v>44293</v>
      </c>
    </row>
    <row r="8" spans="1:23" ht="29.25" customHeight="1" x14ac:dyDescent="0.25">
      <c r="A8" s="17" t="s">
        <v>827</v>
      </c>
      <c r="B8" s="18" t="s">
        <v>828</v>
      </c>
      <c r="C8" s="19" t="s">
        <v>829</v>
      </c>
      <c r="D8" s="19" t="s">
        <v>830</v>
      </c>
      <c r="E8" s="19" t="s">
        <v>831</v>
      </c>
      <c r="F8" s="18" t="s">
        <v>278</v>
      </c>
      <c r="G8" s="18" t="s">
        <v>571</v>
      </c>
      <c r="H8" s="18">
        <v>2.5000000000000001E-2</v>
      </c>
      <c r="I8" s="19" t="s">
        <v>832</v>
      </c>
      <c r="J8" s="19">
        <v>0.02</v>
      </c>
      <c r="K8" s="19" t="s">
        <v>31</v>
      </c>
      <c r="L8" s="19" t="s">
        <v>32</v>
      </c>
      <c r="M8" s="18">
        <v>12</v>
      </c>
      <c r="N8" s="20">
        <v>0</v>
      </c>
      <c r="O8" s="20">
        <v>0</v>
      </c>
      <c r="P8" s="21">
        <v>43579</v>
      </c>
      <c r="Q8" s="22" t="s">
        <v>833</v>
      </c>
      <c r="R8" s="21">
        <f t="shared" si="0"/>
        <v>43945</v>
      </c>
      <c r="S8" s="21">
        <f t="shared" si="1"/>
        <v>43900</v>
      </c>
      <c r="T8" s="18" t="str">
        <f t="shared" ca="1" si="2"/>
        <v>PROGRAMADO</v>
      </c>
      <c r="U8" s="18" t="s">
        <v>825</v>
      </c>
      <c r="V8" s="26" t="s">
        <v>826</v>
      </c>
      <c r="W8" s="21">
        <v>43936</v>
      </c>
    </row>
    <row r="9" spans="1:23" ht="29.25" customHeight="1" x14ac:dyDescent="0.25">
      <c r="A9" s="17" t="s">
        <v>834</v>
      </c>
      <c r="B9" s="18" t="s">
        <v>835</v>
      </c>
      <c r="C9" s="19" t="s">
        <v>836</v>
      </c>
      <c r="D9" s="19" t="s">
        <v>837</v>
      </c>
      <c r="E9" s="18" t="s">
        <v>821</v>
      </c>
      <c r="F9" s="18" t="s">
        <v>278</v>
      </c>
      <c r="G9" s="18" t="s">
        <v>571</v>
      </c>
      <c r="H9" s="18">
        <v>2.5000000000000001E-2</v>
      </c>
      <c r="I9" s="19" t="s">
        <v>838</v>
      </c>
      <c r="J9" s="19">
        <v>0.02</v>
      </c>
      <c r="K9" s="19" t="s">
        <v>31</v>
      </c>
      <c r="L9" s="19" t="s">
        <v>838</v>
      </c>
      <c r="M9" s="18">
        <v>12</v>
      </c>
      <c r="N9" s="20">
        <v>0</v>
      </c>
      <c r="O9" s="20">
        <v>0</v>
      </c>
      <c r="P9" s="21">
        <v>44019</v>
      </c>
      <c r="Q9" s="22" t="s">
        <v>485</v>
      </c>
      <c r="R9" s="21">
        <f t="shared" si="0"/>
        <v>44384</v>
      </c>
      <c r="S9" s="21">
        <f t="shared" si="1"/>
        <v>44339</v>
      </c>
      <c r="T9" s="18" t="str">
        <f t="shared" ca="1" si="2"/>
        <v>PROGRAMADO</v>
      </c>
      <c r="U9" s="18" t="s">
        <v>825</v>
      </c>
      <c r="V9" s="26" t="s">
        <v>826</v>
      </c>
      <c r="W9" s="21">
        <v>44267</v>
      </c>
    </row>
    <row r="10" spans="1:23" ht="29.25" customHeight="1" x14ac:dyDescent="0.25">
      <c r="A10" s="27" t="s">
        <v>818</v>
      </c>
      <c r="B10" s="18" t="s">
        <v>839</v>
      </c>
      <c r="C10" s="19">
        <v>20039345</v>
      </c>
      <c r="D10" s="18" t="s">
        <v>830</v>
      </c>
      <c r="E10" s="19" t="s">
        <v>840</v>
      </c>
      <c r="F10" s="18" t="s">
        <v>435</v>
      </c>
      <c r="G10" s="19" t="s">
        <v>571</v>
      </c>
      <c r="H10" s="18">
        <v>2.5000000000000001E-2</v>
      </c>
      <c r="I10" s="19" t="s">
        <v>841</v>
      </c>
      <c r="J10" s="18">
        <v>2</v>
      </c>
      <c r="K10" s="18" t="s">
        <v>31</v>
      </c>
      <c r="L10" s="18" t="s">
        <v>842</v>
      </c>
      <c r="M10" s="18">
        <v>12</v>
      </c>
      <c r="N10" s="20">
        <v>160000</v>
      </c>
      <c r="O10" s="20">
        <v>0</v>
      </c>
      <c r="P10" s="21">
        <v>44100</v>
      </c>
      <c r="Q10" s="18" t="s">
        <v>833</v>
      </c>
      <c r="R10" s="21">
        <f t="shared" si="0"/>
        <v>44465</v>
      </c>
      <c r="S10" s="21">
        <f t="shared" si="1"/>
        <v>44420</v>
      </c>
      <c r="T10" s="18" t="str">
        <f t="shared" ca="1" si="2"/>
        <v>PROGRAMADO</v>
      </c>
      <c r="U10" s="18" t="s">
        <v>825</v>
      </c>
      <c r="V10" s="26" t="s">
        <v>826</v>
      </c>
      <c r="W10" s="21">
        <v>44455</v>
      </c>
    </row>
    <row r="11" spans="1:23" ht="29.25" customHeight="1" x14ac:dyDescent="0.25">
      <c r="A11" s="27" t="s">
        <v>818</v>
      </c>
      <c r="B11" s="18" t="s">
        <v>843</v>
      </c>
      <c r="C11" s="19">
        <v>20039347</v>
      </c>
      <c r="D11" s="18" t="s">
        <v>830</v>
      </c>
      <c r="E11" s="19" t="s">
        <v>840</v>
      </c>
      <c r="F11" s="18" t="s">
        <v>435</v>
      </c>
      <c r="G11" s="19" t="s">
        <v>571</v>
      </c>
      <c r="H11" s="18">
        <v>2.5000000000000001E-2</v>
      </c>
      <c r="I11" s="19" t="s">
        <v>841</v>
      </c>
      <c r="J11" s="18">
        <v>2</v>
      </c>
      <c r="K11" s="18" t="s">
        <v>31</v>
      </c>
      <c r="L11" s="18" t="s">
        <v>842</v>
      </c>
      <c r="M11" s="18">
        <v>12</v>
      </c>
      <c r="N11" s="20">
        <v>160000</v>
      </c>
      <c r="O11" s="20">
        <v>0</v>
      </c>
      <c r="P11" s="21">
        <v>44100</v>
      </c>
      <c r="Q11" s="18" t="s">
        <v>833</v>
      </c>
      <c r="R11" s="21">
        <f t="shared" si="0"/>
        <v>44465</v>
      </c>
      <c r="S11" s="21">
        <f t="shared" si="1"/>
        <v>44420</v>
      </c>
      <c r="T11" s="18" t="str">
        <f t="shared" ca="1" si="2"/>
        <v>PROGRAMADO</v>
      </c>
      <c r="U11" s="18" t="s">
        <v>825</v>
      </c>
      <c r="V11" s="26" t="s">
        <v>826</v>
      </c>
      <c r="W11" s="21">
        <v>44455</v>
      </c>
    </row>
    <row r="12" spans="1:23" s="54" customFormat="1" ht="29.25" customHeight="1" x14ac:dyDescent="0.25">
      <c r="A12" s="53" t="s">
        <v>844</v>
      </c>
      <c r="B12" s="46" t="s">
        <v>265</v>
      </c>
      <c r="C12" s="47" t="s">
        <v>845</v>
      </c>
      <c r="D12" s="47" t="s">
        <v>239</v>
      </c>
      <c r="E12" s="46" t="s">
        <v>846</v>
      </c>
      <c r="F12" s="47" t="s">
        <v>847</v>
      </c>
      <c r="G12" s="46" t="s">
        <v>848</v>
      </c>
      <c r="H12" s="46" t="s">
        <v>325</v>
      </c>
      <c r="I12" s="47">
        <v>3012</v>
      </c>
      <c r="J12" s="47">
        <v>3.0000000000000001E-3</v>
      </c>
      <c r="K12" s="47" t="s">
        <v>31</v>
      </c>
      <c r="L12" s="47">
        <v>3020</v>
      </c>
      <c r="M12" s="46">
        <v>24</v>
      </c>
      <c r="N12" s="48">
        <v>0</v>
      </c>
      <c r="O12" s="48">
        <v>0</v>
      </c>
      <c r="P12" s="49">
        <v>43424</v>
      </c>
      <c r="Q12" s="50" t="s">
        <v>849</v>
      </c>
      <c r="R12" s="49">
        <f>EDATE(P12,M12)</f>
        <v>44155</v>
      </c>
      <c r="S12" s="49">
        <f>R12-45</f>
        <v>44110</v>
      </c>
      <c r="T12" s="46" t="str">
        <f ca="1">+IF(S12&gt;TODAY(),"CALIBRADO","PROGRAMADO")</f>
        <v>PROGRAMADO</v>
      </c>
      <c r="U12" s="46" t="s">
        <v>816</v>
      </c>
      <c r="V12" s="17" t="s">
        <v>850</v>
      </c>
      <c r="W12" s="21">
        <v>44510</v>
      </c>
    </row>
    <row r="13" spans="1:23" ht="29.25" customHeight="1" x14ac:dyDescent="0.25">
      <c r="A13" s="17" t="s">
        <v>851</v>
      </c>
      <c r="B13" s="18" t="s">
        <v>266</v>
      </c>
      <c r="C13" s="19" t="s">
        <v>852</v>
      </c>
      <c r="D13" s="19" t="s">
        <v>239</v>
      </c>
      <c r="E13" s="19" t="s">
        <v>853</v>
      </c>
      <c r="F13" s="19" t="s">
        <v>847</v>
      </c>
      <c r="G13" s="18" t="s">
        <v>848</v>
      </c>
      <c r="H13" s="18" t="s">
        <v>325</v>
      </c>
      <c r="I13" s="19">
        <v>3020</v>
      </c>
      <c r="J13" s="19">
        <v>3.0000000000000001E-3</v>
      </c>
      <c r="K13" s="19" t="s">
        <v>31</v>
      </c>
      <c r="L13" s="19">
        <v>3012</v>
      </c>
      <c r="M13" s="18">
        <v>36</v>
      </c>
      <c r="N13" s="20">
        <v>0</v>
      </c>
      <c r="O13" s="20">
        <v>0</v>
      </c>
      <c r="P13" s="21">
        <v>43424</v>
      </c>
      <c r="Q13" s="22" t="s">
        <v>849</v>
      </c>
      <c r="R13" s="21">
        <f t="shared" si="0"/>
        <v>44520</v>
      </c>
      <c r="S13" s="21">
        <f t="shared" si="1"/>
        <v>44475</v>
      </c>
      <c r="T13" s="18" t="str">
        <f t="shared" ca="1" si="2"/>
        <v>PROGRAMADO</v>
      </c>
      <c r="U13" s="18" t="s">
        <v>825</v>
      </c>
      <c r="V13" s="17" t="s">
        <v>854</v>
      </c>
      <c r="W13" s="21">
        <v>44510</v>
      </c>
    </row>
    <row r="14" spans="1:23" ht="29.25" customHeight="1" x14ac:dyDescent="0.25">
      <c r="A14" s="17" t="s">
        <v>855</v>
      </c>
      <c r="B14" s="18" t="s">
        <v>856</v>
      </c>
      <c r="C14" s="47" t="s">
        <v>857</v>
      </c>
      <c r="D14" s="19" t="s">
        <v>239</v>
      </c>
      <c r="E14" s="19" t="s">
        <v>846</v>
      </c>
      <c r="F14" s="19" t="s">
        <v>847</v>
      </c>
      <c r="G14" s="18" t="s">
        <v>848</v>
      </c>
      <c r="H14" s="18" t="s">
        <v>325</v>
      </c>
      <c r="I14" s="19" t="s">
        <v>858</v>
      </c>
      <c r="J14" s="19">
        <v>3.0000000000000001E-3</v>
      </c>
      <c r="K14" s="19" t="s">
        <v>31</v>
      </c>
      <c r="L14" s="19" t="s">
        <v>859</v>
      </c>
      <c r="M14" s="18">
        <v>36</v>
      </c>
      <c r="N14" s="20">
        <v>0</v>
      </c>
      <c r="O14" s="20">
        <v>0</v>
      </c>
      <c r="P14" s="21">
        <v>43424</v>
      </c>
      <c r="Q14" s="22" t="s">
        <v>849</v>
      </c>
      <c r="R14" s="21">
        <f t="shared" si="0"/>
        <v>44520</v>
      </c>
      <c r="S14" s="21">
        <f t="shared" si="1"/>
        <v>44475</v>
      </c>
      <c r="T14" s="18" t="str">
        <f t="shared" ca="1" si="2"/>
        <v>PROGRAMADO</v>
      </c>
      <c r="U14" s="18" t="s">
        <v>825</v>
      </c>
      <c r="V14" s="17" t="s">
        <v>850</v>
      </c>
      <c r="W14" s="21">
        <v>44510</v>
      </c>
    </row>
    <row r="15" spans="1:23" ht="29.25" customHeight="1" x14ac:dyDescent="0.25">
      <c r="A15" s="17" t="s">
        <v>233</v>
      </c>
      <c r="B15" s="18" t="s">
        <v>234</v>
      </c>
      <c r="C15" s="19" t="s">
        <v>860</v>
      </c>
      <c r="D15" s="19" t="s">
        <v>239</v>
      </c>
      <c r="E15" s="18" t="s">
        <v>861</v>
      </c>
      <c r="F15" s="19" t="s">
        <v>862</v>
      </c>
      <c r="G15" s="18" t="s">
        <v>863</v>
      </c>
      <c r="H15" s="18">
        <v>1E-3</v>
      </c>
      <c r="I15" s="19" t="s">
        <v>864</v>
      </c>
      <c r="J15" s="19">
        <v>0.3</v>
      </c>
      <c r="K15" s="19" t="s">
        <v>31</v>
      </c>
      <c r="L15" s="19" t="s">
        <v>864</v>
      </c>
      <c r="M15" s="18">
        <v>37</v>
      </c>
      <c r="N15" s="20">
        <v>2000000</v>
      </c>
      <c r="O15" s="20">
        <v>0</v>
      </c>
      <c r="P15" s="21">
        <v>43447</v>
      </c>
      <c r="Q15" s="22" t="s">
        <v>849</v>
      </c>
      <c r="R15" s="21">
        <f>EDATE(P15,M15)</f>
        <v>44574</v>
      </c>
      <c r="S15" s="21">
        <f>R15-45</f>
        <v>44529</v>
      </c>
      <c r="T15" s="18" t="str">
        <f ca="1">+IF(S15&gt;TODAY(),"CALIBRADO","PROGRAMADO")</f>
        <v>PROGRAMADO</v>
      </c>
      <c r="U15" s="18" t="s">
        <v>34</v>
      </c>
      <c r="V15" s="17" t="s">
        <v>865</v>
      </c>
      <c r="W15" s="21">
        <v>44768</v>
      </c>
    </row>
    <row r="16" spans="1:23" ht="29.25" customHeight="1" x14ac:dyDescent="0.25">
      <c r="A16" s="39"/>
      <c r="B16" s="40"/>
      <c r="C16" s="41"/>
      <c r="D16" s="40"/>
      <c r="E16" s="41"/>
      <c r="F16" s="40"/>
      <c r="G16" s="40"/>
      <c r="H16" s="40"/>
      <c r="I16" s="41"/>
      <c r="J16" s="41"/>
      <c r="K16" s="41"/>
      <c r="L16" s="41"/>
      <c r="M16" s="40"/>
      <c r="N16" s="42"/>
      <c r="O16" s="42"/>
      <c r="P16" s="43"/>
      <c r="Q16" s="44"/>
      <c r="R16" s="43"/>
      <c r="T16" s="40"/>
      <c r="U16" s="40"/>
      <c r="V16" s="45"/>
    </row>
    <row r="17" spans="1:8" ht="25.5" x14ac:dyDescent="0.25">
      <c r="A17" s="28" t="s">
        <v>783</v>
      </c>
    </row>
    <row r="19" spans="1:8" x14ac:dyDescent="0.25">
      <c r="A19" s="29" t="s">
        <v>785</v>
      </c>
      <c r="B19" s="30"/>
      <c r="C19" s="31" t="s">
        <v>786</v>
      </c>
      <c r="D19" s="31"/>
      <c r="E19" s="30"/>
      <c r="F19" s="31"/>
      <c r="G19" s="31"/>
      <c r="H19" s="31"/>
    </row>
    <row r="20" spans="1:8" x14ac:dyDescent="0.25">
      <c r="A20" s="6"/>
      <c r="B20" s="7"/>
      <c r="C20" s="13"/>
      <c r="D20" s="13"/>
      <c r="E20" s="7"/>
      <c r="F20" s="13"/>
      <c r="G20" s="13"/>
      <c r="H20" s="13"/>
    </row>
    <row r="21" spans="1:8" x14ac:dyDescent="0.25">
      <c r="A21" s="51" t="s">
        <v>787</v>
      </c>
      <c r="B21" s="32"/>
      <c r="C21" s="51" t="s">
        <v>788</v>
      </c>
      <c r="D21" s="51"/>
      <c r="E21" s="2"/>
      <c r="F21" s="82" t="s">
        <v>789</v>
      </c>
      <c r="G21" s="82"/>
      <c r="H21" s="82"/>
    </row>
    <row r="22" spans="1:8" x14ac:dyDescent="0.25">
      <c r="A22" s="52" t="s">
        <v>790</v>
      </c>
      <c r="B22" s="32"/>
      <c r="C22" s="52" t="s">
        <v>791</v>
      </c>
      <c r="D22" s="52"/>
      <c r="E22" s="2"/>
      <c r="F22" s="83" t="s">
        <v>792</v>
      </c>
      <c r="G22" s="83"/>
      <c r="H22" s="83"/>
    </row>
  </sheetData>
  <autoFilter ref="A6:W15" xr:uid="{00000000-0009-0000-0000-000003000000}"/>
  <mergeCells count="3">
    <mergeCell ref="A2:V2"/>
    <mergeCell ref="F21:H21"/>
    <mergeCell ref="F22:H22"/>
  </mergeCells>
  <conditionalFormatting sqref="S7:S15">
    <cfRule type="cellIs" dxfId="14" priority="3" operator="lessThan">
      <formula>+TODAY()</formula>
    </cfRule>
  </conditionalFormatting>
  <conditionalFormatting sqref="T10:T11">
    <cfRule type="containsText" dxfId="9" priority="13" operator="containsText" text="CALIBRADO">
      <formula>NOT(ISERROR(SEARCH("CALIBRADO",T10)))</formula>
    </cfRule>
    <cfRule type="containsText" dxfId="8" priority="14" operator="containsText" text="PROGRAMADO">
      <formula>NOT(ISERROR(SEARCH("PROGRAMADO",T10)))</formula>
    </cfRule>
  </conditionalFormatting>
  <conditionalFormatting sqref="T13:T14">
    <cfRule type="containsText" dxfId="5" priority="7" operator="containsText" text="CALIBRADO">
      <formula>NOT(ISERROR(SEARCH("CALIBRADO",T13)))</formula>
    </cfRule>
    <cfRule type="containsText" dxfId="4" priority="8" operator="containsText" text="PROGRAMADO">
      <formula>NOT(ISERROR(SEARCH("PROGRAMADO",T13)))</formula>
    </cfRule>
  </conditionalFormatting>
  <conditionalFormatting sqref="T16">
    <cfRule type="containsText" dxfId="1" priority="25" operator="containsText" text="CALIBRADO">
      <formula>NOT(ISERROR(SEARCH("CALIBRADO",T16)))</formula>
    </cfRule>
    <cfRule type="containsText" dxfId="0" priority="26" operator="containsText" text="PROGRAMADO">
      <formula>NOT(ISERROR(SEARCH("PROGRAMADO",T16)))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scale="70" orientation="portrait" r:id="rId1"/>
  <headerFooter>
    <oddFooter>&amp;CPágina &amp;P de &amp;N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operator="containsText" text="CALIBRADO" id="{72AA1060-69CF-449D-A2E1-D92DEE070657}">
            <xm:f>NOT(ISERROR(SEARCH("CALIBRADO",'https://nycesc.sharepoint.com/Users/Adriana Garzon/NYCE/NYCE COLOMBIA - SG General/Manual_Politicas_Declaracion/Declaracion/Historico/[F2T09-02 Programa de Calibración.xlsx]Calibración'!#REF!)))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0" operator="containsText" text="PROGRAMADO" id="{A4820096-3673-4811-88D9-0D9C8A9AF054}">
            <xm:f>NOT(ISERROR(SEARCH("PROGRAMADO",'https://nycesc.sharepoint.com/Users/Adriana Garzon/NYCE/NYCE COLOMBIA - SG General/Manual_Politicas_Declaracion/Declaracion/Historico/[F2T09-02 Programa de Calibración.xlsx]Calibración'!#REF!)))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T7:T8</xm:sqref>
        </x14:conditionalFormatting>
        <x14:conditionalFormatting xmlns:xm="http://schemas.microsoft.com/office/excel/2006/main">
          <x14:cfRule type="containsText" priority="53" operator="containsText" text="CALIBRADO" id="{2B876B69-439D-4071-819E-F91C44D1B5CA}">
            <xm:f>NOT(ISERROR(SEARCH("CALIBRADO",Calibración!S9)))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4" operator="containsText" text="PROGRAMADO" id="{4AE9984D-8480-47DD-96C0-E6CFFE372336}">
            <xm:f>NOT(ISERROR(SEARCH("PROGRAMADO",Calibración!S9)))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T9</xm:sqref>
        </x14:conditionalFormatting>
        <x14:conditionalFormatting xmlns:xm="http://schemas.microsoft.com/office/excel/2006/main">
          <x14:cfRule type="containsText" priority="1" operator="containsText" text="CALIBRADO" id="{438AC200-7A4F-446B-9272-C2E10FEA0A8E}">
            <xm:f>NOT(ISERROR(SEARCH("CALIBRADO",'Dados de baja'!T12)))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" operator="containsText" text="PROGRAMADO" id="{03D4AEAE-DC41-442E-876D-9286D6A692FE}">
            <xm:f>NOT(ISERROR(SEARCH("PROGRAMADO",'Dados de baja'!T12)))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T12</xm:sqref>
        </x14:conditionalFormatting>
        <x14:conditionalFormatting xmlns:xm="http://schemas.microsoft.com/office/excel/2006/main">
          <x14:cfRule type="containsText" priority="62" operator="containsText" text="CALIBRADO" id="{2B876B69-439D-4071-819E-F91C44D1B5CA}">
            <xm:f>NOT(ISERROR(SEARCH("CALIBRADO",Calibración!#REF!)))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3" operator="containsText" text="PROGRAMADO" id="{4AE9984D-8480-47DD-96C0-E6CFFE372336}">
            <xm:f>NOT(ISERROR(SEARCH("PROGRAMADO",Calibración!#REF!)))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T15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7b054a4-dd31-4e65-954f-c1858aefac91">VKQAY4435H2F-1852729036-123579</_dlc_DocId>
    <_dlc_DocIdUrl xmlns="b7b054a4-dd31-4e65-954f-c1858aefac91">
      <Url>https://ainsp.sharepoint.com/sites/TodoNYCE/nycecolombia/_layouts/15/DocIdRedir.aspx?ID=VKQAY4435H2F-1852729036-123579</Url>
      <Description>VKQAY4435H2F-1852729036-123579</Description>
    </_dlc_DocIdUrl>
    <TaxCatchAll xmlns="b7b054a4-dd31-4e65-954f-c1858aefac91" xsi:nil="true"/>
    <lcf76f155ced4ddcb4097134ff3c332f xmlns="28fb201e-a7c2-4508-ac89-a084faf410d9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666ABAACE12B4AB09E3E55549CF2E3" ma:contentTypeVersion="24" ma:contentTypeDescription="Crear nuevo documento." ma:contentTypeScope="" ma:versionID="78d69b171ce51aea8268576e8ea78fd2">
  <xsd:schema xmlns:xsd="http://www.w3.org/2001/XMLSchema" xmlns:xs="http://www.w3.org/2001/XMLSchema" xmlns:p="http://schemas.microsoft.com/office/2006/metadata/properties" xmlns:ns2="b7b054a4-dd31-4e65-954f-c1858aefac91" xmlns:ns3="27dbd028-21f4-488b-a712-80beb6535a3a" xmlns:ns4="28fb201e-a7c2-4508-ac89-a084faf410d9" targetNamespace="http://schemas.microsoft.com/office/2006/metadata/properties" ma:root="true" ma:fieldsID="b0dce42dc31ef7e3272b9c43bd330696" ns2:_="" ns3:_="" ns4:_="">
    <xsd:import namespace="b7b054a4-dd31-4e65-954f-c1858aefac91"/>
    <xsd:import namespace="27dbd028-21f4-488b-a712-80beb6535a3a"/>
    <xsd:import namespace="28fb201e-a7c2-4508-ac89-a084faf410d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lcf76f155ced4ddcb4097134ff3c332f" minOccurs="0"/>
                <xsd:element ref="ns2:TaxCatchAll" minOccurs="0"/>
                <xsd:element ref="ns4:MediaServiceLocation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b054a4-dd31-4e65-954f-c1858aefac91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5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3" nillable="true" ma:displayName="Taxonomy Catch All Column" ma:hidden="true" ma:list="{3ec72af6-f2f2-488a-93ab-d1ca47ca6d7f}" ma:internalName="TaxCatchAll" ma:showField="CatchAllData" ma:web="b7b054a4-dd31-4e65-954f-c1858aefac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bd028-21f4-488b-a712-80beb6535a3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b201e-a7c2-4508-ac89-a084faf410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41e27af5-8340-4858-8828-7e0bddc75a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Tipo de conteni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9E83F9-2C31-47D3-9A02-0DF4E45A974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869C843-68DD-4426-8D63-8D25788EB6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E72517-6D82-4507-8D0A-C885A2DF18D2}">
  <ds:schemaRefs>
    <ds:schemaRef ds:uri="http://schemas.microsoft.com/office/2006/metadata/properties"/>
    <ds:schemaRef ds:uri="http://schemas.microsoft.com/office/infopath/2007/PartnerControls"/>
    <ds:schemaRef ds:uri="b7b054a4-dd31-4e65-954f-c1858aefac91"/>
    <ds:schemaRef ds:uri="28fb201e-a7c2-4508-ac89-a084faf410d9"/>
  </ds:schemaRefs>
</ds:datastoreItem>
</file>

<file path=customXml/itemProps4.xml><?xml version="1.0" encoding="utf-8"?>
<ds:datastoreItem xmlns:ds="http://schemas.openxmlformats.org/officeDocument/2006/customXml" ds:itemID="{21B2BBA1-4B08-4DB6-97E0-6021DE5142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b054a4-dd31-4e65-954f-c1858aefac91"/>
    <ds:schemaRef ds:uri="27dbd028-21f4-488b-a712-80beb6535a3a"/>
    <ds:schemaRef ds:uri="28fb201e-a7c2-4508-ac89-a084faf41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</vt:i4>
      </vt:variant>
    </vt:vector>
  </HeadingPairs>
  <TitlesOfParts>
    <vt:vector size="10" baseType="lpstr">
      <vt:lpstr>Calibración</vt:lpstr>
      <vt:lpstr>Dados de baja 1</vt:lpstr>
      <vt:lpstr>Dados de baja</vt:lpstr>
      <vt:lpstr>Otros</vt:lpstr>
      <vt:lpstr>Calibración!Área_de_impresión</vt:lpstr>
      <vt:lpstr>'Dados de baja 1'!Área_de_impresión</vt:lpstr>
      <vt:lpstr>Calibración!Títulos_a_imprimir</vt:lpstr>
      <vt:lpstr>'Dados de baja'!Títulos_a_imprimir</vt:lpstr>
      <vt:lpstr>'Dados de baja 1'!Títulos_a_imprimir</vt:lpstr>
      <vt:lpstr>Otros!Títulos_a_imprimir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Brandon Yesid Trujillo Vargas</cp:lastModifiedBy>
  <cp:revision/>
  <dcterms:created xsi:type="dcterms:W3CDTF">2021-05-26T19:51:23Z</dcterms:created>
  <dcterms:modified xsi:type="dcterms:W3CDTF">2026-07-10T17:29:41Z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0x010100FE666ABAACE12B4AB09E3E55549CF2E3</vt:lpwstr>
  </property>
  <property fmtid="{D5CDD505-2E9C-101B-9397-08002B2CF9AE}" pid="3" name="_dlc_DocIdItemGuid">
    <vt:lpwstr>62cc50e5-5115-4411-8781-f259db914d61</vt:lpwstr>
  </property>
  <property fmtid="{D5CDD505-2E9C-101B-9397-08002B2CF9AE}" pid="4" name="MediaServiceImageTags">
    <vt:lpwstr/>
  </property>
</Properties>
</file>