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ntAdvisor\Desktop\ChatBot Nyce\"/>
    </mc:Choice>
  </mc:AlternateContent>
  <xr:revisionPtr revIDLastSave="0" documentId="13_ncr:1_{24671A44-B2BA-487F-9622-667F91C444B4}" xr6:coauthVersionLast="47" xr6:coauthVersionMax="47" xr10:uidLastSave="{00000000-0000-0000-0000-000000000000}"/>
  <bookViews>
    <workbookView xWindow="-120" yWindow="-120" windowWidth="29040" windowHeight="15720" tabRatio="810" firstSheet="3" activeTab="3" xr2:uid="{5B15F0EE-7EBD-4695-BE20-F09B369104C3}"/>
  </bookViews>
  <sheets>
    <sheet name="REMISIÓN 2024" sheetId="5" state="hidden" r:id="rId1"/>
    <sheet name="Hoja2" sheetId="12" state="hidden" r:id="rId2"/>
    <sheet name="Hoja1" sheetId="10" state="hidden" r:id="rId3"/>
    <sheet name="CONTROL_MUESTRAS_2026" sheetId="13" r:id="rId4"/>
    <sheet name="REMISIÓN 2026" sheetId="15" r:id="rId5"/>
    <sheet name="REMISIÓN 2025 (2)" sheetId="11" state="hidden" r:id="rId6"/>
    <sheet name="Acta_Destrucción 2024" sheetId="7" state="hidden" r:id="rId7"/>
    <sheet name="DATOS" sheetId="6" state="hidden" r:id="rId8"/>
  </sheets>
  <externalReferences>
    <externalReference r:id="rId9"/>
    <externalReference r:id="rId10"/>
  </externalReferences>
  <definedNames>
    <definedName name="_xlnm._FilterDatabase" localSheetId="3" hidden="1">CONTROL_MUESTRAS_2026!$A$7:$P$814</definedName>
    <definedName name="_xlnm._FilterDatabase" localSheetId="0" hidden="1">'REMISIÓN 2024'!$G$9:$K$9</definedName>
    <definedName name="_xlnm._FilterDatabase" localSheetId="5" hidden="1">'REMISIÓN 2025 (2)'!$G$9:$K$9</definedName>
    <definedName name="_xlnm._FilterDatabase" localSheetId="4" hidden="1">'REMISIÓN 2026'!$G$9:$K$9</definedName>
    <definedName name="_xlnm.Print_Area" localSheetId="0">'REMISIÓN 2024'!$A$1:$L$47</definedName>
    <definedName name="_xlnm.Print_Area" localSheetId="5">'REMISIÓN 2025 (2)'!$A$1:$L$102</definedName>
    <definedName name="_xlnm.Print_Area" localSheetId="4">'REMISIÓN 2026'!$A$1:$L$78</definedName>
  </definedNames>
  <calcPr calcId="191028" iterate="1" iterateCount="5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1" i="13" l="1"/>
  <c r="H802" i="13"/>
  <c r="H803" i="13"/>
  <c r="H804" i="13"/>
  <c r="H805" i="13"/>
  <c r="J800" i="13"/>
  <c r="J801" i="13"/>
  <c r="J802" i="13"/>
  <c r="J803" i="13"/>
  <c r="J804" i="13"/>
  <c r="I800" i="13"/>
  <c r="I801" i="13"/>
  <c r="I802" i="13"/>
  <c r="I803" i="13"/>
  <c r="I804" i="13"/>
  <c r="J794" i="13"/>
  <c r="J795" i="13"/>
  <c r="J796" i="13"/>
  <c r="J797" i="13"/>
  <c r="J798" i="13"/>
  <c r="J799" i="13"/>
  <c r="I794" i="13"/>
  <c r="I795" i="13"/>
  <c r="I796" i="13"/>
  <c r="I797" i="13"/>
  <c r="I798" i="13"/>
  <c r="I799" i="13"/>
  <c r="A801" i="13"/>
  <c r="A802" i="13"/>
  <c r="A803" i="13"/>
  <c r="A804" i="13"/>
  <c r="J786" i="13" l="1"/>
  <c r="J787" i="13"/>
  <c r="J788" i="13"/>
  <c r="J789" i="13"/>
  <c r="J790" i="13"/>
  <c r="J791" i="13"/>
  <c r="J792" i="13"/>
  <c r="J793" i="13"/>
  <c r="I786" i="13"/>
  <c r="I787" i="13"/>
  <c r="I788" i="13"/>
  <c r="I789" i="13"/>
  <c r="I790" i="13"/>
  <c r="I791" i="13"/>
  <c r="I792" i="13"/>
  <c r="I793" i="13"/>
  <c r="J781" i="13"/>
  <c r="J782" i="13"/>
  <c r="J783" i="13"/>
  <c r="J784" i="13"/>
  <c r="J785" i="13"/>
  <c r="J775" i="13"/>
  <c r="J776" i="13"/>
  <c r="J777" i="13"/>
  <c r="J778" i="13"/>
  <c r="J779" i="13"/>
  <c r="J780" i="13"/>
  <c r="I805" i="13"/>
  <c r="I781" i="13"/>
  <c r="I782" i="13"/>
  <c r="I783" i="13"/>
  <c r="I784" i="13"/>
  <c r="I785" i="13"/>
  <c r="I775" i="13"/>
  <c r="I776" i="13"/>
  <c r="I777" i="13"/>
  <c r="I778" i="13"/>
  <c r="I779" i="13"/>
  <c r="I780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03" i="13"/>
  <c r="J703" i="13"/>
  <c r="I773" i="13"/>
  <c r="I774" i="13"/>
  <c r="J805" i="13"/>
  <c r="J773" i="13"/>
  <c r="J774" i="13"/>
  <c r="J764" i="13"/>
  <c r="J765" i="13"/>
  <c r="J766" i="13"/>
  <c r="J767" i="13"/>
  <c r="J768" i="13"/>
  <c r="J769" i="13"/>
  <c r="J770" i="13"/>
  <c r="J771" i="13"/>
  <c r="J772" i="13"/>
  <c r="I764" i="13"/>
  <c r="I765" i="13"/>
  <c r="I766" i="13"/>
  <c r="I767" i="13"/>
  <c r="I768" i="13"/>
  <c r="I769" i="13"/>
  <c r="I770" i="13"/>
  <c r="I771" i="13"/>
  <c r="I772" i="13"/>
  <c r="A805" i="13"/>
  <c r="J806" i="13"/>
  <c r="J758" i="13"/>
  <c r="J759" i="13"/>
  <c r="J760" i="13"/>
  <c r="J761" i="13"/>
  <c r="J762" i="13"/>
  <c r="J763" i="13"/>
  <c r="J756" i="13"/>
  <c r="J757" i="13"/>
  <c r="I758" i="13"/>
  <c r="I759" i="13"/>
  <c r="I760" i="13"/>
  <c r="I761" i="13"/>
  <c r="I762" i="13"/>
  <c r="I763" i="13"/>
  <c r="I756" i="13"/>
  <c r="I757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02" i="13" l="1"/>
  <c r="J702" i="13"/>
  <c r="J737" i="13"/>
  <c r="J738" i="13"/>
  <c r="J739" i="13"/>
  <c r="J740" i="13"/>
  <c r="J741" i="13"/>
  <c r="J742" i="13"/>
  <c r="J619" i="13"/>
  <c r="I619" i="13"/>
  <c r="J733" i="13"/>
  <c r="J734" i="13"/>
  <c r="J735" i="13"/>
  <c r="J736" i="13"/>
  <c r="J732" i="13"/>
  <c r="I733" i="13"/>
  <c r="I734" i="13"/>
  <c r="I735" i="13"/>
  <c r="I736" i="13"/>
  <c r="I737" i="13"/>
  <c r="I738" i="13"/>
  <c r="I739" i="13"/>
  <c r="I740" i="13"/>
  <c r="I741" i="13"/>
  <c r="I742" i="13"/>
  <c r="I732" i="13"/>
  <c r="K727" i="13"/>
  <c r="K728" i="13"/>
  <c r="K729" i="13"/>
  <c r="K730" i="13"/>
  <c r="K726" i="13"/>
  <c r="M8" i="13"/>
  <c r="K8" i="13"/>
  <c r="I731" i="13"/>
  <c r="J731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I687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8" i="13"/>
  <c r="A8" i="13"/>
  <c r="J46" i="15" l="1"/>
  <c r="J22" i="15" l="1"/>
  <c r="J23" i="15"/>
  <c r="J24" i="15"/>
  <c r="J25" i="15"/>
  <c r="J26" i="15"/>
  <c r="G22" i="15"/>
  <c r="G23" i="15"/>
  <c r="G24" i="15"/>
  <c r="G25" i="15"/>
  <c r="G26" i="15"/>
  <c r="G27" i="15"/>
  <c r="E22" i="15"/>
  <c r="E23" i="15"/>
  <c r="E24" i="15"/>
  <c r="E25" i="15"/>
  <c r="E26" i="15"/>
  <c r="E27" i="15"/>
  <c r="D22" i="15"/>
  <c r="D23" i="15"/>
  <c r="D24" i="15"/>
  <c r="D25" i="15"/>
  <c r="D26" i="15"/>
  <c r="D27" i="15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  <c r="B27" i="15" a="1"/>
  <c r="B27" i="15" s="1"/>
  <c r="H67" i="15" l="1"/>
  <c r="E67" i="15" l="1"/>
  <c r="B205" i="13" l="1"/>
  <c r="J20" i="15"/>
  <c r="J21" i="15"/>
  <c r="J27" i="15"/>
  <c r="G20" i="15"/>
  <c r="G21" i="15"/>
  <c r="E20" i="15"/>
  <c r="E21" i="15"/>
  <c r="D20" i="15"/>
  <c r="D21" i="15"/>
  <c r="H800" i="13" l="1"/>
  <c r="H798" i="13"/>
  <c r="H797" i="13"/>
  <c r="A797" i="13"/>
  <c r="A796" i="13"/>
  <c r="H796" i="13"/>
  <c r="A798" i="13"/>
  <c r="A799" i="13"/>
  <c r="A800" i="13"/>
  <c r="H799" i="13"/>
  <c r="H794" i="13"/>
  <c r="H795" i="13"/>
  <c r="A794" i="13"/>
  <c r="A795" i="13"/>
  <c r="H793" i="13"/>
  <c r="A793" i="13"/>
  <c r="A791" i="13"/>
  <c r="H790" i="13"/>
  <c r="H791" i="13"/>
  <c r="H792" i="13"/>
  <c r="A792" i="13"/>
  <c r="A790" i="13"/>
  <c r="A786" i="13"/>
  <c r="A787" i="13"/>
  <c r="H784" i="13"/>
  <c r="H785" i="13"/>
  <c r="A788" i="13"/>
  <c r="A783" i="13"/>
  <c r="A789" i="13"/>
  <c r="A784" i="13"/>
  <c r="A785" i="13"/>
  <c r="H783" i="13"/>
  <c r="H786" i="13"/>
  <c r="H787" i="13"/>
  <c r="H788" i="13"/>
  <c r="H789" i="13"/>
  <c r="H781" i="13"/>
  <c r="H782" i="13"/>
  <c r="H779" i="13"/>
  <c r="A781" i="13"/>
  <c r="A778" i="13"/>
  <c r="A780" i="13"/>
  <c r="H776" i="13"/>
  <c r="A782" i="13"/>
  <c r="A779" i="13"/>
  <c r="A775" i="13"/>
  <c r="H780" i="13"/>
  <c r="H775" i="13"/>
  <c r="A776" i="13"/>
  <c r="H777" i="13"/>
  <c r="H778" i="13"/>
  <c r="A777" i="13"/>
  <c r="A712" i="13"/>
  <c r="H714" i="13"/>
  <c r="A713" i="13"/>
  <c r="A714" i="13"/>
  <c r="A715" i="13"/>
  <c r="H712" i="13"/>
  <c r="H713" i="13"/>
  <c r="H715" i="13"/>
  <c r="A703" i="13"/>
  <c r="A711" i="13"/>
  <c r="H709" i="13"/>
  <c r="A704" i="13"/>
  <c r="A702" i="13"/>
  <c r="H710" i="13"/>
  <c r="A710" i="13"/>
  <c r="A705" i="13"/>
  <c r="H703" i="13"/>
  <c r="H711" i="13"/>
  <c r="A706" i="13"/>
  <c r="H704" i="13"/>
  <c r="A707" i="13"/>
  <c r="H705" i="13"/>
  <c r="H708" i="13"/>
  <c r="A708" i="13"/>
  <c r="H706" i="13"/>
  <c r="A709" i="13"/>
  <c r="H707" i="13"/>
  <c r="H774" i="13"/>
  <c r="A766" i="13"/>
  <c r="A767" i="13"/>
  <c r="H766" i="13"/>
  <c r="A768" i="13"/>
  <c r="H767" i="13"/>
  <c r="H764" i="13"/>
  <c r="A769" i="13"/>
  <c r="H768" i="13"/>
  <c r="A770" i="13"/>
  <c r="H769" i="13"/>
  <c r="H772" i="13"/>
  <c r="A773" i="13"/>
  <c r="A771" i="13"/>
  <c r="H770" i="13"/>
  <c r="A774" i="13"/>
  <c r="A764" i="13"/>
  <c r="A772" i="13"/>
  <c r="H771" i="13"/>
  <c r="A765" i="13"/>
  <c r="H773" i="13"/>
  <c r="H765" i="13"/>
  <c r="H763" i="13"/>
  <c r="A763" i="13"/>
  <c r="H760" i="13"/>
  <c r="A760" i="13"/>
  <c r="A762" i="13"/>
  <c r="H761" i="13"/>
  <c r="A761" i="13"/>
  <c r="H759" i="13"/>
  <c r="H762" i="13"/>
  <c r="H756" i="13"/>
  <c r="A756" i="13"/>
  <c r="H757" i="13"/>
  <c r="A758" i="13"/>
  <c r="A757" i="13"/>
  <c r="H758" i="13"/>
  <c r="A759" i="13"/>
  <c r="A743" i="13"/>
  <c r="A751" i="13"/>
  <c r="H744" i="13"/>
  <c r="H752" i="13"/>
  <c r="A744" i="13"/>
  <c r="A752" i="13"/>
  <c r="H745" i="13"/>
  <c r="H753" i="13"/>
  <c r="A745" i="13"/>
  <c r="A746" i="13"/>
  <c r="A754" i="13"/>
  <c r="H747" i="13"/>
  <c r="H755" i="13"/>
  <c r="H746" i="13"/>
  <c r="A747" i="13"/>
  <c r="A755" i="13"/>
  <c r="H748" i="13"/>
  <c r="H754" i="13"/>
  <c r="A748" i="13"/>
  <c r="H749" i="13"/>
  <c r="A749" i="13"/>
  <c r="H750" i="13"/>
  <c r="A750" i="13"/>
  <c r="H743" i="13"/>
  <c r="H751" i="13"/>
  <c r="A753" i="13"/>
  <c r="A737" i="13"/>
  <c r="H738" i="13"/>
  <c r="A738" i="13"/>
  <c r="A739" i="13"/>
  <c r="H740" i="13"/>
  <c r="A740" i="13"/>
  <c r="H741" i="13"/>
  <c r="A741" i="13"/>
  <c r="H742" i="13"/>
  <c r="A742" i="13"/>
  <c r="H739" i="13"/>
  <c r="H737" i="13"/>
  <c r="H736" i="13"/>
  <c r="A736" i="13"/>
  <c r="H733" i="13"/>
  <c r="A733" i="13"/>
  <c r="H735" i="13"/>
  <c r="A734" i="13"/>
  <c r="A735" i="13"/>
  <c r="H734" i="13"/>
  <c r="A625" i="13"/>
  <c r="A633" i="13"/>
  <c r="A641" i="13"/>
  <c r="A649" i="13"/>
  <c r="A657" i="13"/>
  <c r="A665" i="13"/>
  <c r="A673" i="13"/>
  <c r="A681" i="13"/>
  <c r="A689" i="13"/>
  <c r="A697" i="13"/>
  <c r="A719" i="13"/>
  <c r="A727" i="13"/>
  <c r="A619" i="13"/>
  <c r="A627" i="13"/>
  <c r="A675" i="13"/>
  <c r="A721" i="13"/>
  <c r="A652" i="13"/>
  <c r="A626" i="13"/>
  <c r="A634" i="13"/>
  <c r="A642" i="13"/>
  <c r="A650" i="13"/>
  <c r="A658" i="13"/>
  <c r="A666" i="13"/>
  <c r="A674" i="13"/>
  <c r="A682" i="13"/>
  <c r="A690" i="13"/>
  <c r="A698" i="13"/>
  <c r="A720" i="13"/>
  <c r="A728" i="13"/>
  <c r="A620" i="13"/>
  <c r="A621" i="13"/>
  <c r="A629" i="13"/>
  <c r="A637" i="13"/>
  <c r="A645" i="13"/>
  <c r="A653" i="13"/>
  <c r="A661" i="13"/>
  <c r="A669" i="13"/>
  <c r="A677" i="13"/>
  <c r="A685" i="13"/>
  <c r="A693" i="13"/>
  <c r="A701" i="13"/>
  <c r="A723" i="13"/>
  <c r="A731" i="13"/>
  <c r="A640" i="13"/>
  <c r="A656" i="13"/>
  <c r="A672" i="13"/>
  <c r="A696" i="13"/>
  <c r="A635" i="13"/>
  <c r="A659" i="13"/>
  <c r="A636" i="13"/>
  <c r="A668" i="13"/>
  <c r="A676" i="13"/>
  <c r="A722" i="13"/>
  <c r="A622" i="13"/>
  <c r="A630" i="13"/>
  <c r="A638" i="13"/>
  <c r="A646" i="13"/>
  <c r="A654" i="13"/>
  <c r="A662" i="13"/>
  <c r="A670" i="13"/>
  <c r="A678" i="13"/>
  <c r="A686" i="13"/>
  <c r="A694" i="13"/>
  <c r="A716" i="13"/>
  <c r="A724" i="13"/>
  <c r="A732" i="13"/>
  <c r="A632" i="13"/>
  <c r="A664" i="13"/>
  <c r="A688" i="13"/>
  <c r="A718" i="13"/>
  <c r="A643" i="13"/>
  <c r="A667" i="13"/>
  <c r="A683" i="13"/>
  <c r="A699" i="13"/>
  <c r="A628" i="13"/>
  <c r="A660" i="13"/>
  <c r="A684" i="13"/>
  <c r="A700" i="13"/>
  <c r="A623" i="13"/>
  <c r="A631" i="13"/>
  <c r="A639" i="13"/>
  <c r="A647" i="13"/>
  <c r="A655" i="13"/>
  <c r="A663" i="13"/>
  <c r="A671" i="13"/>
  <c r="A679" i="13"/>
  <c r="A687" i="13"/>
  <c r="A695" i="13"/>
  <c r="A717" i="13"/>
  <c r="A725" i="13"/>
  <c r="A648" i="13"/>
  <c r="A680" i="13"/>
  <c r="A726" i="13"/>
  <c r="A651" i="13"/>
  <c r="A691" i="13"/>
  <c r="A729" i="13"/>
  <c r="A644" i="13"/>
  <c r="A692" i="13"/>
  <c r="A730" i="13"/>
  <c r="A624" i="13"/>
  <c r="H732" i="13"/>
  <c r="H731" i="13"/>
  <c r="J205" i="13"/>
  <c r="H729" i="13"/>
  <c r="A206" i="13"/>
  <c r="A214" i="13"/>
  <c r="A222" i="13"/>
  <c r="A230" i="13"/>
  <c r="A238" i="13"/>
  <c r="A246" i="13"/>
  <c r="A254" i="13"/>
  <c r="A262" i="13"/>
  <c r="A270" i="13"/>
  <c r="A278" i="13"/>
  <c r="A286" i="13"/>
  <c r="A294" i="13"/>
  <c r="A302" i="13"/>
  <c r="A310" i="13"/>
  <c r="A318" i="13"/>
  <c r="A326" i="13"/>
  <c r="A334" i="13"/>
  <c r="A342" i="13"/>
  <c r="A350" i="13"/>
  <c r="A358" i="13"/>
  <c r="A366" i="13"/>
  <c r="A374" i="13"/>
  <c r="A382" i="13"/>
  <c r="A390" i="13"/>
  <c r="A398" i="13"/>
  <c r="A406" i="13"/>
  <c r="A414" i="13"/>
  <c r="A422" i="13"/>
  <c r="A430" i="13"/>
  <c r="A438" i="13"/>
  <c r="A446" i="13"/>
  <c r="A454" i="13"/>
  <c r="A462" i="13"/>
  <c r="A470" i="13"/>
  <c r="A478" i="13"/>
  <c r="A486" i="13"/>
  <c r="A494" i="13"/>
  <c r="A502" i="13"/>
  <c r="A510" i="13"/>
  <c r="A518" i="13"/>
  <c r="A526" i="13"/>
  <c r="A534" i="13"/>
  <c r="A542" i="13"/>
  <c r="A550" i="13"/>
  <c r="A558" i="13"/>
  <c r="A566" i="13"/>
  <c r="A574" i="13"/>
  <c r="A582" i="13"/>
  <c r="A590" i="13"/>
  <c r="A598" i="13"/>
  <c r="A606" i="13"/>
  <c r="A614" i="13"/>
  <c r="H725" i="13"/>
  <c r="A269" i="13"/>
  <c r="A309" i="13"/>
  <c r="A357" i="13"/>
  <c r="A413" i="13"/>
  <c r="A461" i="13"/>
  <c r="A493" i="13"/>
  <c r="A541" i="13"/>
  <c r="A589" i="13"/>
  <c r="H730" i="13"/>
  <c r="A207" i="13"/>
  <c r="A215" i="13"/>
  <c r="A223" i="13"/>
  <c r="A231" i="13"/>
  <c r="A239" i="13"/>
  <c r="A247" i="13"/>
  <c r="A255" i="13"/>
  <c r="A263" i="13"/>
  <c r="A271" i="13"/>
  <c r="A279" i="13"/>
  <c r="A287" i="13"/>
  <c r="A295" i="13"/>
  <c r="A303" i="13"/>
  <c r="A311" i="13"/>
  <c r="A319" i="13"/>
  <c r="A327" i="13"/>
  <c r="A335" i="13"/>
  <c r="A343" i="13"/>
  <c r="A351" i="13"/>
  <c r="A359" i="13"/>
  <c r="A367" i="13"/>
  <c r="A375" i="13"/>
  <c r="A383" i="13"/>
  <c r="A391" i="13"/>
  <c r="A399" i="13"/>
  <c r="A407" i="13"/>
  <c r="A415" i="13"/>
  <c r="A423" i="13"/>
  <c r="A431" i="13"/>
  <c r="A439" i="13"/>
  <c r="A447" i="13"/>
  <c r="A455" i="13"/>
  <c r="A463" i="13"/>
  <c r="A471" i="13"/>
  <c r="A479" i="13"/>
  <c r="A487" i="13"/>
  <c r="A495" i="13"/>
  <c r="A503" i="13"/>
  <c r="A511" i="13"/>
  <c r="A519" i="13"/>
  <c r="A527" i="13"/>
  <c r="A535" i="13"/>
  <c r="A543" i="13"/>
  <c r="A551" i="13"/>
  <c r="A559" i="13"/>
  <c r="A567" i="13"/>
  <c r="A575" i="13"/>
  <c r="A583" i="13"/>
  <c r="A591" i="13"/>
  <c r="A599" i="13"/>
  <c r="A607" i="13"/>
  <c r="A615" i="13"/>
  <c r="H726" i="13"/>
  <c r="A381" i="13"/>
  <c r="A517" i="13"/>
  <c r="A573" i="13"/>
  <c r="A208" i="13"/>
  <c r="A216" i="13"/>
  <c r="A224" i="13"/>
  <c r="A232" i="13"/>
  <c r="A240" i="13"/>
  <c r="A248" i="13"/>
  <c r="A256" i="13"/>
  <c r="A264" i="13"/>
  <c r="A272" i="13"/>
  <c r="A280" i="13"/>
  <c r="A288" i="13"/>
  <c r="A296" i="13"/>
  <c r="A304" i="13"/>
  <c r="A312" i="13"/>
  <c r="A320" i="13"/>
  <c r="A328" i="13"/>
  <c r="A336" i="13"/>
  <c r="A344" i="13"/>
  <c r="A352" i="13"/>
  <c r="A360" i="13"/>
  <c r="A368" i="13"/>
  <c r="A376" i="13"/>
  <c r="A384" i="13"/>
  <c r="A392" i="13"/>
  <c r="A400" i="13"/>
  <c r="A408" i="13"/>
  <c r="A416" i="13"/>
  <c r="A424" i="13"/>
  <c r="A432" i="13"/>
  <c r="A440" i="13"/>
  <c r="A448" i="13"/>
  <c r="A456" i="13"/>
  <c r="A464" i="13"/>
  <c r="A472" i="13"/>
  <c r="A480" i="13"/>
  <c r="A488" i="13"/>
  <c r="A496" i="13"/>
  <c r="A504" i="13"/>
  <c r="A512" i="13"/>
  <c r="A520" i="13"/>
  <c r="A528" i="13"/>
  <c r="A536" i="13"/>
  <c r="A544" i="13"/>
  <c r="A552" i="13"/>
  <c r="A560" i="13"/>
  <c r="A568" i="13"/>
  <c r="A576" i="13"/>
  <c r="A584" i="13"/>
  <c r="A592" i="13"/>
  <c r="A600" i="13"/>
  <c r="A608" i="13"/>
  <c r="A616" i="13"/>
  <c r="A205" i="13"/>
  <c r="A221" i="13"/>
  <c r="A237" i="13"/>
  <c r="A277" i="13"/>
  <c r="A317" i="13"/>
  <c r="A349" i="13"/>
  <c r="A397" i="13"/>
  <c r="A437" i="13"/>
  <c r="A477" i="13"/>
  <c r="A533" i="13"/>
  <c r="A581" i="13"/>
  <c r="A209" i="13"/>
  <c r="A217" i="13"/>
  <c r="A225" i="13"/>
  <c r="A233" i="13"/>
  <c r="A241" i="13"/>
  <c r="A249" i="13"/>
  <c r="A257" i="13"/>
  <c r="A265" i="13"/>
  <c r="A273" i="13"/>
  <c r="A281" i="13"/>
  <c r="A289" i="13"/>
  <c r="A297" i="13"/>
  <c r="A305" i="13"/>
  <c r="A313" i="13"/>
  <c r="A321" i="13"/>
  <c r="A329" i="13"/>
  <c r="A337" i="13"/>
  <c r="A345" i="13"/>
  <c r="A353" i="13"/>
  <c r="A361" i="13"/>
  <c r="A369" i="13"/>
  <c r="A377" i="13"/>
  <c r="A385" i="13"/>
  <c r="A393" i="13"/>
  <c r="A401" i="13"/>
  <c r="A409" i="13"/>
  <c r="A417" i="13"/>
  <c r="A425" i="13"/>
  <c r="A433" i="13"/>
  <c r="A441" i="13"/>
  <c r="A449" i="13"/>
  <c r="A457" i="13"/>
  <c r="A465" i="13"/>
  <c r="A473" i="13"/>
  <c r="A481" i="13"/>
  <c r="A489" i="13"/>
  <c r="A497" i="13"/>
  <c r="A505" i="13"/>
  <c r="A513" i="13"/>
  <c r="A521" i="13"/>
  <c r="A529" i="13"/>
  <c r="A537" i="13"/>
  <c r="A545" i="13"/>
  <c r="A553" i="13"/>
  <c r="A561" i="13"/>
  <c r="A569" i="13"/>
  <c r="A577" i="13"/>
  <c r="A585" i="13"/>
  <c r="A593" i="13"/>
  <c r="A601" i="13"/>
  <c r="A609" i="13"/>
  <c r="A617" i="13"/>
  <c r="A229" i="13"/>
  <c r="A253" i="13"/>
  <c r="A285" i="13"/>
  <c r="A325" i="13"/>
  <c r="A373" i="13"/>
  <c r="A421" i="13"/>
  <c r="A469" i="13"/>
  <c r="A509" i="13"/>
  <c r="A565" i="13"/>
  <c r="A605" i="13"/>
  <c r="A210" i="13"/>
  <c r="A218" i="13"/>
  <c r="A226" i="13"/>
  <c r="A234" i="13"/>
  <c r="A242" i="13"/>
  <c r="A250" i="13"/>
  <c r="A258" i="13"/>
  <c r="A266" i="13"/>
  <c r="A274" i="13"/>
  <c r="A282" i="13"/>
  <c r="A290" i="13"/>
  <c r="A298" i="13"/>
  <c r="A306" i="13"/>
  <c r="A314" i="13"/>
  <c r="A322" i="13"/>
  <c r="A330" i="13"/>
  <c r="A338" i="13"/>
  <c r="A346" i="13"/>
  <c r="A354" i="13"/>
  <c r="A362" i="13"/>
  <c r="A370" i="13"/>
  <c r="A378" i="13"/>
  <c r="A386" i="13"/>
  <c r="A394" i="13"/>
  <c r="A402" i="13"/>
  <c r="A410" i="13"/>
  <c r="A418" i="13"/>
  <c r="A426" i="13"/>
  <c r="A434" i="13"/>
  <c r="A442" i="13"/>
  <c r="A450" i="13"/>
  <c r="A458" i="13"/>
  <c r="A466" i="13"/>
  <c r="A474" i="13"/>
  <c r="A482" i="13"/>
  <c r="A490" i="13"/>
  <c r="A498" i="13"/>
  <c r="A506" i="13"/>
  <c r="A514" i="13"/>
  <c r="A522" i="13"/>
  <c r="A530" i="13"/>
  <c r="A538" i="13"/>
  <c r="A546" i="13"/>
  <c r="A554" i="13"/>
  <c r="A562" i="13"/>
  <c r="A570" i="13"/>
  <c r="A578" i="13"/>
  <c r="A586" i="13"/>
  <c r="A594" i="13"/>
  <c r="A602" i="13"/>
  <c r="A610" i="13"/>
  <c r="A618" i="13"/>
  <c r="H728" i="13"/>
  <c r="A525" i="13"/>
  <c r="A613" i="13"/>
  <c r="H724" i="13"/>
  <c r="A211" i="13"/>
  <c r="A219" i="13"/>
  <c r="A227" i="13"/>
  <c r="A235" i="13"/>
  <c r="A243" i="13"/>
  <c r="A251" i="13"/>
  <c r="A259" i="13"/>
  <c r="A267" i="13"/>
  <c r="A275" i="13"/>
  <c r="A283" i="13"/>
  <c r="A291" i="13"/>
  <c r="A299" i="13"/>
  <c r="A307" i="13"/>
  <c r="A315" i="13"/>
  <c r="A323" i="13"/>
  <c r="A331" i="13"/>
  <c r="A339" i="13"/>
  <c r="A347" i="13"/>
  <c r="A355" i="13"/>
  <c r="A363" i="13"/>
  <c r="A371" i="13"/>
  <c r="A379" i="13"/>
  <c r="A387" i="13"/>
  <c r="A395" i="13"/>
  <c r="A403" i="13"/>
  <c r="A411" i="13"/>
  <c r="A419" i="13"/>
  <c r="A427" i="13"/>
  <c r="A435" i="13"/>
  <c r="A443" i="13"/>
  <c r="A451" i="13"/>
  <c r="A459" i="13"/>
  <c r="A467" i="13"/>
  <c r="A475" i="13"/>
  <c r="A483" i="13"/>
  <c r="A491" i="13"/>
  <c r="A499" i="13"/>
  <c r="A507" i="13"/>
  <c r="A515" i="13"/>
  <c r="A523" i="13"/>
  <c r="A531" i="13"/>
  <c r="A539" i="13"/>
  <c r="A547" i="13"/>
  <c r="A555" i="13"/>
  <c r="A563" i="13"/>
  <c r="A571" i="13"/>
  <c r="A579" i="13"/>
  <c r="A587" i="13"/>
  <c r="A595" i="13"/>
  <c r="A603" i="13"/>
  <c r="A611" i="13"/>
  <c r="A213" i="13"/>
  <c r="A245" i="13"/>
  <c r="A293" i="13"/>
  <c r="A333" i="13"/>
  <c r="A365" i="13"/>
  <c r="A405" i="13"/>
  <c r="A445" i="13"/>
  <c r="A485" i="13"/>
  <c r="A549" i="13"/>
  <c r="A597" i="13"/>
  <c r="H727" i="13"/>
  <c r="A212" i="13"/>
  <c r="A220" i="13"/>
  <c r="A228" i="13"/>
  <c r="A236" i="13"/>
  <c r="A244" i="13"/>
  <c r="A252" i="13"/>
  <c r="A260" i="13"/>
  <c r="A268" i="13"/>
  <c r="A276" i="13"/>
  <c r="A284" i="13"/>
  <c r="A292" i="13"/>
  <c r="A300" i="13"/>
  <c r="A308" i="13"/>
  <c r="A316" i="13"/>
  <c r="A324" i="13"/>
  <c r="A332" i="13"/>
  <c r="A340" i="13"/>
  <c r="A348" i="13"/>
  <c r="A356" i="13"/>
  <c r="A364" i="13"/>
  <c r="A372" i="13"/>
  <c r="A380" i="13"/>
  <c r="A388" i="13"/>
  <c r="A396" i="13"/>
  <c r="A404" i="13"/>
  <c r="A412" i="13"/>
  <c r="A420" i="13"/>
  <c r="A428" i="13"/>
  <c r="A436" i="13"/>
  <c r="A444" i="13"/>
  <c r="A452" i="13"/>
  <c r="A460" i="13"/>
  <c r="A468" i="13"/>
  <c r="A476" i="13"/>
  <c r="A484" i="13"/>
  <c r="A492" i="13"/>
  <c r="A500" i="13"/>
  <c r="A508" i="13"/>
  <c r="A516" i="13"/>
  <c r="A524" i="13"/>
  <c r="A532" i="13"/>
  <c r="A540" i="13"/>
  <c r="A548" i="13"/>
  <c r="A556" i="13"/>
  <c r="A564" i="13"/>
  <c r="A572" i="13"/>
  <c r="A580" i="13"/>
  <c r="A588" i="13"/>
  <c r="A596" i="13"/>
  <c r="A604" i="13"/>
  <c r="A612" i="13"/>
  <c r="H723" i="13"/>
  <c r="A261" i="13"/>
  <c r="A301" i="13"/>
  <c r="A341" i="13"/>
  <c r="A389" i="13"/>
  <c r="A429" i="13"/>
  <c r="A453" i="13"/>
  <c r="A501" i="13"/>
  <c r="A557" i="13"/>
  <c r="H722" i="13"/>
  <c r="H716" i="13"/>
  <c r="I205" i="13"/>
  <c r="H718" i="13"/>
  <c r="H717" i="13"/>
  <c r="H719" i="13"/>
  <c r="H720" i="13"/>
  <c r="H721" i="13"/>
  <c r="H56" i="15"/>
  <c r="H57" i="15"/>
  <c r="H58" i="15"/>
  <c r="H59" i="15"/>
  <c r="H60" i="15"/>
  <c r="H61" i="15"/>
  <c r="H62" i="15"/>
  <c r="D63" i="15"/>
  <c r="H63" i="15"/>
  <c r="D64" i="15"/>
  <c r="H64" i="15"/>
  <c r="G16" i="15" l="1"/>
  <c r="E18" i="15"/>
  <c r="J19" i="15"/>
  <c r="J62" i="15" s="1"/>
  <c r="J16" i="15"/>
  <c r="J59" i="15" s="1"/>
  <c r="G17" i="15"/>
  <c r="E19" i="15"/>
  <c r="D19" i="15"/>
  <c r="D62" i="15" s="1"/>
  <c r="J17" i="15"/>
  <c r="J60" i="15" s="1"/>
  <c r="G18" i="15"/>
  <c r="G19" i="15"/>
  <c r="D16" i="15"/>
  <c r="J18" i="15"/>
  <c r="J61" i="15" s="1"/>
  <c r="D17" i="15"/>
  <c r="E16" i="15"/>
  <c r="E59" i="15" s="1"/>
  <c r="D18" i="15"/>
  <c r="D61" i="15" s="1"/>
  <c r="E17" i="15"/>
  <c r="D9" i="15"/>
  <c r="D12" i="15"/>
  <c r="J15" i="15"/>
  <c r="J58" i="15" s="1"/>
  <c r="G15" i="15"/>
  <c r="E14" i="15"/>
  <c r="E57" i="15" s="1"/>
  <c r="E15" i="15"/>
  <c r="E58" i="15" s="1"/>
  <c r="G14" i="15"/>
  <c r="J14" i="15"/>
  <c r="J57" i="15" s="1"/>
  <c r="J63" i="15"/>
  <c r="J64" i="15"/>
  <c r="E12" i="15" l="1"/>
  <c r="J12" i="15"/>
  <c r="G12" i="15"/>
  <c r="B12" i="15" a="1"/>
  <c r="B12" i="15" s="1"/>
  <c r="H65" i="15" l="1"/>
  <c r="G63" i="15"/>
  <c r="B21" i="15" a="1"/>
  <c r="B21" i="15" s="1"/>
  <c r="B64" i="15" s="1"/>
  <c r="B20" i="15" a="1"/>
  <c r="B20" i="15" s="1"/>
  <c r="B63" i="15" s="1"/>
  <c r="B19" i="15" a="1"/>
  <c r="B19" i="15" s="1"/>
  <c r="B62" i="15" s="1"/>
  <c r="E63" i="15"/>
  <c r="G57" i="15" l="1"/>
  <c r="G58" i="15"/>
  <c r="G59" i="15"/>
  <c r="G60" i="15"/>
  <c r="G61" i="15"/>
  <c r="G62" i="15"/>
  <c r="G64" i="15"/>
  <c r="E60" i="15"/>
  <c r="E61" i="15"/>
  <c r="E62" i="15"/>
  <c r="E64" i="15"/>
  <c r="D14" i="15"/>
  <c r="D15" i="15"/>
  <c r="D58" i="15" s="1"/>
  <c r="D59" i="15"/>
  <c r="D60" i="15"/>
  <c r="B14" i="15" a="1"/>
  <c r="B14" i="15" s="1"/>
  <c r="B57" i="15" s="1"/>
  <c r="B15" i="15" a="1"/>
  <c r="B15" i="15" s="1"/>
  <c r="B58" i="15" s="1"/>
  <c r="B16" i="15" a="1"/>
  <c r="B16" i="15" s="1"/>
  <c r="B59" i="15" s="1"/>
  <c r="B17" i="15" a="1"/>
  <c r="B17" i="15" s="1"/>
  <c r="B60" i="15" s="1"/>
  <c r="B18" i="15" a="1"/>
  <c r="B18" i="15" s="1"/>
  <c r="B61" i="15" s="1"/>
  <c r="J13" i="15"/>
  <c r="J56" i="15" s="1"/>
  <c r="G13" i="15"/>
  <c r="G56" i="15" s="1"/>
  <c r="E13" i="15"/>
  <c r="E56" i="15" s="1"/>
  <c r="D13" i="15"/>
  <c r="B13" i="15" a="1"/>
  <c r="B13" i="15" s="1"/>
  <c r="B56" i="15" s="1"/>
  <c r="C29" i="15" l="1" a="1"/>
  <c r="C29" i="15" s="1"/>
  <c r="C67" i="15" s="1"/>
  <c r="D57" i="15"/>
  <c r="D56" i="15"/>
  <c r="J55" i="15"/>
  <c r="G55" i="15"/>
  <c r="E55" i="15"/>
  <c r="D55" i="15"/>
  <c r="B55" i="15"/>
  <c r="D52" i="15"/>
  <c r="H55" i="15"/>
  <c r="I52" i="15"/>
  <c r="R40" i="15"/>
  <c r="R37" i="15"/>
  <c r="R35" i="15"/>
  <c r="R34" i="15"/>
  <c r="R33" i="15"/>
  <c r="R32" i="15"/>
  <c r="J65" i="15"/>
  <c r="G65" i="15"/>
  <c r="E65" i="15"/>
  <c r="D65" i="15"/>
  <c r="B65" i="15"/>
  <c r="G4" i="15"/>
  <c r="D4" i="13"/>
  <c r="G100" i="11"/>
  <c r="E96" i="11"/>
  <c r="B70" i="11"/>
  <c r="H70" i="11"/>
  <c r="B71" i="11"/>
  <c r="D71" i="11"/>
  <c r="E71" i="11"/>
  <c r="G71" i="11"/>
  <c r="H71" i="11"/>
  <c r="J71" i="11"/>
  <c r="K71" i="11"/>
  <c r="B72" i="11"/>
  <c r="D72" i="11"/>
  <c r="E72" i="11"/>
  <c r="G72" i="11"/>
  <c r="H72" i="11"/>
  <c r="J72" i="11"/>
  <c r="B73" i="11"/>
  <c r="D73" i="11"/>
  <c r="E73" i="11"/>
  <c r="G73" i="11"/>
  <c r="H73" i="11"/>
  <c r="J73" i="11"/>
  <c r="B74" i="11"/>
  <c r="D74" i="11"/>
  <c r="E74" i="11"/>
  <c r="G74" i="11"/>
  <c r="H74" i="11"/>
  <c r="J74" i="11"/>
  <c r="K74" i="11"/>
  <c r="B75" i="11"/>
  <c r="D75" i="11"/>
  <c r="E75" i="11"/>
  <c r="G75" i="11"/>
  <c r="H75" i="11"/>
  <c r="J75" i="11"/>
  <c r="K75" i="11"/>
  <c r="B76" i="11"/>
  <c r="H76" i="11"/>
  <c r="B77" i="11"/>
  <c r="E77" i="11"/>
  <c r="G77" i="11"/>
  <c r="H77" i="11"/>
  <c r="J77" i="11"/>
  <c r="B78" i="11"/>
  <c r="E78" i="11"/>
  <c r="G78" i="11"/>
  <c r="H78" i="11"/>
  <c r="B79" i="11"/>
  <c r="E79" i="11"/>
  <c r="G79" i="11"/>
  <c r="H79" i="11"/>
  <c r="B80" i="11"/>
  <c r="D80" i="11"/>
  <c r="E80" i="11"/>
  <c r="G80" i="11"/>
  <c r="H80" i="11"/>
  <c r="B81" i="11"/>
  <c r="D81" i="11"/>
  <c r="E81" i="11"/>
  <c r="G81" i="11"/>
  <c r="H81" i="11"/>
  <c r="B82" i="11"/>
  <c r="D82" i="11"/>
  <c r="E82" i="11"/>
  <c r="G82" i="11"/>
  <c r="H82" i="11"/>
  <c r="B83" i="11"/>
  <c r="D83" i="11"/>
  <c r="E83" i="11"/>
  <c r="G83" i="11"/>
  <c r="H83" i="11"/>
  <c r="B84" i="11"/>
  <c r="D84" i="11"/>
  <c r="E84" i="11"/>
  <c r="G84" i="11"/>
  <c r="H84" i="11"/>
  <c r="B85" i="11"/>
  <c r="D85" i="11"/>
  <c r="E85" i="11"/>
  <c r="G85" i="11"/>
  <c r="H85" i="11"/>
  <c r="B86" i="11"/>
  <c r="D86" i="11"/>
  <c r="E86" i="11"/>
  <c r="G86" i="11"/>
  <c r="H86" i="11"/>
  <c r="B87" i="11"/>
  <c r="D87" i="11"/>
  <c r="E87" i="11"/>
  <c r="G87" i="11"/>
  <c r="H87" i="11"/>
  <c r="B88" i="11"/>
  <c r="D88" i="11"/>
  <c r="E88" i="11"/>
  <c r="G88" i="11"/>
  <c r="H88" i="11"/>
  <c r="B89" i="11"/>
  <c r="D89" i="11"/>
  <c r="E89" i="11"/>
  <c r="G89" i="11"/>
  <c r="H89" i="11"/>
  <c r="J89" i="11"/>
  <c r="K89" i="11"/>
  <c r="B90" i="11"/>
  <c r="D90" i="11"/>
  <c r="E90" i="11"/>
  <c r="G90" i="11"/>
  <c r="H90" i="11"/>
  <c r="J90" i="11"/>
  <c r="K90" i="11"/>
  <c r="B91" i="11"/>
  <c r="D91" i="11"/>
  <c r="E91" i="11"/>
  <c r="G91" i="11"/>
  <c r="H91" i="11"/>
  <c r="J91" i="11"/>
  <c r="K91" i="11"/>
  <c r="B92" i="11"/>
  <c r="D92" i="11"/>
  <c r="E92" i="11"/>
  <c r="G92" i="11"/>
  <c r="H92" i="11"/>
  <c r="J92" i="11"/>
  <c r="K92" i="11"/>
  <c r="B93" i="11"/>
  <c r="D93" i="11"/>
  <c r="E93" i="11"/>
  <c r="G93" i="11"/>
  <c r="H93" i="11"/>
  <c r="J93" i="11"/>
  <c r="K93" i="11"/>
  <c r="B94" i="11"/>
  <c r="D94" i="11"/>
  <c r="E94" i="11"/>
  <c r="G94" i="11"/>
  <c r="J94" i="11"/>
  <c r="K94" i="11"/>
  <c r="I67" i="11"/>
  <c r="D67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J62" i="11"/>
  <c r="D12" i="11"/>
  <c r="D70" i="11" s="1"/>
  <c r="E12" i="11"/>
  <c r="E70" i="11" s="1"/>
  <c r="G12" i="11"/>
  <c r="G70" i="11" s="1"/>
  <c r="J12" i="11"/>
  <c r="J70" i="11" s="1"/>
  <c r="K12" i="11"/>
  <c r="K70" i="11" s="1"/>
  <c r="R12" i="11"/>
  <c r="K13" i="11"/>
  <c r="R13" i="11"/>
  <c r="R14" i="11"/>
  <c r="K15" i="11"/>
  <c r="R15" i="11"/>
  <c r="K16" i="11"/>
  <c r="R16" i="11"/>
  <c r="K17" i="11"/>
  <c r="R17" i="11"/>
  <c r="K18" i="11"/>
  <c r="K72" i="11" s="1"/>
  <c r="R18" i="11"/>
  <c r="K19" i="11"/>
  <c r="K73" i="11" s="1"/>
  <c r="R19" i="11"/>
  <c r="R20" i="11"/>
  <c r="D22" i="11"/>
  <c r="D76" i="11" s="1"/>
  <c r="E22" i="11"/>
  <c r="G22" i="11"/>
  <c r="J22" i="11"/>
  <c r="K22" i="11"/>
  <c r="D23" i="11"/>
  <c r="D77" i="11" s="1"/>
  <c r="E23" i="11"/>
  <c r="G23" i="11"/>
  <c r="J23" i="11"/>
  <c r="K23" i="11"/>
  <c r="R23" i="11"/>
  <c r="D24" i="11"/>
  <c r="D78" i="11" s="1"/>
  <c r="E24" i="11"/>
  <c r="G24" i="11"/>
  <c r="J24" i="11"/>
  <c r="K24" i="11"/>
  <c r="R24" i="11"/>
  <c r="D25" i="11"/>
  <c r="D79" i="11" s="1"/>
  <c r="E25" i="11"/>
  <c r="G25" i="11"/>
  <c r="J25" i="11"/>
  <c r="K25" i="11"/>
  <c r="R25" i="11"/>
  <c r="D26" i="11"/>
  <c r="E26" i="11"/>
  <c r="G26" i="11"/>
  <c r="J26" i="11"/>
  <c r="K26" i="11"/>
  <c r="R26" i="11"/>
  <c r="D27" i="11"/>
  <c r="E27" i="11"/>
  <c r="E76" i="11" s="1"/>
  <c r="G27" i="11"/>
  <c r="G76" i="11" s="1"/>
  <c r="J27" i="11"/>
  <c r="J76" i="11" s="1"/>
  <c r="K27" i="11"/>
  <c r="K76" i="11" s="1"/>
  <c r="R27" i="11"/>
  <c r="K28" i="11"/>
  <c r="K77" i="11" s="1"/>
  <c r="R28" i="11"/>
  <c r="J29" i="11"/>
  <c r="J78" i="11" s="1"/>
  <c r="K29" i="11"/>
  <c r="K78" i="11" s="1"/>
  <c r="R29" i="11"/>
  <c r="J30" i="11"/>
  <c r="J79" i="11" s="1"/>
  <c r="K30" i="11"/>
  <c r="K79" i="11" s="1"/>
  <c r="R30" i="11"/>
  <c r="J31" i="11"/>
  <c r="J80" i="11" s="1"/>
  <c r="K31" i="11"/>
  <c r="K80" i="11" s="1"/>
  <c r="R31" i="11"/>
  <c r="J32" i="11"/>
  <c r="J81" i="11" s="1"/>
  <c r="K32" i="11"/>
  <c r="K81" i="11" s="1"/>
  <c r="R32" i="11"/>
  <c r="J33" i="11"/>
  <c r="J82" i="11" s="1"/>
  <c r="K33" i="11"/>
  <c r="K82" i="11" s="1"/>
  <c r="R33" i="11"/>
  <c r="J34" i="11"/>
  <c r="J83" i="11" s="1"/>
  <c r="K34" i="11"/>
  <c r="K83" i="11" s="1"/>
  <c r="R34" i="11"/>
  <c r="J35" i="11"/>
  <c r="J84" i="11" s="1"/>
  <c r="K35" i="11"/>
  <c r="K84" i="11" s="1"/>
  <c r="R35" i="11"/>
  <c r="J36" i="11"/>
  <c r="J85" i="11" s="1"/>
  <c r="K36" i="11"/>
  <c r="K85" i="11" s="1"/>
  <c r="R36" i="11"/>
  <c r="J37" i="11"/>
  <c r="J86" i="11" s="1"/>
  <c r="K37" i="11"/>
  <c r="K86" i="11" s="1"/>
  <c r="R37" i="11"/>
  <c r="J38" i="11"/>
  <c r="J87" i="11" s="1"/>
  <c r="K38" i="11"/>
  <c r="K87" i="11" s="1"/>
  <c r="R38" i="11"/>
  <c r="J39" i="11"/>
  <c r="J88" i="11" s="1"/>
  <c r="K39" i="11"/>
  <c r="K88" i="11" s="1"/>
  <c r="R39" i="11"/>
  <c r="R40" i="11"/>
  <c r="G4" i="11"/>
  <c r="G62" i="11" s="1"/>
  <c r="K17" i="15" l="1"/>
  <c r="K60" i="15" s="1"/>
  <c r="K18" i="15"/>
  <c r="K61" i="15" s="1"/>
  <c r="K19" i="15"/>
  <c r="K62" i="15" s="1"/>
  <c r="K13" i="15"/>
  <c r="K56" i="15" s="1"/>
  <c r="K14" i="15"/>
  <c r="K57" i="15" s="1"/>
  <c r="K22" i="15"/>
  <c r="K26" i="15"/>
  <c r="K23" i="15"/>
  <c r="K24" i="15"/>
  <c r="K25" i="15"/>
  <c r="K20" i="15"/>
  <c r="K63" i="15" s="1"/>
  <c r="K12" i="15"/>
  <c r="K55" i="15" s="1"/>
  <c r="K27" i="15"/>
  <c r="K65" i="15" s="1"/>
  <c r="K16" i="15"/>
  <c r="K59" i="15" s="1"/>
  <c r="K15" i="15"/>
  <c r="K58" i="15" s="1"/>
  <c r="K21" i="15"/>
  <c r="K64" i="15" s="1"/>
  <c r="G46" i="1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5" i="5"/>
  <c r="K15" i="5" l="1"/>
  <c r="E165" i="7" l="1"/>
  <c r="D165" i="7"/>
  <c r="C165" i="7"/>
  <c r="B165" i="7"/>
  <c r="E164" i="7"/>
  <c r="D164" i="7"/>
  <c r="C164" i="7"/>
  <c r="B164" i="7"/>
  <c r="E163" i="7"/>
  <c r="D163" i="7"/>
  <c r="C163" i="7"/>
  <c r="B163" i="7"/>
  <c r="E162" i="7"/>
  <c r="D162" i="7"/>
  <c r="C162" i="7"/>
  <c r="B162" i="7"/>
  <c r="E161" i="7"/>
  <c r="D161" i="7"/>
  <c r="C161" i="7"/>
  <c r="B161" i="7"/>
  <c r="E160" i="7"/>
  <c r="D160" i="7"/>
  <c r="C160" i="7"/>
  <c r="B160" i="7"/>
  <c r="E159" i="7"/>
  <c r="D159" i="7"/>
  <c r="C159" i="7"/>
  <c r="B159" i="7"/>
  <c r="E158" i="7"/>
  <c r="D158" i="7"/>
  <c r="C158" i="7"/>
  <c r="B158" i="7"/>
  <c r="E157" i="7"/>
  <c r="D157" i="7"/>
  <c r="C157" i="7"/>
  <c r="B157" i="7"/>
  <c r="E156" i="7"/>
  <c r="D156" i="7"/>
  <c r="C156" i="7"/>
  <c r="B156" i="7"/>
  <c r="E155" i="7"/>
  <c r="D155" i="7"/>
  <c r="C155" i="7"/>
  <c r="B155" i="7"/>
  <c r="E154" i="7"/>
  <c r="D154" i="7"/>
  <c r="C154" i="7"/>
  <c r="B154" i="7"/>
  <c r="E153" i="7"/>
  <c r="D153" i="7"/>
  <c r="C153" i="7"/>
  <c r="B153" i="7"/>
  <c r="E152" i="7"/>
  <c r="D152" i="7"/>
  <c r="C152" i="7"/>
  <c r="B152" i="7"/>
  <c r="E151" i="7"/>
  <c r="D151" i="7"/>
  <c r="C151" i="7"/>
  <c r="B151" i="7"/>
  <c r="E150" i="7"/>
  <c r="D150" i="7"/>
  <c r="C150" i="7"/>
  <c r="B150" i="7"/>
  <c r="E149" i="7"/>
  <c r="D149" i="7"/>
  <c r="C149" i="7"/>
  <c r="B149" i="7"/>
  <c r="E148" i="7"/>
  <c r="D148" i="7"/>
  <c r="C148" i="7"/>
  <c r="B148" i="7"/>
  <c r="E147" i="7"/>
  <c r="D147" i="7"/>
  <c r="C147" i="7"/>
  <c r="B147" i="7"/>
  <c r="E146" i="7"/>
  <c r="D146" i="7"/>
  <c r="C146" i="7"/>
  <c r="B146" i="7"/>
  <c r="E145" i="7"/>
  <c r="D145" i="7"/>
  <c r="C145" i="7"/>
  <c r="B145" i="7"/>
  <c r="E144" i="7"/>
  <c r="D144" i="7"/>
  <c r="C144" i="7"/>
  <c r="B144" i="7"/>
  <c r="E143" i="7"/>
  <c r="D143" i="7"/>
  <c r="C143" i="7"/>
  <c r="B143" i="7"/>
  <c r="E142" i="7"/>
  <c r="D142" i="7"/>
  <c r="C142" i="7"/>
  <c r="B142" i="7"/>
  <c r="E141" i="7"/>
  <c r="D141" i="7"/>
  <c r="C141" i="7"/>
  <c r="B141" i="7"/>
  <c r="E140" i="7"/>
  <c r="D140" i="7"/>
  <c r="C140" i="7"/>
  <c r="B140" i="7"/>
  <c r="E139" i="7"/>
  <c r="D139" i="7"/>
  <c r="C139" i="7"/>
  <c r="B139" i="7"/>
  <c r="E138" i="7"/>
  <c r="D138" i="7"/>
  <c r="C138" i="7"/>
  <c r="B138" i="7"/>
  <c r="E137" i="7"/>
  <c r="D137" i="7"/>
  <c r="C137" i="7"/>
  <c r="B137" i="7"/>
  <c r="E136" i="7"/>
  <c r="D136" i="7"/>
  <c r="C136" i="7"/>
  <c r="B136" i="7"/>
  <c r="E135" i="7"/>
  <c r="D135" i="7"/>
  <c r="C135" i="7"/>
  <c r="B135" i="7"/>
  <c r="E134" i="7"/>
  <c r="D134" i="7"/>
  <c r="C134" i="7"/>
  <c r="B134" i="7"/>
  <c r="E133" i="7"/>
  <c r="D133" i="7"/>
  <c r="C133" i="7"/>
  <c r="B133" i="7"/>
  <c r="E132" i="7"/>
  <c r="D132" i="7"/>
  <c r="C132" i="7"/>
  <c r="B132" i="7"/>
  <c r="E131" i="7"/>
  <c r="D131" i="7"/>
  <c r="C131" i="7"/>
  <c r="B131" i="7"/>
  <c r="E130" i="7"/>
  <c r="D130" i="7"/>
  <c r="C130" i="7"/>
  <c r="B130" i="7"/>
  <c r="E129" i="7"/>
  <c r="D129" i="7"/>
  <c r="C129" i="7"/>
  <c r="B129" i="7"/>
  <c r="E128" i="7"/>
  <c r="D128" i="7"/>
  <c r="C128" i="7"/>
  <c r="B128" i="7"/>
  <c r="E127" i="7"/>
  <c r="D127" i="7"/>
  <c r="C127" i="7"/>
  <c r="B127" i="7"/>
  <c r="E126" i="7"/>
  <c r="D126" i="7"/>
  <c r="C126" i="7"/>
  <c r="B126" i="7"/>
  <c r="E125" i="7"/>
  <c r="D125" i="7"/>
  <c r="C125" i="7"/>
  <c r="B125" i="7"/>
  <c r="E124" i="7"/>
  <c r="D124" i="7"/>
  <c r="C124" i="7"/>
  <c r="B124" i="7"/>
  <c r="E123" i="7"/>
  <c r="D123" i="7"/>
  <c r="C123" i="7"/>
  <c r="B123" i="7"/>
  <c r="E122" i="7"/>
  <c r="D122" i="7"/>
  <c r="C122" i="7"/>
  <c r="B122" i="7"/>
  <c r="E121" i="7"/>
  <c r="D121" i="7"/>
  <c r="C121" i="7"/>
  <c r="B121" i="7"/>
  <c r="E120" i="7"/>
  <c r="D120" i="7"/>
  <c r="C120" i="7"/>
  <c r="B120" i="7"/>
  <c r="E119" i="7"/>
  <c r="D119" i="7"/>
  <c r="C119" i="7"/>
  <c r="B119" i="7"/>
  <c r="E118" i="7"/>
  <c r="D118" i="7"/>
  <c r="C118" i="7"/>
  <c r="B118" i="7"/>
  <c r="E117" i="7"/>
  <c r="D117" i="7"/>
  <c r="C117" i="7"/>
  <c r="B117" i="7"/>
  <c r="E116" i="7"/>
  <c r="D116" i="7"/>
  <c r="C116" i="7"/>
  <c r="B116" i="7"/>
  <c r="E115" i="7"/>
  <c r="D115" i="7"/>
  <c r="C115" i="7"/>
  <c r="B115" i="7"/>
  <c r="E114" i="7"/>
  <c r="D114" i="7"/>
  <c r="C114" i="7"/>
  <c r="B114" i="7"/>
  <c r="E113" i="7"/>
  <c r="D113" i="7"/>
  <c r="C113" i="7"/>
  <c r="B113" i="7"/>
  <c r="E112" i="7"/>
  <c r="D112" i="7"/>
  <c r="C112" i="7"/>
  <c r="B112" i="7"/>
  <c r="E111" i="7"/>
  <c r="D111" i="7"/>
  <c r="C111" i="7"/>
  <c r="B111" i="7"/>
  <c r="E110" i="7"/>
  <c r="D110" i="7"/>
  <c r="C110" i="7"/>
  <c r="B110" i="7"/>
  <c r="E109" i="7"/>
  <c r="D109" i="7"/>
  <c r="C109" i="7"/>
  <c r="B109" i="7"/>
  <c r="E108" i="7"/>
  <c r="D108" i="7"/>
  <c r="C108" i="7"/>
  <c r="B108" i="7"/>
  <c r="E107" i="7"/>
  <c r="D107" i="7"/>
  <c r="C107" i="7"/>
  <c r="B107" i="7"/>
  <c r="E106" i="7"/>
  <c r="D106" i="7"/>
  <c r="C106" i="7"/>
  <c r="B106" i="7"/>
  <c r="E105" i="7"/>
  <c r="D105" i="7"/>
  <c r="C105" i="7"/>
  <c r="B105" i="7"/>
  <c r="E104" i="7"/>
  <c r="D104" i="7"/>
  <c r="C104" i="7"/>
  <c r="B104" i="7"/>
  <c r="E103" i="7"/>
  <c r="D103" i="7"/>
  <c r="C103" i="7"/>
  <c r="B103" i="7"/>
  <c r="E102" i="7"/>
  <c r="D102" i="7"/>
  <c r="C102" i="7"/>
  <c r="B102" i="7"/>
  <c r="E101" i="7"/>
  <c r="D101" i="7"/>
  <c r="C101" i="7"/>
  <c r="B101" i="7"/>
  <c r="E100" i="7"/>
  <c r="D100" i="7"/>
  <c r="C100" i="7"/>
  <c r="B100" i="7"/>
  <c r="E99" i="7"/>
  <c r="D99" i="7"/>
  <c r="C99" i="7"/>
  <c r="B99" i="7"/>
  <c r="E98" i="7"/>
  <c r="D98" i="7"/>
  <c r="C98" i="7"/>
  <c r="B98" i="7"/>
  <c r="E97" i="7"/>
  <c r="D97" i="7"/>
  <c r="C97" i="7"/>
  <c r="B97" i="7"/>
  <c r="E96" i="7"/>
  <c r="D96" i="7"/>
  <c r="C96" i="7"/>
  <c r="B96" i="7"/>
  <c r="E95" i="7"/>
  <c r="D95" i="7"/>
  <c r="C95" i="7"/>
  <c r="B95" i="7"/>
  <c r="E94" i="7"/>
  <c r="D94" i="7"/>
  <c r="C94" i="7"/>
  <c r="B94" i="7"/>
  <c r="E93" i="7"/>
  <c r="D93" i="7"/>
  <c r="C93" i="7"/>
  <c r="B93" i="7"/>
  <c r="E92" i="7"/>
  <c r="D92" i="7"/>
  <c r="C92" i="7"/>
  <c r="B92" i="7"/>
  <c r="E91" i="7"/>
  <c r="D91" i="7"/>
  <c r="C91" i="7"/>
  <c r="B91" i="7"/>
  <c r="E90" i="7"/>
  <c r="D90" i="7"/>
  <c r="C90" i="7"/>
  <c r="B90" i="7"/>
  <c r="E89" i="7"/>
  <c r="D89" i="7"/>
  <c r="C89" i="7"/>
  <c r="B89" i="7"/>
  <c r="E88" i="7"/>
  <c r="D88" i="7"/>
  <c r="C88" i="7"/>
  <c r="B88" i="7"/>
  <c r="E87" i="7"/>
  <c r="D87" i="7"/>
  <c r="C87" i="7"/>
  <c r="B87" i="7"/>
  <c r="E86" i="7"/>
  <c r="D86" i="7"/>
  <c r="C86" i="7"/>
  <c r="B86" i="7"/>
  <c r="E85" i="7"/>
  <c r="D85" i="7"/>
  <c r="C85" i="7"/>
  <c r="B85" i="7"/>
  <c r="E84" i="7"/>
  <c r="D84" i="7"/>
  <c r="C84" i="7"/>
  <c r="B84" i="7"/>
  <c r="E83" i="7"/>
  <c r="D83" i="7"/>
  <c r="C83" i="7"/>
  <c r="B83" i="7"/>
  <c r="E82" i="7"/>
  <c r="D82" i="7"/>
  <c r="C82" i="7"/>
  <c r="B82" i="7"/>
  <c r="E81" i="7"/>
  <c r="D81" i="7"/>
  <c r="C81" i="7"/>
  <c r="B81" i="7"/>
  <c r="E80" i="7"/>
  <c r="D80" i="7"/>
  <c r="C80" i="7"/>
  <c r="B80" i="7"/>
  <c r="E79" i="7"/>
  <c r="D79" i="7"/>
  <c r="C79" i="7"/>
  <c r="B79" i="7"/>
  <c r="E78" i="7"/>
  <c r="D78" i="7"/>
  <c r="C78" i="7"/>
  <c r="B78" i="7"/>
  <c r="E77" i="7"/>
  <c r="D77" i="7"/>
  <c r="C77" i="7"/>
  <c r="B77" i="7"/>
  <c r="E76" i="7"/>
  <c r="D76" i="7"/>
  <c r="C76" i="7"/>
  <c r="B76" i="7"/>
  <c r="E75" i="7"/>
  <c r="D75" i="7"/>
  <c r="C75" i="7"/>
  <c r="B75" i="7"/>
  <c r="E74" i="7"/>
  <c r="D74" i="7"/>
  <c r="C74" i="7"/>
  <c r="B74" i="7"/>
  <c r="E73" i="7"/>
  <c r="D73" i="7"/>
  <c r="C73" i="7"/>
  <c r="B73" i="7"/>
  <c r="E72" i="7"/>
  <c r="D72" i="7"/>
  <c r="C72" i="7"/>
  <c r="B72" i="7"/>
  <c r="E71" i="7"/>
  <c r="D71" i="7"/>
  <c r="C71" i="7"/>
  <c r="B71" i="7"/>
  <c r="E70" i="7"/>
  <c r="D70" i="7"/>
  <c r="C70" i="7"/>
  <c r="B70" i="7"/>
  <c r="E69" i="7"/>
  <c r="D69" i="7"/>
  <c r="C69" i="7"/>
  <c r="B69" i="7"/>
  <c r="E68" i="7"/>
  <c r="D68" i="7"/>
  <c r="C68" i="7"/>
  <c r="B68" i="7"/>
  <c r="E67" i="7"/>
  <c r="D67" i="7"/>
  <c r="C67" i="7"/>
  <c r="B67" i="7"/>
  <c r="E66" i="7"/>
  <c r="D66" i="7"/>
  <c r="C66" i="7"/>
  <c r="B66" i="7"/>
  <c r="E65" i="7"/>
  <c r="D65" i="7"/>
  <c r="C65" i="7"/>
  <c r="B65" i="7"/>
  <c r="E64" i="7"/>
  <c r="D64" i="7"/>
  <c r="C64" i="7"/>
  <c r="B64" i="7"/>
  <c r="E63" i="7"/>
  <c r="D63" i="7"/>
  <c r="C63" i="7"/>
  <c r="B63" i="7"/>
  <c r="E62" i="7"/>
  <c r="D62" i="7"/>
  <c r="C62" i="7"/>
  <c r="B62" i="7"/>
  <c r="E61" i="7"/>
  <c r="D61" i="7"/>
  <c r="C61" i="7"/>
  <c r="B61" i="7"/>
  <c r="E60" i="7"/>
  <c r="D60" i="7"/>
  <c r="C60" i="7"/>
  <c r="B60" i="7"/>
  <c r="E59" i="7"/>
  <c r="D59" i="7"/>
  <c r="C59" i="7"/>
  <c r="B59" i="7"/>
  <c r="E58" i="7"/>
  <c r="D58" i="7"/>
  <c r="C58" i="7"/>
  <c r="B58" i="7"/>
  <c r="E57" i="7"/>
  <c r="D57" i="7"/>
  <c r="C57" i="7"/>
  <c r="B57" i="7"/>
  <c r="E56" i="7"/>
  <c r="D56" i="7"/>
  <c r="C56" i="7"/>
  <c r="B56" i="7"/>
  <c r="E55" i="7"/>
  <c r="D55" i="7"/>
  <c r="C55" i="7"/>
  <c r="B55" i="7"/>
  <c r="E54" i="7"/>
  <c r="D54" i="7"/>
  <c r="C54" i="7"/>
  <c r="B54" i="7"/>
  <c r="E53" i="7"/>
  <c r="D53" i="7"/>
  <c r="C53" i="7"/>
  <c r="B53" i="7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J82" i="5" l="1"/>
  <c r="J83" i="5"/>
  <c r="G82" i="5"/>
  <c r="G83" i="5"/>
  <c r="E82" i="5"/>
  <c r="E83" i="5"/>
  <c r="D82" i="5"/>
  <c r="D83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G91" i="5"/>
  <c r="H87" i="5"/>
  <c r="E87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I58" i="5"/>
  <c r="J53" i="5"/>
  <c r="C87" i="5"/>
  <c r="K85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G4" i="5"/>
  <c r="G53" i="5" s="1"/>
  <c r="E14" i="5" l="1"/>
  <c r="E63" i="5" s="1"/>
  <c r="G15" i="5"/>
  <c r="G64" i="5" s="1"/>
  <c r="D14" i="5"/>
  <c r="D63" i="5" s="1"/>
  <c r="E15" i="5"/>
  <c r="E64" i="5" s="1"/>
  <c r="G16" i="5"/>
  <c r="G65" i="5" s="1"/>
  <c r="D15" i="5"/>
  <c r="D64" i="5" s="1"/>
  <c r="E16" i="5"/>
  <c r="E65" i="5" s="1"/>
  <c r="D16" i="5"/>
  <c r="D65" i="5" s="1"/>
  <c r="G14" i="5"/>
  <c r="G63" i="5" s="1"/>
  <c r="D12" i="5"/>
  <c r="D61" i="5" s="1"/>
  <c r="E12" i="5"/>
  <c r="E61" i="5" s="1"/>
  <c r="G12" i="5"/>
  <c r="G61" i="5" s="1"/>
  <c r="G13" i="5"/>
  <c r="G62" i="5" s="1"/>
  <c r="D13" i="5"/>
  <c r="D62" i="5" s="1"/>
  <c r="E13" i="5"/>
  <c r="E62" i="5" s="1"/>
  <c r="D18" i="5"/>
  <c r="D67" i="5" s="1"/>
  <c r="D22" i="5"/>
  <c r="D71" i="5" s="1"/>
  <c r="D26" i="5"/>
  <c r="D75" i="5" s="1"/>
  <c r="J19" i="5"/>
  <c r="J68" i="5" s="1"/>
  <c r="J21" i="5"/>
  <c r="J70" i="5" s="1"/>
  <c r="J23" i="5"/>
  <c r="J72" i="5" s="1"/>
  <c r="J25" i="5"/>
  <c r="J74" i="5" s="1"/>
  <c r="J27" i="5"/>
  <c r="J76" i="5" s="1"/>
  <c r="J29" i="5"/>
  <c r="J78" i="5" s="1"/>
  <c r="D23" i="5"/>
  <c r="D72" i="5" s="1"/>
  <c r="D27" i="5"/>
  <c r="D76" i="5" s="1"/>
  <c r="D24" i="5"/>
  <c r="D73" i="5" s="1"/>
  <c r="J18" i="5"/>
  <c r="J67" i="5" s="1"/>
  <c r="J22" i="5"/>
  <c r="J71" i="5" s="1"/>
  <c r="J26" i="5"/>
  <c r="J75" i="5" s="1"/>
  <c r="D19" i="5"/>
  <c r="D68" i="5" s="1"/>
  <c r="D20" i="5"/>
  <c r="D69" i="5" s="1"/>
  <c r="D21" i="5"/>
  <c r="D70" i="5" s="1"/>
  <c r="D25" i="5"/>
  <c r="D74" i="5" s="1"/>
  <c r="D29" i="5"/>
  <c r="D78" i="5" s="1"/>
  <c r="D77" i="5"/>
  <c r="J20" i="5"/>
  <c r="J69" i="5" s="1"/>
  <c r="J24" i="5"/>
  <c r="J73" i="5" s="1"/>
  <c r="J28" i="5"/>
  <c r="J77" i="5" s="1"/>
  <c r="D17" i="5"/>
  <c r="D66" i="5" s="1"/>
  <c r="J17" i="5"/>
  <c r="J66" i="5" s="1"/>
  <c r="J16" i="5"/>
  <c r="J65" i="5" s="1"/>
  <c r="D85" i="5"/>
  <c r="J35" i="5"/>
  <c r="J85" i="5" s="1"/>
  <c r="E84" i="5"/>
  <c r="G84" i="5"/>
  <c r="E81" i="5"/>
  <c r="J80" i="5"/>
  <c r="J81" i="5"/>
  <c r="E80" i="5"/>
  <c r="G80" i="5"/>
  <c r="G81" i="5"/>
  <c r="D80" i="5"/>
  <c r="D81" i="5"/>
  <c r="E22" i="5"/>
  <c r="E71" i="5" s="1"/>
  <c r="E23" i="5"/>
  <c r="E72" i="5" s="1"/>
  <c r="E27" i="5"/>
  <c r="E76" i="5" s="1"/>
  <c r="J79" i="5"/>
  <c r="E24" i="5"/>
  <c r="E73" i="5" s="1"/>
  <c r="E77" i="5"/>
  <c r="E25" i="5"/>
  <c r="E74" i="5" s="1"/>
  <c r="E29" i="5"/>
  <c r="E78" i="5" s="1"/>
  <c r="E26" i="5"/>
  <c r="E75" i="5" s="1"/>
  <c r="E79" i="5"/>
  <c r="G22" i="5"/>
  <c r="G71" i="5" s="1"/>
  <c r="G26" i="5"/>
  <c r="G75" i="5" s="1"/>
  <c r="G79" i="5"/>
  <c r="G77" i="5"/>
  <c r="G25" i="5"/>
  <c r="G74" i="5" s="1"/>
  <c r="G29" i="5"/>
  <c r="G78" i="5" s="1"/>
  <c r="G23" i="5"/>
  <c r="G72" i="5" s="1"/>
  <c r="G27" i="5"/>
  <c r="G76" i="5" s="1"/>
  <c r="G24" i="5"/>
  <c r="G73" i="5" s="1"/>
  <c r="D79" i="5"/>
  <c r="E20" i="5"/>
  <c r="E69" i="5" s="1"/>
  <c r="E21" i="5"/>
  <c r="E70" i="5" s="1"/>
  <c r="E18" i="5"/>
  <c r="E67" i="5" s="1"/>
  <c r="E19" i="5"/>
  <c r="E68" i="5" s="1"/>
  <c r="E17" i="5"/>
  <c r="E66" i="5" s="1"/>
  <c r="G17" i="5"/>
  <c r="G66" i="5" s="1"/>
  <c r="G21" i="5"/>
  <c r="G70" i="5" s="1"/>
  <c r="G20" i="5"/>
  <c r="G69" i="5" s="1"/>
  <c r="G18" i="5"/>
  <c r="G67" i="5" s="1"/>
  <c r="G19" i="5"/>
  <c r="G68" i="5" s="1"/>
  <c r="J15" i="5"/>
  <c r="J64" i="5" s="1"/>
  <c r="J63" i="5"/>
  <c r="J61" i="5"/>
  <c r="J62" i="5"/>
  <c r="D9" i="5"/>
  <c r="D58" i="5" s="1"/>
  <c r="B62" i="5"/>
  <c r="B64" i="5"/>
  <c r="B69" i="5"/>
  <c r="B61" i="5"/>
  <c r="B68" i="5"/>
  <c r="B67" i="5"/>
  <c r="B66" i="5"/>
  <c r="B65" i="5"/>
  <c r="B63" i="5"/>
  <c r="K84" i="5"/>
  <c r="B85" i="5"/>
  <c r="D84" i="5" l="1"/>
  <c r="J84" i="5"/>
  <c r="G85" i="5"/>
  <c r="E8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<sst xmlns="http://schemas.openxmlformats.org/spreadsheetml/2006/main" count="7979" uniqueCount="1732">
  <si>
    <t>REMISIÓN DE MUESTRAS</t>
  </si>
  <si>
    <t>F9T09-02</t>
  </si>
  <si>
    <t>FECHA DE ELABORACIÓN</t>
  </si>
  <si>
    <t>CONSECUTIVO</t>
  </si>
  <si>
    <t>LABORATORIO DE ENSAYOS  NYCE COLOMBIA S.A.S</t>
  </si>
  <si>
    <t>CLIENTE</t>
  </si>
  <si>
    <t>TIPO DE SALIDA</t>
  </si>
  <si>
    <t>RECOLECCIÓN POR PARTE DEL CLIENTE</t>
  </si>
  <si>
    <t>IDENTIFICACIÓN INTERNA</t>
  </si>
  <si>
    <t>IDENTIFICACIÓN EXTERNA</t>
  </si>
  <si>
    <t>DESCRIPCIÓN</t>
  </si>
  <si>
    <t>FABRICANTE /MARCA</t>
  </si>
  <si>
    <t>OBSERVACIONES</t>
  </si>
  <si>
    <t>FECHA DE RECEPCIÓN</t>
  </si>
  <si>
    <t>FECHA DE ENTREGA</t>
  </si>
  <si>
    <r>
      <t xml:space="preserve">PEGAR AQUÍ </t>
    </r>
    <r>
      <rPr>
        <b/>
        <sz val="11"/>
        <color theme="1"/>
        <rFont val="Calibri Light"/>
        <family val="2"/>
        <scheme val="major"/>
      </rPr>
      <t>ÍTEM</t>
    </r>
    <r>
      <rPr>
        <sz val="11"/>
        <color theme="1"/>
        <rFont val="Calibri Light"/>
        <family val="2"/>
        <scheme val="major"/>
      </rPr>
      <t xml:space="preserve">
︾</t>
    </r>
  </si>
  <si>
    <t>Varios</t>
  </si>
  <si>
    <t>Ninguna</t>
  </si>
  <si>
    <t>SI(M12&gt;0;BUSCARX(M12;DATOS!B:B;DATOS!A:A;"";0);"")</t>
  </si>
  <si>
    <t xml:space="preserve">Se entrega todas las muestras incluidas las que no se ensayaron en nyce </t>
  </si>
  <si>
    <t>TOTAL MUESTRAS</t>
  </si>
  <si>
    <t>NUMERO DE EMPAQUES</t>
  </si>
  <si>
    <t>OBSERVACIÓN FINAL DE LAS MUESTRAS</t>
  </si>
  <si>
    <t>Todas las muestras fueron ensayadas, por lo tanto, ninguna se encuentra en buen estado estético, debido al procedimiento de ensayo y manipulación de la muestra.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</si>
  <si>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</si>
  <si>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ENTREGADO POR:</t>
  </si>
  <si>
    <t>ENTREGADO A:</t>
  </si>
  <si>
    <t>Todas las muestras fueron ensayadas, por lo tanto, ninguna se encuentra en buen estado, debido al procedimiento de ensayo y manipulación de la muestra.</t>
  </si>
  <si>
    <t>FIRMA</t>
  </si>
  <si>
    <t>Andres Carvajal</t>
  </si>
  <si>
    <t>NOMBRE</t>
  </si>
  <si>
    <t>ENTRADA EN VIGOR 2023-08-30</t>
  </si>
  <si>
    <t>Se prohíbe la reproducción total o parcial sin previa autorización</t>
  </si>
  <si>
    <r>
      <rPr>
        <b/>
        <sz val="11"/>
        <color theme="0"/>
        <rFont val="Calibri Light"/>
        <family val="2"/>
        <scheme val="major"/>
      </rPr>
      <t>NYCE Colombia S.A.S</t>
    </r>
    <r>
      <rPr>
        <sz val="11"/>
        <color theme="0"/>
        <rFont val="Calibri Light"/>
        <family val="2"/>
        <scheme val="major"/>
      </rPr>
      <t xml:space="preserve">. </t>
    </r>
    <r>
      <rPr>
        <b/>
        <sz val="11"/>
        <color rgb="FF009180"/>
        <rFont val="Calibri Light"/>
        <family val="2"/>
        <scheme val="major"/>
      </rPr>
      <t>|</t>
    </r>
    <r>
      <rPr>
        <sz val="11"/>
        <color theme="0"/>
        <rFont val="Calibri Light"/>
        <family val="2"/>
        <scheme val="major"/>
      </rPr>
      <t xml:space="preserve"> Calle 30 No. 17 - 52 </t>
    </r>
    <r>
      <rPr>
        <b/>
        <sz val="11"/>
        <color rgb="FF009180"/>
        <rFont val="Calibri Light"/>
        <family val="2"/>
        <scheme val="major"/>
      </rPr>
      <t>|</t>
    </r>
    <r>
      <rPr>
        <sz val="11"/>
        <color theme="0"/>
        <rFont val="Calibri Light"/>
        <family val="2"/>
        <scheme val="major"/>
      </rPr>
      <t xml:space="preserve"> Teusaquillo - Bogotá D.C. Colombia </t>
    </r>
    <r>
      <rPr>
        <b/>
        <sz val="11"/>
        <color rgb="FF009180"/>
        <rFont val="Calibri Light"/>
        <family val="2"/>
        <scheme val="major"/>
      </rPr>
      <t xml:space="preserve">| </t>
    </r>
    <r>
      <rPr>
        <sz val="11"/>
        <color theme="0"/>
        <rFont val="Calibri Light"/>
        <family val="2"/>
        <scheme val="major"/>
      </rPr>
      <t>Tel. + 571 756 84 85 ext. 129</t>
    </r>
  </si>
  <si>
    <t xml:space="preserve">                           </t>
  </si>
  <si>
    <t xml:space="preserve">Muestras para entregar </t>
  </si>
  <si>
    <t>INTERTEK</t>
  </si>
  <si>
    <t>Caja plastica azul</t>
  </si>
  <si>
    <t>ambar polar</t>
  </si>
  <si>
    <t>LENC</t>
  </si>
  <si>
    <t>I 0083</t>
  </si>
  <si>
    <t>C 0089</t>
  </si>
  <si>
    <t>Bombillos E27</t>
  </si>
  <si>
    <t>IKEA</t>
  </si>
  <si>
    <t>I 0057 / 0058 / 0059 / 0060</t>
  </si>
  <si>
    <t>C 0078</t>
  </si>
  <si>
    <t>Bombillo GU10</t>
  </si>
  <si>
    <t>Bombillo E14</t>
  </si>
  <si>
    <t>Intertek</t>
  </si>
  <si>
    <t xml:space="preserve">Portalampara de techo </t>
  </si>
  <si>
    <t xml:space="preserve">IKEA </t>
  </si>
  <si>
    <t>I 0927</t>
  </si>
  <si>
    <t>C 1166</t>
  </si>
  <si>
    <t>Adaptador de alimentación multipuerto</t>
  </si>
  <si>
    <t>I 0939</t>
  </si>
  <si>
    <t>C 1174</t>
  </si>
  <si>
    <t>I 1004</t>
  </si>
  <si>
    <t>C 1238</t>
  </si>
  <si>
    <t>Extensión con multitoma</t>
  </si>
  <si>
    <t>I 1132 / 1133 / 1130 / 1131</t>
  </si>
  <si>
    <t>C 1359</t>
  </si>
  <si>
    <t xml:space="preserve">Controlador para luminaria </t>
  </si>
  <si>
    <t>MEAN WELL</t>
  </si>
  <si>
    <t>I 1150</t>
  </si>
  <si>
    <t>C 1376</t>
  </si>
  <si>
    <t>Luminaria y controlador con cable</t>
  </si>
  <si>
    <t>I 1151</t>
  </si>
  <si>
    <t>C 1374</t>
  </si>
  <si>
    <t xml:space="preserve">Luminaria de colgar </t>
  </si>
  <si>
    <t>N/E</t>
  </si>
  <si>
    <t>I 0996</t>
  </si>
  <si>
    <t>C 1209</t>
  </si>
  <si>
    <t xml:space="preserve">Luminaria T8 con base </t>
  </si>
  <si>
    <t>Luminaria de colgar</t>
  </si>
  <si>
    <t>Riel blanco 3M</t>
  </si>
  <si>
    <t>21639 / 21640</t>
  </si>
  <si>
    <t>I 0994 / 0995</t>
  </si>
  <si>
    <t>C 1225</t>
  </si>
  <si>
    <t xml:space="preserve">Conector de riel </t>
  </si>
  <si>
    <t>Luminaria decorativa</t>
  </si>
  <si>
    <t>Ikea</t>
  </si>
  <si>
    <t>I 0579</t>
  </si>
  <si>
    <t>C 0715</t>
  </si>
  <si>
    <t>Luminaria de emergencia</t>
  </si>
  <si>
    <t>Segurimax</t>
  </si>
  <si>
    <t>I 1086</t>
  </si>
  <si>
    <t>C 1302</t>
  </si>
  <si>
    <t>Muestras custodia</t>
  </si>
  <si>
    <t xml:space="preserve">Muestras de polo reconectador </t>
  </si>
  <si>
    <t xml:space="preserve">Señal de salida de emergencia </t>
  </si>
  <si>
    <t>CONTROL DE MUESTRAS</t>
  </si>
  <si>
    <t>F3T09-03</t>
  </si>
  <si>
    <t>ÍTEM</t>
  </si>
  <si>
    <t>FECHA DE INGRESO</t>
  </si>
  <si>
    <t>NOMBRE DEL
CLIENTE</t>
  </si>
  <si>
    <t>DESCRIPCIÓN MUESTRA</t>
  </si>
  <si>
    <t>MARCA</t>
  </si>
  <si>
    <t>REFERENCIA / MODELO</t>
  </si>
  <si>
    <t>REFERENCIA
EXTERNA</t>
  </si>
  <si>
    <t>IDENTIFICACIÓN DE MUESTRA</t>
  </si>
  <si>
    <t>UBICACIÓN</t>
  </si>
  <si>
    <t>ESTADO</t>
  </si>
  <si>
    <t>AAAA-MM-DD</t>
  </si>
  <si>
    <t>ID</t>
  </si>
  <si>
    <t>AÑO</t>
  </si>
  <si>
    <t>INFORME</t>
  </si>
  <si>
    <t>N°</t>
  </si>
  <si>
    <t>COTIZACIÓN</t>
  </si>
  <si>
    <t>ESTANTE O REMISIÓN DE ENVIO</t>
  </si>
  <si>
    <t>FECHA</t>
  </si>
  <si>
    <t xml:space="preserve"> </t>
  </si>
  <si>
    <t>90'</t>
  </si>
  <si>
    <t xml:space="preserve"> 2</t>
  </si>
  <si>
    <t>Columna1</t>
  </si>
  <si>
    <t>Columna15</t>
  </si>
  <si>
    <t>Cidet</t>
  </si>
  <si>
    <t>Sala eléctrica</t>
  </si>
  <si>
    <t>GIM INGENIERIA Y PROYECTOS</t>
  </si>
  <si>
    <t>-</t>
  </si>
  <si>
    <t>CP-25-407667-02</t>
  </si>
  <si>
    <t>k1</t>
  </si>
  <si>
    <t>En custodia</t>
  </si>
  <si>
    <t>Vtek</t>
  </si>
  <si>
    <t>Base de lampara</t>
  </si>
  <si>
    <t>Tezzio</t>
  </si>
  <si>
    <t>H1</t>
  </si>
  <si>
    <t>Almacenado</t>
  </si>
  <si>
    <t>Tomacorriente GFCI</t>
  </si>
  <si>
    <t>SIELU</t>
  </si>
  <si>
    <t>20106/20107/20108</t>
  </si>
  <si>
    <t>I 0335</t>
  </si>
  <si>
    <t>C 0287</t>
  </si>
  <si>
    <t>F5</t>
  </si>
  <si>
    <t xml:space="preserve">Tomacorriente </t>
  </si>
  <si>
    <t>20105/20104/20103</t>
  </si>
  <si>
    <t>Interruptor</t>
  </si>
  <si>
    <t>20101/20100/20102</t>
  </si>
  <si>
    <t>D2</t>
  </si>
  <si>
    <t>Lenor</t>
  </si>
  <si>
    <t>Base para fotocelda</t>
  </si>
  <si>
    <t>MERCURY</t>
  </si>
  <si>
    <t>A-7522-2025</t>
  </si>
  <si>
    <t>I A- 7522-2025-18876</t>
  </si>
  <si>
    <t>G5</t>
  </si>
  <si>
    <t>Está</t>
  </si>
  <si>
    <t>LUMECK</t>
  </si>
  <si>
    <t xml:space="preserve">Luminaria lineal </t>
  </si>
  <si>
    <t>ILUMEC</t>
  </si>
  <si>
    <t>NLLHC</t>
  </si>
  <si>
    <t>D3</t>
  </si>
  <si>
    <t>NYCE</t>
  </si>
  <si>
    <t>Cable AWG12</t>
  </si>
  <si>
    <t>Tecnolite</t>
  </si>
  <si>
    <t>Z1</t>
  </si>
  <si>
    <t>Envolvente</t>
  </si>
  <si>
    <t>Legrand</t>
  </si>
  <si>
    <t>1IMB/1PER</t>
  </si>
  <si>
    <t>I 0243</t>
  </si>
  <si>
    <t>C 0215</t>
  </si>
  <si>
    <t>Enviado</t>
  </si>
  <si>
    <t>Bombillo LED</t>
  </si>
  <si>
    <t>KARLUZ</t>
  </si>
  <si>
    <t xml:space="preserve">Extensión </t>
  </si>
  <si>
    <t>GLOBY</t>
  </si>
  <si>
    <t>Cajas de paso</t>
  </si>
  <si>
    <t>DURMAN</t>
  </si>
  <si>
    <t>Z2</t>
  </si>
  <si>
    <t>Luminaria de alumbrado publico</t>
  </si>
  <si>
    <t>FONROCHE LIGTHING</t>
  </si>
  <si>
    <t>A-7377-2025-19072</t>
  </si>
  <si>
    <t>I 0088 / 0089</t>
  </si>
  <si>
    <t>C 0077</t>
  </si>
  <si>
    <t>En curso</t>
  </si>
  <si>
    <t>GDS</t>
  </si>
  <si>
    <t>A-7456-2025-RP-32</t>
  </si>
  <si>
    <t>I 0052 / I 0057</t>
  </si>
  <si>
    <t>H7</t>
  </si>
  <si>
    <t>Base de estufa</t>
  </si>
  <si>
    <t>LCI</t>
  </si>
  <si>
    <t>I 1247</t>
  </si>
  <si>
    <t>C 0924</t>
  </si>
  <si>
    <t>Whirlpool</t>
  </si>
  <si>
    <t>Lavadoras</t>
  </si>
  <si>
    <t>Recogido por Cliente</t>
  </si>
  <si>
    <t xml:space="preserve">Cables </t>
  </si>
  <si>
    <t>25149 / 25138</t>
  </si>
  <si>
    <t>I 0014</t>
  </si>
  <si>
    <t>C 0024</t>
  </si>
  <si>
    <t>Encerramiento metálico</t>
  </si>
  <si>
    <t>Gim</t>
  </si>
  <si>
    <t>CP25-407667-01</t>
  </si>
  <si>
    <t>I 1266</t>
  </si>
  <si>
    <t>C 1224</t>
  </si>
  <si>
    <t>NYCE / ELECTRICOS DEL RUIZ</t>
  </si>
  <si>
    <t>Bombillos G45</t>
  </si>
  <si>
    <t>12535 / 12536</t>
  </si>
  <si>
    <t>I 0172</t>
  </si>
  <si>
    <t>C 0170</t>
  </si>
  <si>
    <t>Steven</t>
  </si>
  <si>
    <t>Incoltapas</t>
  </si>
  <si>
    <t>Fondos y chapolas</t>
  </si>
  <si>
    <t>Varias</t>
  </si>
  <si>
    <t>Transformador 150 KVA</t>
  </si>
  <si>
    <t>K1</t>
  </si>
  <si>
    <t>SGS</t>
  </si>
  <si>
    <t>CDM TRANSFORMADORES</t>
  </si>
  <si>
    <t>I 0188 / 0189</t>
  </si>
  <si>
    <t>C 1134</t>
  </si>
  <si>
    <t>Certecnica</t>
  </si>
  <si>
    <t>Probetas metalicas</t>
  </si>
  <si>
    <t>01322 - 01323 - 01324 - 01325</t>
  </si>
  <si>
    <t>Protector de voltaje</t>
  </si>
  <si>
    <t>Forza</t>
  </si>
  <si>
    <t>I 0225</t>
  </si>
  <si>
    <t>C 0154</t>
  </si>
  <si>
    <t>H5</t>
  </si>
  <si>
    <t>Meico</t>
  </si>
  <si>
    <t>Bombillo 100W</t>
  </si>
  <si>
    <t>FullWat</t>
  </si>
  <si>
    <t>I 0175</t>
  </si>
  <si>
    <t>C 0085</t>
  </si>
  <si>
    <t>Recogido por cliente</t>
  </si>
  <si>
    <t>Bombillo 40W</t>
  </si>
  <si>
    <t>SELDA1</t>
  </si>
  <si>
    <t>Breaker 100A</t>
  </si>
  <si>
    <t>Blox</t>
  </si>
  <si>
    <t>I 0325</t>
  </si>
  <si>
    <t>C 0247</t>
  </si>
  <si>
    <t>B3</t>
  </si>
  <si>
    <t>Contactor 80A</t>
  </si>
  <si>
    <t>Contactor 32A</t>
  </si>
  <si>
    <t>Conector industrial 125A</t>
  </si>
  <si>
    <t>Conector industrial 63A</t>
  </si>
  <si>
    <t>Conector industrial 32A</t>
  </si>
  <si>
    <t>Conector industrial 16A</t>
  </si>
  <si>
    <t>Laboratorio Externo</t>
  </si>
  <si>
    <t>Breaker C40</t>
  </si>
  <si>
    <t>Conector</t>
  </si>
  <si>
    <t>Finder</t>
  </si>
  <si>
    <t>I 0231</t>
  </si>
  <si>
    <t>E3</t>
  </si>
  <si>
    <t>Interruptor doble</t>
  </si>
  <si>
    <t>I 1219</t>
  </si>
  <si>
    <t>C 1268</t>
  </si>
  <si>
    <t>Porta lampara decorativa</t>
  </si>
  <si>
    <t>I 0298 - 0299</t>
  </si>
  <si>
    <t>C 0158</t>
  </si>
  <si>
    <t>Luminaria lineal en aluminio</t>
  </si>
  <si>
    <t>Luminaria lineal</t>
  </si>
  <si>
    <t>Luminaria para riel</t>
  </si>
  <si>
    <t>Luminaria colgante</t>
  </si>
  <si>
    <t>TECNICELDAS</t>
  </si>
  <si>
    <t xml:space="preserve">Caja de paso 10x08x50cm </t>
  </si>
  <si>
    <t>Encerramiento metálico inoxidable</t>
  </si>
  <si>
    <t>I 0187</t>
  </si>
  <si>
    <t>C 0171</t>
  </si>
  <si>
    <t>Probeta policarbonato 50x50cm</t>
  </si>
  <si>
    <t>Probeta metálica 50x50cm</t>
  </si>
  <si>
    <t>Probetas metálicas 20x20cm</t>
  </si>
  <si>
    <t>21323 - 21324 - 21325</t>
  </si>
  <si>
    <t>I 0303</t>
  </si>
  <si>
    <t>Encerramiento plastico</t>
  </si>
  <si>
    <t>Tibox</t>
  </si>
  <si>
    <t>A-0198-2026</t>
  </si>
  <si>
    <t>I 0185 / 0186</t>
  </si>
  <si>
    <t>C 0156</t>
  </si>
  <si>
    <t>Canaleta plastica</t>
  </si>
  <si>
    <t>Acme Leon</t>
  </si>
  <si>
    <t>I 0273</t>
  </si>
  <si>
    <t>C 0172</t>
  </si>
  <si>
    <t>A1</t>
  </si>
  <si>
    <t>Caja de paso 20x20cm</t>
  </si>
  <si>
    <t>88612 - 88614 - 88613 - 88611 - 88610</t>
  </si>
  <si>
    <t>Caja de paso 30x30cm</t>
  </si>
  <si>
    <t>88615 - 88616 - 88617 - 88618 - 88619</t>
  </si>
  <si>
    <t>Encerramiento metalico</t>
  </si>
  <si>
    <t>01289</t>
  </si>
  <si>
    <t>I 1083</t>
  </si>
  <si>
    <t>C 0340</t>
  </si>
  <si>
    <t>0667</t>
  </si>
  <si>
    <t>I 1084</t>
  </si>
  <si>
    <t>C 0341</t>
  </si>
  <si>
    <t>Interruptores domesticos</t>
  </si>
  <si>
    <t>19412/19413</t>
  </si>
  <si>
    <t>I 0097</t>
  </si>
  <si>
    <t>C 0103</t>
  </si>
  <si>
    <t>Iticcol</t>
  </si>
  <si>
    <t>Cargador vehicular</t>
  </si>
  <si>
    <t>Huawei</t>
  </si>
  <si>
    <t>BSP-M-6145</t>
  </si>
  <si>
    <t>I 0178</t>
  </si>
  <si>
    <t>C 0152</t>
  </si>
  <si>
    <t>Qcert</t>
  </si>
  <si>
    <t>Tablero 1000A S:1572</t>
  </si>
  <si>
    <t>P&amp;T Ingenieros</t>
  </si>
  <si>
    <t>K2</t>
  </si>
  <si>
    <t>Tablero 2500A S:1573</t>
  </si>
  <si>
    <t>Control motores S:1576</t>
  </si>
  <si>
    <t>Banco de condensadores S:1574</t>
  </si>
  <si>
    <t>Banco de condensadores S:1575</t>
  </si>
  <si>
    <t>Luminaria 3W</t>
  </si>
  <si>
    <t>Led Gold</t>
  </si>
  <si>
    <t>20309 - 20310</t>
  </si>
  <si>
    <t>I 0190</t>
  </si>
  <si>
    <t>C 0182</t>
  </si>
  <si>
    <t>Certicheck</t>
  </si>
  <si>
    <t>Probetas 10x10cm</t>
  </si>
  <si>
    <t>PC-25-144-014</t>
  </si>
  <si>
    <t>Probetas</t>
  </si>
  <si>
    <t>Tornillos y tuercas</t>
  </si>
  <si>
    <t>Probetas metálicas</t>
  </si>
  <si>
    <t>1G</t>
  </si>
  <si>
    <t>Probetas metálicas, tornillos, bisagras y llaves</t>
  </si>
  <si>
    <t>Probeta policarbonato 20x20cm</t>
  </si>
  <si>
    <t>396771-08</t>
  </si>
  <si>
    <t>Probetas metálica</t>
  </si>
  <si>
    <t>A-0504-2026</t>
  </si>
  <si>
    <t>I 0191 - 0192</t>
  </si>
  <si>
    <t>C 0173</t>
  </si>
  <si>
    <t>Encerramiento 30x20</t>
  </si>
  <si>
    <t>A-0439-2026</t>
  </si>
  <si>
    <t>Tuercas, tornillos, aisladores</t>
  </si>
  <si>
    <t>A-0506-2026</t>
  </si>
  <si>
    <t>A-0507-2026</t>
  </si>
  <si>
    <t>Encerramiento metálico 40x25cm</t>
  </si>
  <si>
    <t>A-0437-2026</t>
  </si>
  <si>
    <t>ASC Electronica</t>
  </si>
  <si>
    <t>Ups 500VA</t>
  </si>
  <si>
    <t>Magom</t>
  </si>
  <si>
    <t>I 0006</t>
  </si>
  <si>
    <t>Reguladores Electronicos de voltaje</t>
  </si>
  <si>
    <t>19100 - 19101</t>
  </si>
  <si>
    <t>I 0005</t>
  </si>
  <si>
    <t>I 0004</t>
  </si>
  <si>
    <t>Multitoma industrial</t>
  </si>
  <si>
    <t>19106 - 19107</t>
  </si>
  <si>
    <t>Transformador de aislamiento</t>
  </si>
  <si>
    <t>I 0008</t>
  </si>
  <si>
    <t>ALC</t>
  </si>
  <si>
    <t>Rotulo metálico</t>
  </si>
  <si>
    <t>00579</t>
  </si>
  <si>
    <t>Multitoma 6 puertos</t>
  </si>
  <si>
    <t>20852</t>
  </si>
  <si>
    <t>I 0003</t>
  </si>
  <si>
    <t>Reflector 50W</t>
  </si>
  <si>
    <t>I 0162</t>
  </si>
  <si>
    <t>C 0108</t>
  </si>
  <si>
    <t>Celda de media tensión</t>
  </si>
  <si>
    <t>K&amp;V Ingenieria</t>
  </si>
  <si>
    <t>I 0012</t>
  </si>
  <si>
    <t>C 0016</t>
  </si>
  <si>
    <t>Distecsa</t>
  </si>
  <si>
    <t>Riel 2m</t>
  </si>
  <si>
    <t>NewLighting</t>
  </si>
  <si>
    <t>I 0072</t>
  </si>
  <si>
    <t>C 0049</t>
  </si>
  <si>
    <t>Bombilla</t>
  </si>
  <si>
    <t>Karluz</t>
  </si>
  <si>
    <t>G3</t>
  </si>
  <si>
    <t>Bombillos</t>
  </si>
  <si>
    <t>Roblan</t>
  </si>
  <si>
    <t>18867/18866</t>
  </si>
  <si>
    <t>Luminaria exterior</t>
  </si>
  <si>
    <t>I 0260</t>
  </si>
  <si>
    <t>C2</t>
  </si>
  <si>
    <t>Cinta LED</t>
  </si>
  <si>
    <t>I 0269</t>
  </si>
  <si>
    <t>C 0226</t>
  </si>
  <si>
    <t>18869/18870</t>
  </si>
  <si>
    <t>Luminaria de exterior</t>
  </si>
  <si>
    <t>18862/18863</t>
  </si>
  <si>
    <t>C 0221</t>
  </si>
  <si>
    <t>Panel LED</t>
  </si>
  <si>
    <t>18861/18860</t>
  </si>
  <si>
    <t>Panel LED 40W</t>
  </si>
  <si>
    <t>I 0254</t>
  </si>
  <si>
    <t>C 0218</t>
  </si>
  <si>
    <t>Luminaria 7W</t>
  </si>
  <si>
    <t>20861 / 20860</t>
  </si>
  <si>
    <t>I 0253</t>
  </si>
  <si>
    <t>Luminaria 35w redonda</t>
  </si>
  <si>
    <t>C 0217</t>
  </si>
  <si>
    <t>Remisión 08
Regreso el 23-Marzo</t>
  </si>
  <si>
    <t>Tubo led</t>
  </si>
  <si>
    <t>18871 - 18872</t>
  </si>
  <si>
    <t>18871 Lenor - Quick
Remisión 0025
Regreso el 1-Ene</t>
  </si>
  <si>
    <t>18864 - 18865</t>
  </si>
  <si>
    <t>01215 - 01216 - 01217 - 01218</t>
  </si>
  <si>
    <t>MetalService</t>
  </si>
  <si>
    <t>01214</t>
  </si>
  <si>
    <t>Proeléctrico</t>
  </si>
  <si>
    <t xml:space="preserve">19734 </t>
  </si>
  <si>
    <t>I 0397 - 0398</t>
  </si>
  <si>
    <t>C 1336</t>
  </si>
  <si>
    <t>19746</t>
  </si>
  <si>
    <t>19736</t>
  </si>
  <si>
    <t>19735</t>
  </si>
  <si>
    <t>Cable AWG13</t>
  </si>
  <si>
    <t>20328 - 20327 - 20325 -20326 -20329 - 20328 -20330 - 20324</t>
  </si>
  <si>
    <t>I 0197</t>
  </si>
  <si>
    <t>G7</t>
  </si>
  <si>
    <t>C 0186</t>
  </si>
  <si>
    <t>20315 - 20316 - 20322 - 20320 - 20317 - 20318 - 20321 - 20324</t>
  </si>
  <si>
    <t>HC85393K4K5K</t>
  </si>
  <si>
    <t>THL200</t>
  </si>
  <si>
    <t>CEDELEC</t>
  </si>
  <si>
    <t>Cedelux</t>
  </si>
  <si>
    <t>I 0179</t>
  </si>
  <si>
    <t>C 0082</t>
  </si>
  <si>
    <t>Transportadora</t>
  </si>
  <si>
    <t>V17-LED-20W-5K-NW</t>
  </si>
  <si>
    <t>Cesio-25W-5K-BK</t>
  </si>
  <si>
    <t>Bombillos G46</t>
  </si>
  <si>
    <t>20855/18857</t>
  </si>
  <si>
    <t>20856/20857</t>
  </si>
  <si>
    <t>I 0263 - 0264</t>
  </si>
  <si>
    <t>C 0223</t>
  </si>
  <si>
    <t>20961/20960</t>
  </si>
  <si>
    <t>20958/20959</t>
  </si>
  <si>
    <t>Miguel</t>
  </si>
  <si>
    <t>20952/20953/20954</t>
  </si>
  <si>
    <t>20953 Lenor - Quick
Remisión 0025
Regreso el 1-Ene</t>
  </si>
  <si>
    <t>I 0312</t>
  </si>
  <si>
    <t>VTA</t>
  </si>
  <si>
    <t>20326 - 20327 - 20328</t>
  </si>
  <si>
    <t>I 0227</t>
  </si>
  <si>
    <t>C 0199</t>
  </si>
  <si>
    <t>FUSHUN NEW STEEL CORPOTATION</t>
  </si>
  <si>
    <t>A3</t>
  </si>
  <si>
    <t>SETIND</t>
  </si>
  <si>
    <t>I 0222</t>
  </si>
  <si>
    <t>C 0191</t>
  </si>
  <si>
    <t>Rossemary</t>
  </si>
  <si>
    <t>396771-07</t>
  </si>
  <si>
    <t>Serproelec</t>
  </si>
  <si>
    <t>396771-09</t>
  </si>
  <si>
    <t>Breaker C41</t>
  </si>
  <si>
    <t>396771-06</t>
  </si>
  <si>
    <t>I 0075</t>
  </si>
  <si>
    <t>Yessica</t>
  </si>
  <si>
    <t>Siselcom</t>
  </si>
  <si>
    <t>LEOCH</t>
  </si>
  <si>
    <t>I 0286</t>
  </si>
  <si>
    <t>ROBLAN</t>
  </si>
  <si>
    <t>20964 / 20965</t>
  </si>
  <si>
    <t xml:space="preserve">                  </t>
  </si>
  <si>
    <t>Ingenieria y Productos</t>
  </si>
  <si>
    <t>I 0245</t>
  </si>
  <si>
    <t>Samsung</t>
  </si>
  <si>
    <t>I 0029 - 0030 - 0031 - 0032</t>
  </si>
  <si>
    <t>C 0266</t>
  </si>
  <si>
    <t>WA90CG4240BY</t>
  </si>
  <si>
    <t>Audio Luces</t>
  </si>
  <si>
    <t>Pro Light</t>
  </si>
  <si>
    <t>I 0061</t>
  </si>
  <si>
    <t>C 0007</t>
  </si>
  <si>
    <t>Enviado por transportadora
Contraentrega</t>
  </si>
  <si>
    <t>M1 - M2 - M3 - M4</t>
  </si>
  <si>
    <t>I 0181</t>
  </si>
  <si>
    <t>Control Luminico</t>
  </si>
  <si>
    <t>Showline</t>
  </si>
  <si>
    <t>I 0240</t>
  </si>
  <si>
    <t>C 0168</t>
  </si>
  <si>
    <t>20846/20849</t>
  </si>
  <si>
    <t>I 0142</t>
  </si>
  <si>
    <t>J4</t>
  </si>
  <si>
    <t>Enviado 0007</t>
  </si>
  <si>
    <t>ASP</t>
  </si>
  <si>
    <t>I 0340</t>
  </si>
  <si>
    <t>C 0299</t>
  </si>
  <si>
    <t>KOWET</t>
  </si>
  <si>
    <t>A-0744-2026-19234</t>
  </si>
  <si>
    <t>I 0287</t>
  </si>
  <si>
    <t>C 0240</t>
  </si>
  <si>
    <t>PLEXIGLAS</t>
  </si>
  <si>
    <t>PC-25-197-A4-002</t>
  </si>
  <si>
    <t>I 0285</t>
  </si>
  <si>
    <t>C 0196</t>
  </si>
  <si>
    <t>Recogido por el cliente</t>
  </si>
  <si>
    <t>CELLUX</t>
  </si>
  <si>
    <t>PC-25-243-004</t>
  </si>
  <si>
    <t>I 0221</t>
  </si>
  <si>
    <t>Solar Street Ligth</t>
  </si>
  <si>
    <t>01348</t>
  </si>
  <si>
    <t>I 0288</t>
  </si>
  <si>
    <t>C 0239</t>
  </si>
  <si>
    <t>A-0746-2026-19234</t>
  </si>
  <si>
    <t>Compensar</t>
  </si>
  <si>
    <t>Pleuger</t>
  </si>
  <si>
    <t>Qtest
11-Marzo</t>
  </si>
  <si>
    <t>396771-04</t>
  </si>
  <si>
    <t>396771-03</t>
  </si>
  <si>
    <t>Tablero 1000A S:1573</t>
  </si>
  <si>
    <t>Electricidad y Montajes</t>
  </si>
  <si>
    <t>PC-25-110-001</t>
  </si>
  <si>
    <t>Tablero 2500A S:1574</t>
  </si>
  <si>
    <t>PC-25-110-002</t>
  </si>
  <si>
    <t>Control motores S:1577</t>
  </si>
  <si>
    <t>PC-25-110-003</t>
  </si>
  <si>
    <t>Banco de condensadores S:1576</t>
  </si>
  <si>
    <t>PC-25-110</t>
  </si>
  <si>
    <t>Banco de condensadores S:1577</t>
  </si>
  <si>
    <t>396771-02</t>
  </si>
  <si>
    <t>396771-01</t>
  </si>
  <si>
    <t>Prysmian</t>
  </si>
  <si>
    <t>392476-10</t>
  </si>
  <si>
    <t>SISELED</t>
  </si>
  <si>
    <t>Colmagnetic</t>
  </si>
  <si>
    <t>21645/21646/21647</t>
  </si>
  <si>
    <t>I 0318 / 0319</t>
  </si>
  <si>
    <t>C 0262</t>
  </si>
  <si>
    <t>21645 - 21646
A3</t>
  </si>
  <si>
    <t>21630/21631/21632</t>
  </si>
  <si>
    <t>I 0321 / 0322</t>
  </si>
  <si>
    <t>C 0263</t>
  </si>
  <si>
    <t>Remisión 0016
21632</t>
  </si>
  <si>
    <t>21636/21637/21638</t>
  </si>
  <si>
    <t>I 0317</t>
  </si>
  <si>
    <t>C 0146</t>
  </si>
  <si>
    <t>21636 QUIK Lenor</t>
  </si>
  <si>
    <t>21633/21634/21635</t>
  </si>
  <si>
    <t>21633 QUIK Lenor</t>
  </si>
  <si>
    <t>21644/21643/21642</t>
  </si>
  <si>
    <t>I 0323</t>
  </si>
  <si>
    <t>C 0264</t>
  </si>
  <si>
    <t>21644 Remisión 0016, regreso el 24-marzo</t>
  </si>
  <si>
    <t>Encerramiento 30x21</t>
  </si>
  <si>
    <t>21639/21640/21641</t>
  </si>
  <si>
    <t>21642 Remisión 0016, Regreso el 24-Marzo</t>
  </si>
  <si>
    <t>Cooper</t>
  </si>
  <si>
    <t>I 0374 - 0375</t>
  </si>
  <si>
    <t>C 0331</t>
  </si>
  <si>
    <t>Qtest</t>
  </si>
  <si>
    <t>Kalley</t>
  </si>
  <si>
    <t>I 0278</t>
  </si>
  <si>
    <t>01211</t>
  </si>
  <si>
    <t>+Lights</t>
  </si>
  <si>
    <t>Mercaelectro</t>
  </si>
  <si>
    <t>PC-26-001-012</t>
  </si>
  <si>
    <t>I 0283 - 0284</t>
  </si>
  <si>
    <t>C 0195</t>
  </si>
  <si>
    <t>PC-26-001-013</t>
  </si>
  <si>
    <t>PC-26-001-002</t>
  </si>
  <si>
    <t>PC-26-001-001</t>
  </si>
  <si>
    <t>Servimeters</t>
  </si>
  <si>
    <t>AP</t>
  </si>
  <si>
    <t>1300 - 05</t>
  </si>
  <si>
    <t>I 0279</t>
  </si>
  <si>
    <t>C 0214</t>
  </si>
  <si>
    <t>Eaton</t>
  </si>
  <si>
    <t>I 0045 - 0046</t>
  </si>
  <si>
    <t>C 0235</t>
  </si>
  <si>
    <t>Chemik</t>
  </si>
  <si>
    <t>616-1 / 616-2</t>
  </si>
  <si>
    <t>C 0138</t>
  </si>
  <si>
    <t>Orvibo</t>
  </si>
  <si>
    <t>01356 / 01357</t>
  </si>
  <si>
    <t>I 0313</t>
  </si>
  <si>
    <t>C 0260</t>
  </si>
  <si>
    <t>H3</t>
  </si>
  <si>
    <t>20956 QUIK Lenor
Remisión 0014
Regreso el 1-Ene</t>
  </si>
  <si>
    <t>Gerfor</t>
  </si>
  <si>
    <t>I 0040 - 0041</t>
  </si>
  <si>
    <t>C 0254 - 0255</t>
  </si>
  <si>
    <t>396771-10</t>
  </si>
  <si>
    <t>50-03506 - 006</t>
  </si>
  <si>
    <t>50-03506 - 007</t>
  </si>
  <si>
    <t>VCP</t>
  </si>
  <si>
    <t>PC-25-013-A2-041</t>
  </si>
  <si>
    <t>I 0300</t>
  </si>
  <si>
    <t>C 0236</t>
  </si>
  <si>
    <t>Versa</t>
  </si>
  <si>
    <t>Kare</t>
  </si>
  <si>
    <t>I 0302</t>
  </si>
  <si>
    <t>Electro Construir</t>
  </si>
  <si>
    <t>01623</t>
  </si>
  <si>
    <t>I 0314</t>
  </si>
  <si>
    <t>C 0274</t>
  </si>
  <si>
    <t>LLC</t>
  </si>
  <si>
    <t>JM</t>
  </si>
  <si>
    <t>MT116</t>
  </si>
  <si>
    <t>C 0228</t>
  </si>
  <si>
    <t>K</t>
  </si>
  <si>
    <t>ProElectricos</t>
  </si>
  <si>
    <t>LS</t>
  </si>
  <si>
    <t>19689-1</t>
  </si>
  <si>
    <t>I 0580</t>
  </si>
  <si>
    <t>TTC</t>
  </si>
  <si>
    <t>19689-2</t>
  </si>
  <si>
    <t>Sin referencia</t>
  </si>
  <si>
    <t>PSI</t>
  </si>
  <si>
    <t>0631 / 194025</t>
  </si>
  <si>
    <t>I 0271/0272</t>
  </si>
  <si>
    <t>C 0210</t>
  </si>
  <si>
    <t>0632 / 194025</t>
  </si>
  <si>
    <t>Moviltronics</t>
  </si>
  <si>
    <t>Cable AWG14</t>
  </si>
  <si>
    <t>Eastman</t>
  </si>
  <si>
    <t>I 0392 - 0393</t>
  </si>
  <si>
    <t>C 0336</t>
  </si>
  <si>
    <t xml:space="preserve">                    </t>
  </si>
  <si>
    <t>I 0412</t>
  </si>
  <si>
    <t>C 0335</t>
  </si>
  <si>
    <t>MT117</t>
  </si>
  <si>
    <t>C 0229</t>
  </si>
  <si>
    <t>MT115</t>
  </si>
  <si>
    <t>C 0227</t>
  </si>
  <si>
    <t>Tecna</t>
  </si>
  <si>
    <t>I 0333</t>
  </si>
  <si>
    <t>C 0289</t>
  </si>
  <si>
    <t>396771-05</t>
  </si>
  <si>
    <t>Imbera</t>
  </si>
  <si>
    <t>AoFrio</t>
  </si>
  <si>
    <t>I 0386</t>
  </si>
  <si>
    <t>C 0176</t>
  </si>
  <si>
    <t>Asiam</t>
  </si>
  <si>
    <t>Bombillos G47</t>
  </si>
  <si>
    <t>Azzorti</t>
  </si>
  <si>
    <t>I 0332</t>
  </si>
  <si>
    <t>C 0261</t>
  </si>
  <si>
    <t>G4</t>
  </si>
  <si>
    <t>Industria Metalelectrica</t>
  </si>
  <si>
    <t>Dahua</t>
  </si>
  <si>
    <t>PC-26-117-001</t>
  </si>
  <si>
    <t>I 0023 - 0024</t>
  </si>
  <si>
    <t>C 0242</t>
  </si>
  <si>
    <t>Lenor 23-Abril</t>
  </si>
  <si>
    <t>I 0290</t>
  </si>
  <si>
    <t>C 0194</t>
  </si>
  <si>
    <t>PL-RCGF-BL-060-65K-ILM</t>
  </si>
  <si>
    <t>Electrecidad y Montajes</t>
  </si>
  <si>
    <t>PC-25-110-004</t>
  </si>
  <si>
    <t>Selling</t>
  </si>
  <si>
    <t>CyberPower</t>
  </si>
  <si>
    <t>Luminotest</t>
  </si>
  <si>
    <t>I 0396</t>
  </si>
  <si>
    <t>C 0306</t>
  </si>
  <si>
    <t>SEL</t>
  </si>
  <si>
    <t>I 0424</t>
  </si>
  <si>
    <t>C 0343</t>
  </si>
  <si>
    <t>20966 - 20967 - 20968</t>
  </si>
  <si>
    <t>WAC-SAS</t>
  </si>
  <si>
    <t xml:space="preserve"> I 0360</t>
  </si>
  <si>
    <t>C 0304</t>
  </si>
  <si>
    <t>STEVEN</t>
  </si>
  <si>
    <t>TECNOLITE</t>
  </si>
  <si>
    <t>H-625/N</t>
  </si>
  <si>
    <t>PTLLED-1120/65/B</t>
  </si>
  <si>
    <t>Breaker C42</t>
  </si>
  <si>
    <t>H-520/36W/CONTROL</t>
  </si>
  <si>
    <t>Monarch</t>
  </si>
  <si>
    <t>01319</t>
  </si>
  <si>
    <t>I 0182 - 0183 - 0216</t>
  </si>
  <si>
    <t>C 0150</t>
  </si>
  <si>
    <t>Leviton</t>
  </si>
  <si>
    <t>PC-25-121-A1-83</t>
  </si>
  <si>
    <t>I 0338</t>
  </si>
  <si>
    <t>C 0291</t>
  </si>
  <si>
    <t>H4</t>
  </si>
  <si>
    <t>Dyminel</t>
  </si>
  <si>
    <t>01639</t>
  </si>
  <si>
    <t>I 0359</t>
  </si>
  <si>
    <t>C 0283</t>
  </si>
  <si>
    <t>MT120</t>
  </si>
  <si>
    <t>I 0039</t>
  </si>
  <si>
    <t>C 0275</t>
  </si>
  <si>
    <t>MT128</t>
  </si>
  <si>
    <t>MT129</t>
  </si>
  <si>
    <t>Musco</t>
  </si>
  <si>
    <t>I 0316</t>
  </si>
  <si>
    <t>C 0277</t>
  </si>
  <si>
    <t>Lite Electronics</t>
  </si>
  <si>
    <t>21665/21666/21667</t>
  </si>
  <si>
    <t>I 0357 - 0358</t>
  </si>
  <si>
    <t>C 0310</t>
  </si>
  <si>
    <t>21667 Luminotest</t>
  </si>
  <si>
    <t>PC-25-074-</t>
  </si>
  <si>
    <t>I 0362</t>
  </si>
  <si>
    <t>PC-25-074</t>
  </si>
  <si>
    <t>Por transportadora</t>
  </si>
  <si>
    <t>Soldexel</t>
  </si>
  <si>
    <t>I 0141</t>
  </si>
  <si>
    <t>C 0301</t>
  </si>
  <si>
    <t>MTG</t>
  </si>
  <si>
    <t>PC-26-019-001</t>
  </si>
  <si>
    <t>I 0326</t>
  </si>
  <si>
    <t>C 0197</t>
  </si>
  <si>
    <t>PC-26-019-002</t>
  </si>
  <si>
    <t>PC-26-019-003</t>
  </si>
  <si>
    <t>PC-26-019-004</t>
  </si>
  <si>
    <t>PC-26-019-005</t>
  </si>
  <si>
    <t>Boconcept</t>
  </si>
  <si>
    <t>I 0368</t>
  </si>
  <si>
    <t>C 0324</t>
  </si>
  <si>
    <t>A-7377-2026-19072</t>
  </si>
  <si>
    <t>I 0088/0089</t>
  </si>
  <si>
    <t>I 0320</t>
  </si>
  <si>
    <t>C 0286</t>
  </si>
  <si>
    <t>Tablero 1000A S:1574</t>
  </si>
  <si>
    <t>Tablero 2500A S:1575</t>
  </si>
  <si>
    <t>Control motores S:1578</t>
  </si>
  <si>
    <t>Banco de condensadores S:1578</t>
  </si>
  <si>
    <t>iGuzzini</t>
  </si>
  <si>
    <t>I 0349</t>
  </si>
  <si>
    <t>C 0300</t>
  </si>
  <si>
    <t>Recogido por TCC</t>
  </si>
  <si>
    <t>Banco de condensadores S:1579</t>
  </si>
  <si>
    <t>InduCables</t>
  </si>
  <si>
    <t>PC-25-013-A2-014</t>
  </si>
  <si>
    <t>I 0330</t>
  </si>
  <si>
    <t>C 0281</t>
  </si>
  <si>
    <t>Andres</t>
  </si>
  <si>
    <t>PC-25-013-A2-160</t>
  </si>
  <si>
    <t>Slacol</t>
  </si>
  <si>
    <t>I 0080</t>
  </si>
  <si>
    <t>SGS-150126-1</t>
  </si>
  <si>
    <t>I 0095/ I 0096</t>
  </si>
  <si>
    <t>Pintumel</t>
  </si>
  <si>
    <t>Encerramiento 30x22</t>
  </si>
  <si>
    <t>1 - 2 - 3</t>
  </si>
  <si>
    <t>I 0346</t>
  </si>
  <si>
    <t>C 0120</t>
  </si>
  <si>
    <t>ANDRES</t>
  </si>
  <si>
    <t>Bengala</t>
  </si>
  <si>
    <t>I 0364</t>
  </si>
  <si>
    <t>C 0313</t>
  </si>
  <si>
    <t>000806</t>
  </si>
  <si>
    <t>F4</t>
  </si>
  <si>
    <t>I 0403</t>
  </si>
  <si>
    <t>C 0352</t>
  </si>
  <si>
    <t>Marset</t>
  </si>
  <si>
    <t>I 1033</t>
  </si>
  <si>
    <t>C 1106</t>
  </si>
  <si>
    <t>AGM</t>
  </si>
  <si>
    <t>A-1468-2026</t>
  </si>
  <si>
    <t>I 0086</t>
  </si>
  <si>
    <t>30124-1</t>
  </si>
  <si>
    <t>30124-2</t>
  </si>
  <si>
    <t>A-1467-2026</t>
  </si>
  <si>
    <t>I 0037</t>
  </si>
  <si>
    <t>C 0320</t>
  </si>
  <si>
    <t>Lirvan</t>
  </si>
  <si>
    <t>Ev Charger</t>
  </si>
  <si>
    <t>01629</t>
  </si>
  <si>
    <t>I 0289</t>
  </si>
  <si>
    <t>C 0246</t>
  </si>
  <si>
    <t>VGS</t>
  </si>
  <si>
    <t>PC-25-244-001</t>
  </si>
  <si>
    <t>I 0331</t>
  </si>
  <si>
    <t>C 0256</t>
  </si>
  <si>
    <t>PC-25-013-A2-021</t>
  </si>
  <si>
    <t>I 0361</t>
  </si>
  <si>
    <t>C 0292</t>
  </si>
  <si>
    <t>I 0267 - 0268</t>
  </si>
  <si>
    <t>C 0225</t>
  </si>
  <si>
    <t>Llega de Luminotest</t>
  </si>
  <si>
    <t>Industrias Gutierres Vargas</t>
  </si>
  <si>
    <t>I 0366</t>
  </si>
  <si>
    <t>C 0282</t>
  </si>
  <si>
    <t>Montajes Savart S.A.S</t>
  </si>
  <si>
    <t>1C - 2C - 1G - 2G</t>
  </si>
  <si>
    <t>I 0327 - 0328</t>
  </si>
  <si>
    <t>C 0151</t>
  </si>
  <si>
    <t>I 0355</t>
  </si>
  <si>
    <t>C 0307</t>
  </si>
  <si>
    <t>I 0356</t>
  </si>
  <si>
    <t>C 0309</t>
  </si>
  <si>
    <t>Wirecol</t>
  </si>
  <si>
    <t>I 0524</t>
  </si>
  <si>
    <t>C 0522</t>
  </si>
  <si>
    <t>21608 - 21608</t>
  </si>
  <si>
    <t>I 1282</t>
  </si>
  <si>
    <t>C 1188</t>
  </si>
  <si>
    <t xml:space="preserve">Esta en Audioluces </t>
  </si>
  <si>
    <t>Solinoff Coporation S.A.S</t>
  </si>
  <si>
    <t>I 0363</t>
  </si>
  <si>
    <t>C 0314</t>
  </si>
  <si>
    <t>Ciles</t>
  </si>
  <si>
    <t>PC-26-009-001</t>
  </si>
  <si>
    <t>I 0042</t>
  </si>
  <si>
    <t>C 0157</t>
  </si>
  <si>
    <t>PC-26-009-021</t>
  </si>
  <si>
    <t>PC-26-009-02</t>
  </si>
  <si>
    <t>PC-26-009-003</t>
  </si>
  <si>
    <t>PC-26-009-004</t>
  </si>
  <si>
    <t>PC-26-009-005</t>
  </si>
  <si>
    <t>PC-26-009-006</t>
  </si>
  <si>
    <t>PC-26-009-007</t>
  </si>
  <si>
    <t>Durman</t>
  </si>
  <si>
    <t>Kraloy</t>
  </si>
  <si>
    <t>I 0421</t>
  </si>
  <si>
    <t>C 0257</t>
  </si>
  <si>
    <t>I 0351 al 0354</t>
  </si>
  <si>
    <t>C 0305</t>
  </si>
  <si>
    <t>Cable AWG15</t>
  </si>
  <si>
    <t>Arkoslight</t>
  </si>
  <si>
    <t>A-5676-2025</t>
  </si>
  <si>
    <t>I 0337</t>
  </si>
  <si>
    <t>C 0293</t>
  </si>
  <si>
    <t>A-1469-2026</t>
  </si>
  <si>
    <t>I 0038</t>
  </si>
  <si>
    <t>C 0321</t>
  </si>
  <si>
    <t>A-1470-2026</t>
  </si>
  <si>
    <t>Uduke</t>
  </si>
  <si>
    <t>I 0401</t>
  </si>
  <si>
    <t>C 0337</t>
  </si>
  <si>
    <t>Ilumec</t>
  </si>
  <si>
    <t>Aura Light</t>
  </si>
  <si>
    <t>I 0406</t>
  </si>
  <si>
    <t>C 0338</t>
  </si>
  <si>
    <t>Tecnologies H.T.</t>
  </si>
  <si>
    <t>01622</t>
  </si>
  <si>
    <t>I 0047 - 0068</t>
  </si>
  <si>
    <t>C 0237</t>
  </si>
  <si>
    <t>01621</t>
  </si>
  <si>
    <t>Tercol</t>
  </si>
  <si>
    <t>Bombillos G48</t>
  </si>
  <si>
    <t>Toran 3P</t>
  </si>
  <si>
    <t>I 0315</t>
  </si>
  <si>
    <t>C 0169</t>
  </si>
  <si>
    <t>Toran 3X</t>
  </si>
  <si>
    <t>Ecophor B700</t>
  </si>
  <si>
    <t>Ecophor A447</t>
  </si>
  <si>
    <t>Construlita</t>
  </si>
  <si>
    <t>Breaker C43</t>
  </si>
  <si>
    <t>ECO-WELLD</t>
  </si>
  <si>
    <t>00759</t>
  </si>
  <si>
    <t>I 0410</t>
  </si>
  <si>
    <t>C 0339</t>
  </si>
  <si>
    <t>Tesa</t>
  </si>
  <si>
    <t>I 0043</t>
  </si>
  <si>
    <t>C 0315</t>
  </si>
  <si>
    <t>Proctek S.A.S.</t>
  </si>
  <si>
    <t>I 0423</t>
  </si>
  <si>
    <t>C 0383</t>
  </si>
  <si>
    <t>104072 - 104073 - 104074</t>
  </si>
  <si>
    <t>I 0350</t>
  </si>
  <si>
    <t>C 0285</t>
  </si>
  <si>
    <t>01551 - 01552 - 01553</t>
  </si>
  <si>
    <t>Surelin</t>
  </si>
  <si>
    <t>1AC</t>
  </si>
  <si>
    <t>I 0432 - 0433</t>
  </si>
  <si>
    <t>C 0102</t>
  </si>
  <si>
    <t>I 0432 - 0434</t>
  </si>
  <si>
    <t>I 0432 - 0435</t>
  </si>
  <si>
    <t>C 0104</t>
  </si>
  <si>
    <t>I 0432 - 0436</t>
  </si>
  <si>
    <t>C 0105</t>
  </si>
  <si>
    <t>1POL</t>
  </si>
  <si>
    <t>I 0432 - 0437</t>
  </si>
  <si>
    <t>C 0106</t>
  </si>
  <si>
    <t>I 0432 - 0438</t>
  </si>
  <si>
    <t>C 0107</t>
  </si>
  <si>
    <t>PC-25-013-A2-056</t>
  </si>
  <si>
    <t>I 0413</t>
  </si>
  <si>
    <t>C 0333</t>
  </si>
  <si>
    <t>PC-25-013-A2-153</t>
  </si>
  <si>
    <t>PC-25-013-A2-147</t>
  </si>
  <si>
    <t>Icontec</t>
  </si>
  <si>
    <t>Pavco</t>
  </si>
  <si>
    <t>C 0202</t>
  </si>
  <si>
    <t>D1</t>
  </si>
  <si>
    <t>Tablero 1000A S:1575</t>
  </si>
  <si>
    <t>Tablero 2500A S:1576</t>
  </si>
  <si>
    <t>Control motores S:1579</t>
  </si>
  <si>
    <t>Banco de condensadores S:1580</t>
  </si>
  <si>
    <t>Banco de condensadores S:1581</t>
  </si>
  <si>
    <t>Inguvar</t>
  </si>
  <si>
    <t>1 - 2</t>
  </si>
  <si>
    <t>I 0366/I 0407/I 0417/I 0418</t>
  </si>
  <si>
    <t>C 0282 / C 0348</t>
  </si>
  <si>
    <t>Accesorios y Equipos Electronicos Industriales</t>
  </si>
  <si>
    <t>Encerramiento 30x23</t>
  </si>
  <si>
    <t>AEI Cahors</t>
  </si>
  <si>
    <t>Steck</t>
  </si>
  <si>
    <t>PC-25-238-002</t>
  </si>
  <si>
    <t>I 0408 -2026</t>
  </si>
  <si>
    <t>C 1339 - 2025</t>
  </si>
  <si>
    <t>PC-25-238-004</t>
  </si>
  <si>
    <t>PC-25-238-005</t>
  </si>
  <si>
    <t>PC-26-038</t>
  </si>
  <si>
    <t>I 0329</t>
  </si>
  <si>
    <t>C 0231</t>
  </si>
  <si>
    <t xml:space="preserve">I 0471 - 0472 - </t>
  </si>
  <si>
    <t>Eterna</t>
  </si>
  <si>
    <t>000783</t>
  </si>
  <si>
    <t>I 0425</t>
  </si>
  <si>
    <t>C 0325</t>
  </si>
  <si>
    <t>Fullwat</t>
  </si>
  <si>
    <t>17564</t>
  </si>
  <si>
    <t>I 0836</t>
  </si>
  <si>
    <t>Recogido por transportadora</t>
  </si>
  <si>
    <t>I 0837</t>
  </si>
  <si>
    <t>I 0876</t>
  </si>
  <si>
    <t>17563</t>
  </si>
  <si>
    <t>I 0838</t>
  </si>
  <si>
    <t>I 0839</t>
  </si>
  <si>
    <t>Masso</t>
  </si>
  <si>
    <t>I 1087</t>
  </si>
  <si>
    <t>C 1119</t>
  </si>
  <si>
    <t>BSP-M-6159</t>
  </si>
  <si>
    <t>BSP-M-6161</t>
  </si>
  <si>
    <t>Electrolux</t>
  </si>
  <si>
    <t>I 0415</t>
  </si>
  <si>
    <t>C 0353</t>
  </si>
  <si>
    <t>Pesma</t>
  </si>
  <si>
    <t>A-1943-2026</t>
  </si>
  <si>
    <t>I 0414</t>
  </si>
  <si>
    <t>C 0363</t>
  </si>
  <si>
    <t>Itic Group</t>
  </si>
  <si>
    <t>Tdmek</t>
  </si>
  <si>
    <t>BSP-M-6219</t>
  </si>
  <si>
    <t>I 0484</t>
  </si>
  <si>
    <t>C 0413</t>
  </si>
  <si>
    <t>BSP-M-6220</t>
  </si>
  <si>
    <t>Smanova</t>
  </si>
  <si>
    <t>Teconex</t>
  </si>
  <si>
    <t>M1-1 hasta M1-10</t>
  </si>
  <si>
    <t>I 0461 al 0464</t>
  </si>
  <si>
    <t>C 0367 - 0368</t>
  </si>
  <si>
    <t>I 0426</t>
  </si>
  <si>
    <t>C 0359</t>
  </si>
  <si>
    <t xml:space="preserve">8-Abr_Luminotest </t>
  </si>
  <si>
    <t>Inelmec</t>
  </si>
  <si>
    <t>000599</t>
  </si>
  <si>
    <t>I 0347</t>
  </si>
  <si>
    <t>C 0208</t>
  </si>
  <si>
    <t>I 0348</t>
  </si>
  <si>
    <t>C 0209</t>
  </si>
  <si>
    <t>Iltec</t>
  </si>
  <si>
    <t>JR</t>
  </si>
  <si>
    <t>SPN1516</t>
  </si>
  <si>
    <t>Equipos</t>
  </si>
  <si>
    <t xml:space="preserve">Enviado a </t>
  </si>
  <si>
    <t>Mernok Electrick</t>
  </si>
  <si>
    <t>PC-26-008-010</t>
  </si>
  <si>
    <t>I 0429</t>
  </si>
  <si>
    <t>C 0366</t>
  </si>
  <si>
    <t>995.960</t>
  </si>
  <si>
    <t>I 0478</t>
  </si>
  <si>
    <t>C 0230</t>
  </si>
  <si>
    <t>995.963</t>
  </si>
  <si>
    <t>Nyce</t>
  </si>
  <si>
    <t>WJ Rescate</t>
  </si>
  <si>
    <t>998.348</t>
  </si>
  <si>
    <t>998.362</t>
  </si>
  <si>
    <t>998.349</t>
  </si>
  <si>
    <t>Cable AWG16</t>
  </si>
  <si>
    <t>998.355</t>
  </si>
  <si>
    <t>998.357</t>
  </si>
  <si>
    <t>998.359</t>
  </si>
  <si>
    <t>998.361</t>
  </si>
  <si>
    <t>Making</t>
  </si>
  <si>
    <t>Accel</t>
  </si>
  <si>
    <t>C 0387</t>
  </si>
  <si>
    <t>19110 / 19111</t>
  </si>
  <si>
    <t>Bombillos G49</t>
  </si>
  <si>
    <t>Multitoma</t>
  </si>
  <si>
    <t>Tomacorrientes y tapas</t>
  </si>
  <si>
    <t>FULGORE</t>
  </si>
  <si>
    <t>20536/20537/20535</t>
  </si>
  <si>
    <t>I 0447</t>
  </si>
  <si>
    <t>C 0419</t>
  </si>
  <si>
    <t>Generador</t>
  </si>
  <si>
    <t>I 0458 - 0459</t>
  </si>
  <si>
    <t>C 0414</t>
  </si>
  <si>
    <t>Estrober RGB</t>
  </si>
  <si>
    <t>I 0446</t>
  </si>
  <si>
    <t>C 0378</t>
  </si>
  <si>
    <t>Transportadora
Contraentrega</t>
  </si>
  <si>
    <t>Estrober RGB Magic Ball Light</t>
  </si>
  <si>
    <t>Electrodos puesta a tierra</t>
  </si>
  <si>
    <t>I 0456 - 0457</t>
  </si>
  <si>
    <t>C 0406</t>
  </si>
  <si>
    <t>G6</t>
  </si>
  <si>
    <t>Envolvente plastica</t>
  </si>
  <si>
    <t>A-2130-2026</t>
  </si>
  <si>
    <t>Sensor movimiento</t>
  </si>
  <si>
    <t>PC-26-042-05</t>
  </si>
  <si>
    <t>I 0444</t>
  </si>
  <si>
    <t>C 0370</t>
  </si>
  <si>
    <t>PC-26-042-04</t>
  </si>
  <si>
    <t>PC-26-042-06</t>
  </si>
  <si>
    <t>Dimmer  Wifi</t>
  </si>
  <si>
    <t>PC-26-042-02</t>
  </si>
  <si>
    <t>PC-26-042-03</t>
  </si>
  <si>
    <t>PC-26-042-01</t>
  </si>
  <si>
    <t>Sensor de movimiento</t>
  </si>
  <si>
    <t>PC-26-042-08</t>
  </si>
  <si>
    <t>Luminaria con controlador y sensor</t>
  </si>
  <si>
    <t>PC-26-042-09</t>
  </si>
  <si>
    <t>Somelect</t>
  </si>
  <si>
    <t>I 0479</t>
  </si>
  <si>
    <t>C 0344</t>
  </si>
  <si>
    <t>Caja para tomacorriente</t>
  </si>
  <si>
    <t>Probetas metáolicas 20cm X 20cm</t>
  </si>
  <si>
    <t>CP&amp;M</t>
  </si>
  <si>
    <t>404573-1</t>
  </si>
  <si>
    <t>Multitoma 4 salidas</t>
  </si>
  <si>
    <t>Synergy</t>
  </si>
  <si>
    <t>I 0449</t>
  </si>
  <si>
    <t>C 0418</t>
  </si>
  <si>
    <t>I 0508 - 0509</t>
  </si>
  <si>
    <t>C 0480</t>
  </si>
  <si>
    <t>Luminaria de exterior 40W</t>
  </si>
  <si>
    <t>Volga</t>
  </si>
  <si>
    <t>Luminaria de empotrar</t>
  </si>
  <si>
    <t xml:space="preserve">Driver </t>
  </si>
  <si>
    <t>01700 - 01701 - 01702 - 01703</t>
  </si>
  <si>
    <t>I 0490</t>
  </si>
  <si>
    <t>C 0449</t>
  </si>
  <si>
    <t>Centro de Investigación Contra el Fuego</t>
  </si>
  <si>
    <t xml:space="preserve">Algodón </t>
  </si>
  <si>
    <t>I 0431</t>
  </si>
  <si>
    <t>C 0386</t>
  </si>
  <si>
    <t>Probeta de fosfato</t>
  </si>
  <si>
    <t>I 0485</t>
  </si>
  <si>
    <t>C 0452</t>
  </si>
  <si>
    <t>Braker 2 polos 40A</t>
  </si>
  <si>
    <t>A-2243-2026</t>
  </si>
  <si>
    <t>I 0465</t>
  </si>
  <si>
    <t>C 0437</t>
  </si>
  <si>
    <t>ABB</t>
  </si>
  <si>
    <t>BSP-M-6233</t>
  </si>
  <si>
    <t>I 0311</t>
  </si>
  <si>
    <t>C 0535</t>
  </si>
  <si>
    <t>BSP-M-6234</t>
  </si>
  <si>
    <t>I 0448</t>
  </si>
  <si>
    <t>Rollo cinta led</t>
  </si>
  <si>
    <t>Bigled</t>
  </si>
  <si>
    <t>I 0541</t>
  </si>
  <si>
    <t>C 0483</t>
  </si>
  <si>
    <t>Rollo cinta led rgb</t>
  </si>
  <si>
    <t>I 0540</t>
  </si>
  <si>
    <t>C 0482</t>
  </si>
  <si>
    <t>luminaria decorativa E27</t>
  </si>
  <si>
    <t>Reflector con panel solar</t>
  </si>
  <si>
    <t>Ledvance</t>
  </si>
  <si>
    <t>I 0152</t>
  </si>
  <si>
    <t>2YSMLED071DC30N</t>
  </si>
  <si>
    <t>Driver</t>
  </si>
  <si>
    <t>20605 - 20604</t>
  </si>
  <si>
    <t>I 0504</t>
  </si>
  <si>
    <t>C 0326</t>
  </si>
  <si>
    <t>Encerramiento metálico 40x40x20</t>
  </si>
  <si>
    <t>Celtacol</t>
  </si>
  <si>
    <t>PC-25-079-A1-001</t>
  </si>
  <si>
    <t>I 0480 - 0481</t>
  </si>
  <si>
    <t>C 0431</t>
  </si>
  <si>
    <t>Armario para medidores</t>
  </si>
  <si>
    <t>PC-25-079-A1-007</t>
  </si>
  <si>
    <t>Tablero de distribucion</t>
  </si>
  <si>
    <t>PC-25-079-A1-004</t>
  </si>
  <si>
    <t>Tablero de trasnferencia automatica</t>
  </si>
  <si>
    <t>PC-25-079-A1-008</t>
  </si>
  <si>
    <t>Tornillos</t>
  </si>
  <si>
    <t>PC-25-079-A1-009</t>
  </si>
  <si>
    <t>Aisladores</t>
  </si>
  <si>
    <t>PC-25-079-A1-010</t>
  </si>
  <si>
    <t>01648 - 01649 - 01650</t>
  </si>
  <si>
    <t>Muestra de ailador de buje</t>
  </si>
  <si>
    <t>BSP-M-6218</t>
  </si>
  <si>
    <t>Proyectos Logicos Industriales</t>
  </si>
  <si>
    <t>01643</t>
  </si>
  <si>
    <t>01647</t>
  </si>
  <si>
    <t>Tablero de ditribución</t>
  </si>
  <si>
    <t>01643 - 01644</t>
  </si>
  <si>
    <t>Reflector 40W</t>
  </si>
  <si>
    <t>SMB</t>
  </si>
  <si>
    <t>A-2934-2026
A-2937-2026</t>
  </si>
  <si>
    <t>AWA Ingenieria Ltda</t>
  </si>
  <si>
    <t>Probetas metálicas 20 cm X 20 cm</t>
  </si>
  <si>
    <t>I 0500</t>
  </si>
  <si>
    <t xml:space="preserve">C 0451 </t>
  </si>
  <si>
    <t>Tic Energy</t>
  </si>
  <si>
    <t>Interuptor 3 polos</t>
  </si>
  <si>
    <t>Nicomar Electronics</t>
  </si>
  <si>
    <t>Prototipo</t>
  </si>
  <si>
    <t>Powest</t>
  </si>
  <si>
    <t>I 0452</t>
  </si>
  <si>
    <t>C 0350</t>
  </si>
  <si>
    <t>Arrancador directo</t>
  </si>
  <si>
    <t>Tengen</t>
  </si>
  <si>
    <t>I 0223</t>
  </si>
  <si>
    <t>C 0505</t>
  </si>
  <si>
    <t>Alumbrado publico 100w</t>
  </si>
  <si>
    <t>Soneres</t>
  </si>
  <si>
    <t>A-2889-2026</t>
  </si>
  <si>
    <t>I 0501 - 0502</t>
  </si>
  <si>
    <t>C 0476</t>
  </si>
  <si>
    <t>Tablero de distribución 2500A</t>
  </si>
  <si>
    <t>I 0503</t>
  </si>
  <si>
    <t>C 0365</t>
  </si>
  <si>
    <t>luminario Subacuatico</t>
  </si>
  <si>
    <t>I 0118</t>
  </si>
  <si>
    <t>Lenor 5-Mayo</t>
  </si>
  <si>
    <t>Tornillos, tuercas y arandelas</t>
  </si>
  <si>
    <t>01573</t>
  </si>
  <si>
    <t>I 0510</t>
  </si>
  <si>
    <t>C 0462</t>
  </si>
  <si>
    <t>Interuptor 3 polos 125A</t>
  </si>
  <si>
    <t>01572</t>
  </si>
  <si>
    <t>Coordinadora</t>
  </si>
  <si>
    <t>Encerramiento metálico 50cm X 50cm X 40cm</t>
  </si>
  <si>
    <t>01902</t>
  </si>
  <si>
    <t>I 0483</t>
  </si>
  <si>
    <t>C 0439</t>
  </si>
  <si>
    <t xml:space="preserve">NYCE / ASC </t>
  </si>
  <si>
    <t>Minu Ups</t>
  </si>
  <si>
    <t>ASC</t>
  </si>
  <si>
    <t>19494 / 17238</t>
  </si>
  <si>
    <t>I 0550 / 0551</t>
  </si>
  <si>
    <t>C 0571</t>
  </si>
  <si>
    <t xml:space="preserve">Toma corriente 3 salidas </t>
  </si>
  <si>
    <t>17237 / 17236</t>
  </si>
  <si>
    <t>Canaleta metálica</t>
  </si>
  <si>
    <t>A-2693-2026</t>
  </si>
  <si>
    <t>I 0158 - 0159</t>
  </si>
  <si>
    <t>C 0488</t>
  </si>
  <si>
    <t>Celda de media tensión 630A</t>
  </si>
  <si>
    <t>Tablesa</t>
  </si>
  <si>
    <t>03178</t>
  </si>
  <si>
    <t>I 0203</t>
  </si>
  <si>
    <t>C 0481</t>
  </si>
  <si>
    <t>Envolvente metálica</t>
  </si>
  <si>
    <t>03175</t>
  </si>
  <si>
    <t>Tablero baja tensión 2500A</t>
  </si>
  <si>
    <t>03174</t>
  </si>
  <si>
    <t>Tubo Galvanizado</t>
  </si>
  <si>
    <t>Cable de PDU</t>
  </si>
  <si>
    <t>Aislador</t>
  </si>
  <si>
    <t>01705</t>
  </si>
  <si>
    <t>I 0588</t>
  </si>
  <si>
    <t>C 0560</t>
  </si>
  <si>
    <t>Breaker 3 polos 630A Marca Eaton S: PDC33N0630B1NS</t>
  </si>
  <si>
    <t>El breaker CB3 de circuito N° 1 que hace parte de la muestra general es solicitado por los señores de Surelin S.A.S</t>
  </si>
  <si>
    <t>Lamp</t>
  </si>
  <si>
    <t>I 0513</t>
  </si>
  <si>
    <t>C 0494</t>
  </si>
  <si>
    <t>luminaria para riel</t>
  </si>
  <si>
    <t xml:space="preserve">Luminaria </t>
  </si>
  <si>
    <t>Luminaria</t>
  </si>
  <si>
    <t>Tablero 2500A</t>
  </si>
  <si>
    <t>Atec</t>
  </si>
  <si>
    <t>I 0155</t>
  </si>
  <si>
    <t>C 0358</t>
  </si>
  <si>
    <t>Celda de entrada y de salida</t>
  </si>
  <si>
    <t>00600</t>
  </si>
  <si>
    <t>I 0153 - 0154</t>
  </si>
  <si>
    <t>C 0432</t>
  </si>
  <si>
    <t>Extensión 3 salidas AZUL</t>
  </si>
  <si>
    <t>Halux</t>
  </si>
  <si>
    <t>I 0157</t>
  </si>
  <si>
    <t>C 0501</t>
  </si>
  <si>
    <t>Caja metálica</t>
  </si>
  <si>
    <t>Hubbell</t>
  </si>
  <si>
    <t>A-2319-2026</t>
  </si>
  <si>
    <t>I 0204</t>
  </si>
  <si>
    <t xml:space="preserve">C </t>
  </si>
  <si>
    <t>Caja de piso</t>
  </si>
  <si>
    <t>A-2325-2026</t>
  </si>
  <si>
    <t>C 0509</t>
  </si>
  <si>
    <t>A-2326-2026</t>
  </si>
  <si>
    <t>Union hermetica plastica 1/2"</t>
  </si>
  <si>
    <t>A-3166-2026</t>
  </si>
  <si>
    <t xml:space="preserve">Certecnica </t>
  </si>
  <si>
    <t>Cinta Aislante</t>
  </si>
  <si>
    <t>Truper</t>
  </si>
  <si>
    <t>00785</t>
  </si>
  <si>
    <t>C 0511</t>
  </si>
  <si>
    <t>00786</t>
  </si>
  <si>
    <t>00787</t>
  </si>
  <si>
    <t>Breaker 3 polos 250A Marca Eaton S: PDC23K0250TAAS</t>
  </si>
  <si>
    <t>Calentador Electrico</t>
  </si>
  <si>
    <t>Bosch</t>
  </si>
  <si>
    <t>104869 - 104870</t>
  </si>
  <si>
    <t>I 0306</t>
  </si>
  <si>
    <t>C 0519</t>
  </si>
  <si>
    <t>Ups 1000 VA</t>
  </si>
  <si>
    <t>B2</t>
  </si>
  <si>
    <t>Solicitado por Yessica</t>
  </si>
  <si>
    <t>Ups 1500 VA</t>
  </si>
  <si>
    <t>Ups</t>
  </si>
  <si>
    <t>Algodón</t>
  </si>
  <si>
    <t>I 0495</t>
  </si>
  <si>
    <t>Caja de paso 30cm X 30cm X 30cm</t>
  </si>
  <si>
    <t>Metal Electricos</t>
  </si>
  <si>
    <t>485306 - 1</t>
  </si>
  <si>
    <t>I 0520</t>
  </si>
  <si>
    <t>C 0303</t>
  </si>
  <si>
    <t>Probeta 30cm X 30cm</t>
  </si>
  <si>
    <t>485306 - 2</t>
  </si>
  <si>
    <t>485306 - 3</t>
  </si>
  <si>
    <t>Tornillos, chapa y bisagra</t>
  </si>
  <si>
    <t>485306 - 4</t>
  </si>
  <si>
    <t>Tablero de distribución 1250A</t>
  </si>
  <si>
    <t>485306 - 5</t>
  </si>
  <si>
    <t>Encerramiento metálico 50cm X 60cm X 20cm (prototipo)</t>
  </si>
  <si>
    <t>485306 - 6</t>
  </si>
  <si>
    <t>Carrete con extención de 20m</t>
  </si>
  <si>
    <t>Ubermann</t>
  </si>
  <si>
    <t>I 0307</t>
  </si>
  <si>
    <t>C 0523</t>
  </si>
  <si>
    <t>Multitoma de pared con Usb</t>
  </si>
  <si>
    <t>01657</t>
  </si>
  <si>
    <t>I 0533</t>
  </si>
  <si>
    <t>C 0518</t>
  </si>
  <si>
    <t>Multitoma de pared con USB</t>
  </si>
  <si>
    <t>01658</t>
  </si>
  <si>
    <t>Multitoma 3 salidas portable con USB</t>
  </si>
  <si>
    <t>Wall Socket</t>
  </si>
  <si>
    <t>01660</t>
  </si>
  <si>
    <t>Multitoma 3 salidas portable</t>
  </si>
  <si>
    <t>01661</t>
  </si>
  <si>
    <t>Luminaria ritmica 800w</t>
  </si>
  <si>
    <t>Vari Lite</t>
  </si>
  <si>
    <t>I 0569</t>
  </si>
  <si>
    <t>C 0545</t>
  </si>
  <si>
    <t>Probetas metálicas 15cm X 10cm</t>
  </si>
  <si>
    <t>MT182 - MT183</t>
  </si>
  <si>
    <t>I 0591</t>
  </si>
  <si>
    <t>C 0524</t>
  </si>
  <si>
    <t>G-plast</t>
  </si>
  <si>
    <t>Cajas octogonales</t>
  </si>
  <si>
    <t>G-Plast</t>
  </si>
  <si>
    <t>C 0502</t>
  </si>
  <si>
    <t>I 0156</t>
  </si>
  <si>
    <t>H10</t>
  </si>
  <si>
    <t>Tubosa</t>
  </si>
  <si>
    <t>Probetas plasticas</t>
  </si>
  <si>
    <t>I 0555</t>
  </si>
  <si>
    <t>Probeta 10cm X 10cm galvanizada</t>
  </si>
  <si>
    <t>A-3392-2026</t>
  </si>
  <si>
    <t>I 0534</t>
  </si>
  <si>
    <t>C 0536</t>
  </si>
  <si>
    <t>TodoLaminas</t>
  </si>
  <si>
    <t>PC-26-046-001</t>
  </si>
  <si>
    <t>I 0343</t>
  </si>
  <si>
    <t>C 0248</t>
  </si>
  <si>
    <t>PC-26-046-002</t>
  </si>
  <si>
    <t>PC-26-046-004</t>
  </si>
  <si>
    <t>PC-26-046-003</t>
  </si>
  <si>
    <t>Cinta led 15w</t>
  </si>
  <si>
    <t>JFLED</t>
  </si>
  <si>
    <t>I 0547</t>
  </si>
  <si>
    <t>C 0551</t>
  </si>
  <si>
    <t>Cinta led 9w</t>
  </si>
  <si>
    <t>Tablero de baja tensión</t>
  </si>
  <si>
    <t>Socol</t>
  </si>
  <si>
    <t>PC-26-102-001</t>
  </si>
  <si>
    <t>I 0529</t>
  </si>
  <si>
    <t>C 0504</t>
  </si>
  <si>
    <t>Optima</t>
  </si>
  <si>
    <t>Luminaria tipo Tri-Proof</t>
  </si>
  <si>
    <t>Aston</t>
  </si>
  <si>
    <t>I 0551 - 0552</t>
  </si>
  <si>
    <t>C 0508</t>
  </si>
  <si>
    <t>C1</t>
  </si>
  <si>
    <t>I 0558</t>
  </si>
  <si>
    <t>C 0570</t>
  </si>
  <si>
    <t>Tira led 24W</t>
  </si>
  <si>
    <t>Tira led 4,8W</t>
  </si>
  <si>
    <t>Luminaria hermetica Triproof</t>
  </si>
  <si>
    <t>I 0567</t>
  </si>
  <si>
    <t>C 0569</t>
  </si>
  <si>
    <t>Megabarre Group</t>
  </si>
  <si>
    <t>Electro barra</t>
  </si>
  <si>
    <t>Megabarre</t>
  </si>
  <si>
    <t>I 0530</t>
  </si>
  <si>
    <t>C 0206</t>
  </si>
  <si>
    <t>Neveras</t>
  </si>
  <si>
    <t>I 0535 - 0536 - 0537 - 0538 - 0539</t>
  </si>
  <si>
    <t>C 0471</t>
  </si>
  <si>
    <t>Across</t>
  </si>
  <si>
    <t>I 0516 - 0517 - 0518 - 0519</t>
  </si>
  <si>
    <t>C 0470</t>
  </si>
  <si>
    <t>Multitoma 6 salidas</t>
  </si>
  <si>
    <t>Mercury</t>
  </si>
  <si>
    <t>20702 - 20703</t>
  </si>
  <si>
    <t>I 0593</t>
  </si>
  <si>
    <t>C 0602</t>
  </si>
  <si>
    <t>Extensión 3 salidas naranja</t>
  </si>
  <si>
    <t>Titanium</t>
  </si>
  <si>
    <t>20704 - 20705</t>
  </si>
  <si>
    <t>Condensador</t>
  </si>
  <si>
    <t>I 0376 hasta 0385</t>
  </si>
  <si>
    <t>C 0174</t>
  </si>
  <si>
    <t>Tonkin</t>
  </si>
  <si>
    <t>Manguera Navideña</t>
  </si>
  <si>
    <t>Macao</t>
  </si>
  <si>
    <t>I 0554</t>
  </si>
  <si>
    <t>C 0503</t>
  </si>
  <si>
    <t>Extensión navideña</t>
  </si>
  <si>
    <t xml:space="preserve">Luminaria Navideña (estrella) </t>
  </si>
  <si>
    <t>Base para fotocontrol</t>
  </si>
  <si>
    <t>A-3388-2026
A-3389-2026</t>
  </si>
  <si>
    <t>I 0570 - 0571 - 0572</t>
  </si>
  <si>
    <t>C 0574</t>
  </si>
  <si>
    <t>01668</t>
  </si>
  <si>
    <t>I 0565</t>
  </si>
  <si>
    <t>C 0561</t>
  </si>
  <si>
    <t>Luminaria decorrativa metálica</t>
  </si>
  <si>
    <t>Luxycon</t>
  </si>
  <si>
    <t>PC-25-206-012</t>
  </si>
  <si>
    <t>Antioqueña de Gabinetes</t>
  </si>
  <si>
    <t>01438</t>
  </si>
  <si>
    <t>I 0532</t>
  </si>
  <si>
    <t>C 0521</t>
  </si>
  <si>
    <t>407751-3</t>
  </si>
  <si>
    <t>I 0545 - 0546</t>
  </si>
  <si>
    <t>C 0526</t>
  </si>
  <si>
    <t>Probetta metálica, tornillos y accesorios de tablero</t>
  </si>
  <si>
    <t>407751-4</t>
  </si>
  <si>
    <t>Partes plasticas</t>
  </si>
  <si>
    <t>Reflector</t>
  </si>
  <si>
    <t>I 0556</t>
  </si>
  <si>
    <t>C 0557</t>
  </si>
  <si>
    <t>PC-26-117-003</t>
  </si>
  <si>
    <t>Celta</t>
  </si>
  <si>
    <t>I 0618</t>
  </si>
  <si>
    <t>C 0646</t>
  </si>
  <si>
    <t>Ilumax</t>
  </si>
  <si>
    <t>20731 - 20732</t>
  </si>
  <si>
    <t>I 0563</t>
  </si>
  <si>
    <t>C 0559</t>
  </si>
  <si>
    <t>Dumalux</t>
  </si>
  <si>
    <t>Alumbrado publico 45w</t>
  </si>
  <si>
    <t>DxPro</t>
  </si>
  <si>
    <t>I 0574</t>
  </si>
  <si>
    <t>Alumbrado publico 85w</t>
  </si>
  <si>
    <t>Alumbrado publico 150w</t>
  </si>
  <si>
    <t>Alumbrado publico 65w</t>
  </si>
  <si>
    <t>Alumbrado publico 110w</t>
  </si>
  <si>
    <t>Royal Master</t>
  </si>
  <si>
    <t>Ducha eléctrica</t>
  </si>
  <si>
    <t>I 0582 - 0583</t>
  </si>
  <si>
    <t>C 0527</t>
  </si>
  <si>
    <t>aQua</t>
  </si>
  <si>
    <t>21306 - 21307</t>
  </si>
  <si>
    <t>I 0580 - 0581</t>
  </si>
  <si>
    <t>C 0528</t>
  </si>
  <si>
    <t>Case Aulux negro metálico</t>
  </si>
  <si>
    <t>Dicy Commerce</t>
  </si>
  <si>
    <t>104888 - 104889 - 104893</t>
  </si>
  <si>
    <t>Case Aulux gris metálico</t>
  </si>
  <si>
    <t>104890 - 104891 - 104892</t>
  </si>
  <si>
    <t>Conectores</t>
  </si>
  <si>
    <t>01574 - 01581 - 01584</t>
  </si>
  <si>
    <t>I 0566</t>
  </si>
  <si>
    <t>C 0562</t>
  </si>
  <si>
    <t>Grimmet estandar</t>
  </si>
  <si>
    <t>I 0647</t>
  </si>
  <si>
    <t>C 0622</t>
  </si>
  <si>
    <t>Aulus basico</t>
  </si>
  <si>
    <t>104879 - 104880 - 104881 - 104882</t>
  </si>
  <si>
    <t xml:space="preserve">Bosto blanco </t>
  </si>
  <si>
    <t xml:space="preserve">97173 - 104883 - 104884 - 104885 - 104886 - 104887 </t>
  </si>
  <si>
    <t>Sitlab</t>
  </si>
  <si>
    <t>Luminaria led con panel solar</t>
  </si>
  <si>
    <t>Steren</t>
  </si>
  <si>
    <t>I 0568</t>
  </si>
  <si>
    <t>C 0506</t>
  </si>
  <si>
    <t>Tira led 5m</t>
  </si>
  <si>
    <t>Tira led wi-fi</t>
  </si>
  <si>
    <t>Cinta aislante</t>
  </si>
  <si>
    <t>Hella</t>
  </si>
  <si>
    <t>A-3511-2026</t>
  </si>
  <si>
    <t>I 0573</t>
  </si>
  <si>
    <t>C 0564</t>
  </si>
  <si>
    <t>Cajas plasticas</t>
  </si>
  <si>
    <t xml:space="preserve">Schneider Electric </t>
  </si>
  <si>
    <t>Stk 1
Stk 2</t>
  </si>
  <si>
    <t>I 0542</t>
  </si>
  <si>
    <t>C 0498</t>
  </si>
  <si>
    <t>Transformador de corriente</t>
  </si>
  <si>
    <t>TAC</t>
  </si>
  <si>
    <t>C 0573</t>
  </si>
  <si>
    <t>Cedelec</t>
  </si>
  <si>
    <t>Luminaria High Bay 20w</t>
  </si>
  <si>
    <t>Luminaria lineal hermética</t>
  </si>
  <si>
    <t>Herrajes Andina</t>
  </si>
  <si>
    <t>Herrajes</t>
  </si>
  <si>
    <t>12687 - 12688</t>
  </si>
  <si>
    <t>I 0609</t>
  </si>
  <si>
    <t>C 0589</t>
  </si>
  <si>
    <t>Braker 1 polo</t>
  </si>
  <si>
    <t>Felgolux</t>
  </si>
  <si>
    <t>I 0607</t>
  </si>
  <si>
    <t>C 0606</t>
  </si>
  <si>
    <t>Nevecon</t>
  </si>
  <si>
    <t>GVS</t>
  </si>
  <si>
    <t>Energizador de cerca electrica</t>
  </si>
  <si>
    <t>I 0600 - 0601</t>
  </si>
  <si>
    <t>C 0597</t>
  </si>
  <si>
    <t>BSP-M-6308</t>
  </si>
  <si>
    <t>I 0586</t>
  </si>
  <si>
    <t>C 0581</t>
  </si>
  <si>
    <t>Probetas de 20cm x 20cm</t>
  </si>
  <si>
    <t>Exp. 6536</t>
  </si>
  <si>
    <t>01388 - 01389 - 01390 - 01391</t>
  </si>
  <si>
    <t>Manguera led</t>
  </si>
  <si>
    <t>I 0653</t>
  </si>
  <si>
    <t>C 0643</t>
  </si>
  <si>
    <t>KL</t>
  </si>
  <si>
    <t>Cerraduras</t>
  </si>
  <si>
    <t>Segurex</t>
  </si>
  <si>
    <t>Nevera</t>
  </si>
  <si>
    <t>I 0577</t>
  </si>
  <si>
    <t>C 0544</t>
  </si>
  <si>
    <t>Guardamotor 25A</t>
  </si>
  <si>
    <t>01728</t>
  </si>
  <si>
    <t>I 0617</t>
  </si>
  <si>
    <t>C 0616</t>
  </si>
  <si>
    <t>Relé termico 2,3A</t>
  </si>
  <si>
    <t>01727</t>
  </si>
  <si>
    <t>Tablero de distrubución</t>
  </si>
  <si>
    <t>PC-26-065-030</t>
  </si>
  <si>
    <t>I 0614 al 0616</t>
  </si>
  <si>
    <t>C 0349</t>
  </si>
  <si>
    <t>PC-26-065-031</t>
  </si>
  <si>
    <t>Toma corriente con usb</t>
  </si>
  <si>
    <t>PC-26-065-013</t>
  </si>
  <si>
    <t>PC-26-065-003</t>
  </si>
  <si>
    <t>Breaker 1 polo</t>
  </si>
  <si>
    <t>PC-26-065-018</t>
  </si>
  <si>
    <t>PC-26-065-019</t>
  </si>
  <si>
    <t>PC-26-065-021</t>
  </si>
  <si>
    <t>Breaker 3 polos</t>
  </si>
  <si>
    <t>PC-26-065-037</t>
  </si>
  <si>
    <t>Breaker 2 polos</t>
  </si>
  <si>
    <t>PC-26-065-008</t>
  </si>
  <si>
    <t>PC-26-065-009</t>
  </si>
  <si>
    <t>PC-26-065-011</t>
  </si>
  <si>
    <t xml:space="preserve">Tomacorriente de pared </t>
  </si>
  <si>
    <t>PC-26-065-012</t>
  </si>
  <si>
    <t>PC-26-065-044</t>
  </si>
  <si>
    <t>Interrutores sencillos</t>
  </si>
  <si>
    <t>PC-26-065-048</t>
  </si>
  <si>
    <t>Probeta plastica</t>
  </si>
  <si>
    <t>PC-26-065-033</t>
  </si>
  <si>
    <t>PC-26-065-047</t>
  </si>
  <si>
    <t>Tomacorrientes industriales</t>
  </si>
  <si>
    <t>PC-26-065-045</t>
  </si>
  <si>
    <t>Tomacorriente</t>
  </si>
  <si>
    <t>PC-26-065-014</t>
  </si>
  <si>
    <t>Interruptor de corriente residual</t>
  </si>
  <si>
    <t>PC-26-065-036</t>
  </si>
  <si>
    <t>PC-26-065-025</t>
  </si>
  <si>
    <t>PC-26-065-039</t>
  </si>
  <si>
    <t>Caja rectangular plastica</t>
  </si>
  <si>
    <t>PC-26-065-041</t>
  </si>
  <si>
    <t>Caja cuadrada plastica</t>
  </si>
  <si>
    <t>PC-26-065-042</t>
  </si>
  <si>
    <t>Probetas metálicas 5cm X 5cm</t>
  </si>
  <si>
    <t>PC-26-065-023</t>
  </si>
  <si>
    <t>Tomacorrientes GFCI</t>
  </si>
  <si>
    <t>PC-26-065-015</t>
  </si>
  <si>
    <t>PC-26-065-24</t>
  </si>
  <si>
    <t>PC-26-065-029</t>
  </si>
  <si>
    <t>PC-26-065-32</t>
  </si>
  <si>
    <t>PC-26-065-28</t>
  </si>
  <si>
    <t>Dimmer</t>
  </si>
  <si>
    <t>PC-26-065-49</t>
  </si>
  <si>
    <t>Tablero de distribución</t>
  </si>
  <si>
    <t>PC-26-065-26</t>
  </si>
  <si>
    <t>PC-26-065-27</t>
  </si>
  <si>
    <t>Luminaria 150w</t>
  </si>
  <si>
    <t>Luminaria 250w</t>
  </si>
  <si>
    <t>Luminaria 600w</t>
  </si>
  <si>
    <t>Caja metálica cuadrada</t>
  </si>
  <si>
    <t>Conduleta</t>
  </si>
  <si>
    <t>Conduletas</t>
  </si>
  <si>
    <t>Tablero de control</t>
  </si>
  <si>
    <t>Sistelat</t>
  </si>
  <si>
    <t>PC-26-120-002</t>
  </si>
  <si>
    <t>Tablero de transferencia 40A</t>
  </si>
  <si>
    <t>PC-26-120-003</t>
  </si>
  <si>
    <t>Banco de condensadores</t>
  </si>
  <si>
    <t>PC-26-120-001</t>
  </si>
  <si>
    <t>PC-26-120-005</t>
  </si>
  <si>
    <t>Tornillos con tuercas y arandelas</t>
  </si>
  <si>
    <t>PC-26-120-004</t>
  </si>
  <si>
    <t>Projoy</t>
  </si>
  <si>
    <t>PC-26-111-002</t>
  </si>
  <si>
    <t>I 0636</t>
  </si>
  <si>
    <t>C 0520</t>
  </si>
  <si>
    <t>PC-26-111-003</t>
  </si>
  <si>
    <t>ASIAM</t>
  </si>
  <si>
    <t>Extención 4 salidas</t>
  </si>
  <si>
    <t>Voltech</t>
  </si>
  <si>
    <t>0484-26-1-1</t>
  </si>
  <si>
    <t>I 0631</t>
  </si>
  <si>
    <t>C 0601</t>
  </si>
  <si>
    <t>0484-26-1-2</t>
  </si>
  <si>
    <t>Extención 3 salidas</t>
  </si>
  <si>
    <t>0484-26-2-1</t>
  </si>
  <si>
    <t>0484-26-2-2</t>
  </si>
  <si>
    <t>Dps</t>
  </si>
  <si>
    <t>LSP</t>
  </si>
  <si>
    <t>A-3891-2026</t>
  </si>
  <si>
    <t>I 0608</t>
  </si>
  <si>
    <t>C 0605</t>
  </si>
  <si>
    <t>A-3890-2026</t>
  </si>
  <si>
    <t>Probeta metálica 20cm x 20cm</t>
  </si>
  <si>
    <t>A-3972-2026</t>
  </si>
  <si>
    <t>I 0619</t>
  </si>
  <si>
    <t>C 0611</t>
  </si>
  <si>
    <t>A-3973-2026</t>
  </si>
  <si>
    <t>A-3974-2026</t>
  </si>
  <si>
    <t>UL</t>
  </si>
  <si>
    <t>Controlador de bomba</t>
  </si>
  <si>
    <t>Tornatech</t>
  </si>
  <si>
    <t>UL-CO-139</t>
  </si>
  <si>
    <t>I 0612</t>
  </si>
  <si>
    <t>C 0610</t>
  </si>
  <si>
    <t>Transformadores y estabilizadores J. Pedraza</t>
  </si>
  <si>
    <t>Probeta metálica 10cm x 10cm</t>
  </si>
  <si>
    <t>I 0633</t>
  </si>
  <si>
    <t>C 0497</t>
  </si>
  <si>
    <t>Caja plastica</t>
  </si>
  <si>
    <t>LMG</t>
  </si>
  <si>
    <t>01669</t>
  </si>
  <si>
    <t>Selector</t>
  </si>
  <si>
    <t>01671</t>
  </si>
  <si>
    <t>01670</t>
  </si>
  <si>
    <t>01453</t>
  </si>
  <si>
    <t>Reflector 36w</t>
  </si>
  <si>
    <t>I 0562</t>
  </si>
  <si>
    <t>C 0549</t>
  </si>
  <si>
    <t>Reflector 300w</t>
  </si>
  <si>
    <t>Caja de paso metálica</t>
  </si>
  <si>
    <t>Insotubos</t>
  </si>
  <si>
    <t>A-3586-2026</t>
  </si>
  <si>
    <t>I 0644</t>
  </si>
  <si>
    <t>C 0623</t>
  </si>
  <si>
    <t>Lystra</t>
  </si>
  <si>
    <t>PC-26-121-A1-003</t>
  </si>
  <si>
    <t>I 0637</t>
  </si>
  <si>
    <t>C 0554</t>
  </si>
  <si>
    <t>Braker 125A</t>
  </si>
  <si>
    <t>Vakio</t>
  </si>
  <si>
    <t>PC-26-150-005</t>
  </si>
  <si>
    <t>I 0638</t>
  </si>
  <si>
    <t>C 0565</t>
  </si>
  <si>
    <t>Braker 63A</t>
  </si>
  <si>
    <t>PC-26-150-004</t>
  </si>
  <si>
    <t>Osblack</t>
  </si>
  <si>
    <t>U83</t>
  </si>
  <si>
    <t>I 0688</t>
  </si>
  <si>
    <t>C 0681</t>
  </si>
  <si>
    <t>Multitoma 6 salidas Negra</t>
  </si>
  <si>
    <t>Finlandek</t>
  </si>
  <si>
    <t>FK-06155</t>
  </si>
  <si>
    <t>I 0658</t>
  </si>
  <si>
    <t>C 0652</t>
  </si>
  <si>
    <t>Zhejiang</t>
  </si>
  <si>
    <t>FZ60</t>
  </si>
  <si>
    <t>Extension 5m naranja</t>
  </si>
  <si>
    <t>WJ-C 15W 5M</t>
  </si>
  <si>
    <t>Extension 3m naranja</t>
  </si>
  <si>
    <t>WJ-C 15W 3M</t>
  </si>
  <si>
    <t>Bombilla led 50w</t>
  </si>
  <si>
    <t>Bombillo led 6w</t>
  </si>
  <si>
    <t>Sekuro</t>
  </si>
  <si>
    <t>Extención 45cm</t>
  </si>
  <si>
    <t>Apolo</t>
  </si>
  <si>
    <t>I 0687</t>
  </si>
  <si>
    <t>C 0682</t>
  </si>
  <si>
    <t>Extención 100cm</t>
  </si>
  <si>
    <t>Duramax</t>
  </si>
  <si>
    <t>Aliaxis</t>
  </si>
  <si>
    <t>I 0411</t>
  </si>
  <si>
    <t>C 0332</t>
  </si>
  <si>
    <t>Multitoma fija</t>
  </si>
  <si>
    <t>Drivers Solutions</t>
  </si>
  <si>
    <t>BSP-M-6364</t>
  </si>
  <si>
    <t>Elspec</t>
  </si>
  <si>
    <t>Laminas de cobre</t>
  </si>
  <si>
    <t>00646</t>
  </si>
  <si>
    <t>I 0652</t>
  </si>
  <si>
    <t>C 0644</t>
  </si>
  <si>
    <t>Alumbrado publico 200w</t>
  </si>
  <si>
    <t>Tablero 911A</t>
  </si>
  <si>
    <t>C 0548</t>
  </si>
  <si>
    <t>Aislador sujetador</t>
  </si>
  <si>
    <t>EAE</t>
  </si>
  <si>
    <t>PC-26-119-01</t>
  </si>
  <si>
    <t>I 0650</t>
  </si>
  <si>
    <t>C 0624</t>
  </si>
  <si>
    <t>Canaleta ducto metálica</t>
  </si>
  <si>
    <t>Ryctel</t>
  </si>
  <si>
    <t>PC-26-061-A1-008</t>
  </si>
  <si>
    <t>I 0648</t>
  </si>
  <si>
    <t>C 0410</t>
  </si>
  <si>
    <t>PC-26-061-A1-005</t>
  </si>
  <si>
    <t>Multitoima 16A</t>
  </si>
  <si>
    <t>PC-26-061-A1-010</t>
  </si>
  <si>
    <t>PC-26-061-A1-004</t>
  </si>
  <si>
    <t>PC-26-061-A1-011</t>
  </si>
  <si>
    <t>Tablero de transerencia 320A</t>
  </si>
  <si>
    <t>PC-26-061-A1-003</t>
  </si>
  <si>
    <t>Tablero de distribución pequeño</t>
  </si>
  <si>
    <t>Veto</t>
  </si>
  <si>
    <t>I 0531</t>
  </si>
  <si>
    <t>C 0453</t>
  </si>
  <si>
    <t>Ups 40 KVA</t>
  </si>
  <si>
    <t>Bateria</t>
  </si>
  <si>
    <t>Ups 3 KVA</t>
  </si>
  <si>
    <t>Inversor Solar</t>
  </si>
  <si>
    <t>Regulador 600w</t>
  </si>
  <si>
    <t>Reguladore de voltaje</t>
  </si>
  <si>
    <t>Bateria sellada</t>
  </si>
  <si>
    <t>Multitoma PDU</t>
  </si>
  <si>
    <t>Fulgore</t>
  </si>
  <si>
    <t>I 0683</t>
  </si>
  <si>
    <t>C 0683</t>
  </si>
  <si>
    <t>Maxge</t>
  </si>
  <si>
    <t>PC-26-079-004</t>
  </si>
  <si>
    <t>I 0649</t>
  </si>
  <si>
    <t>C 0641</t>
  </si>
  <si>
    <t>I 0654</t>
  </si>
  <si>
    <t>C 0577</t>
  </si>
  <si>
    <t>Sensor de movimiento para bombillo</t>
  </si>
  <si>
    <t>Platino Ligthing</t>
  </si>
  <si>
    <t>Caja doble con riel</t>
  </si>
  <si>
    <t>BSP-M-6312</t>
  </si>
  <si>
    <t>I 0655</t>
  </si>
  <si>
    <t>C 0672</t>
  </si>
  <si>
    <t>tapa plastica gris</t>
  </si>
  <si>
    <t>BSP-M-6342</t>
  </si>
  <si>
    <t>Tapa plastica verde</t>
  </si>
  <si>
    <t>BSP-M-6314</t>
  </si>
  <si>
    <t>I 0656</t>
  </si>
  <si>
    <t>C 0673</t>
  </si>
  <si>
    <t>BSP-M-6313</t>
  </si>
  <si>
    <t>BSP-M-6347</t>
  </si>
  <si>
    <t>BSP-M-6344</t>
  </si>
  <si>
    <t>BSP-M-6345</t>
  </si>
  <si>
    <t>BSP-M-6343</t>
  </si>
  <si>
    <t>BSP-M-6346</t>
  </si>
  <si>
    <t>Lavadoras 28KG</t>
  </si>
  <si>
    <t>I 0029 - 0031 -0032 - 0104</t>
  </si>
  <si>
    <t>Klensam</t>
  </si>
  <si>
    <t>Portafusible</t>
  </si>
  <si>
    <t>ASK 5</t>
  </si>
  <si>
    <t>Conectores grises</t>
  </si>
  <si>
    <t>AVK 2,5</t>
  </si>
  <si>
    <t>Conectores verdes</t>
  </si>
  <si>
    <t>AVK 4T</t>
  </si>
  <si>
    <t>DPS 4 Polos</t>
  </si>
  <si>
    <t>PER-C20 275V 4P</t>
  </si>
  <si>
    <t>PC-26-141-03</t>
  </si>
  <si>
    <t>DPS 2 Polos</t>
  </si>
  <si>
    <t>PES-600 T2 2P</t>
  </si>
  <si>
    <t>PC-26-141-02</t>
  </si>
  <si>
    <t>Tomacorriente inteligente</t>
  </si>
  <si>
    <t>VTA-84529</t>
  </si>
  <si>
    <t>Se prohíbe la impresión y reproducción total o parcial sin previa autorización</t>
  </si>
  <si>
    <t>-------- FIN DEL DOCUMENTO --------</t>
  </si>
  <si>
    <t>Jhon Hernandez</t>
  </si>
  <si>
    <t>Juan Camilo Arcila Rendon</t>
  </si>
  <si>
    <t>Elabora</t>
  </si>
  <si>
    <t>Revisa</t>
  </si>
  <si>
    <t>William R. Vizcaíno M.</t>
  </si>
  <si>
    <t>Aprueba</t>
  </si>
  <si>
    <t xml:space="preserve">                                                         </t>
  </si>
  <si>
    <t>Solicitado por personal de Nyce</t>
  </si>
  <si>
    <t>Soloicitado por personal de producto</t>
  </si>
  <si>
    <t>Laboratorio externo</t>
  </si>
  <si>
    <t>Enviado por transportadora</t>
  </si>
  <si>
    <t xml:space="preserve">  </t>
  </si>
  <si>
    <t>Brandon Trujillo</t>
  </si>
  <si>
    <t xml:space="preserve">  FIRMA:</t>
  </si>
  <si>
    <t xml:space="preserve">  CEDULA:</t>
  </si>
  <si>
    <t>Las muestras fueron sometidas a ensayos destructivos, por lo cual no se encuentran en buen estado.</t>
  </si>
  <si>
    <t>Auxiliar de laboratorio</t>
  </si>
  <si>
    <t xml:space="preserve">  NOMBRE Y PLACA:</t>
  </si>
  <si>
    <r>
      <rPr>
        <b/>
        <sz val="11"/>
        <color theme="0"/>
        <rFont val="Calibri Light"/>
        <family val="2"/>
        <scheme val="major"/>
      </rPr>
      <t>NYCE Colombia S.A.S</t>
    </r>
    <r>
      <rPr>
        <sz val="11"/>
        <color theme="0"/>
        <rFont val="Calibri Light"/>
        <family val="2"/>
        <scheme val="major"/>
      </rPr>
      <t xml:space="preserve">. </t>
    </r>
    <r>
      <rPr>
        <b/>
        <sz val="11"/>
        <color theme="0"/>
        <rFont val="Calibri Light"/>
        <family val="2"/>
        <scheme val="major"/>
      </rPr>
      <t>|</t>
    </r>
    <r>
      <rPr>
        <sz val="11"/>
        <color theme="0"/>
        <rFont val="Calibri Light"/>
        <family val="2"/>
        <scheme val="major"/>
      </rPr>
      <t xml:space="preserve"> Calle 30 No. 17 - 52 </t>
    </r>
    <r>
      <rPr>
        <b/>
        <sz val="11"/>
        <color theme="0"/>
        <rFont val="Calibri Light"/>
        <family val="2"/>
        <scheme val="major"/>
      </rPr>
      <t>|</t>
    </r>
    <r>
      <rPr>
        <sz val="11"/>
        <color theme="0"/>
        <rFont val="Calibri Light"/>
        <family val="2"/>
        <scheme val="major"/>
      </rPr>
      <t xml:space="preserve"> Teusaquillo - Bogotá D.C. Colombia </t>
    </r>
    <r>
      <rPr>
        <b/>
        <sz val="11"/>
        <color theme="0"/>
        <rFont val="Calibri Light"/>
        <family val="2"/>
        <scheme val="major"/>
      </rPr>
      <t xml:space="preserve">| </t>
    </r>
    <r>
      <rPr>
        <sz val="11"/>
        <color theme="0"/>
        <rFont val="Calibri Light"/>
        <family val="2"/>
        <scheme val="major"/>
      </rPr>
      <t>Tel. + 571 756 84 85 ext. 129</t>
    </r>
  </si>
  <si>
    <t>LENC - 25 - I 0940</t>
  </si>
  <si>
    <t>LENC-25-I 0919</t>
  </si>
  <si>
    <t>FMF</t>
  </si>
  <si>
    <t>LENC-25-I 1018</t>
  </si>
  <si>
    <t>Tomacorriente 3 lineas</t>
  </si>
  <si>
    <t>LENC-25-I 0697</t>
  </si>
  <si>
    <t>Aro de luz</t>
  </si>
  <si>
    <t>LENC-25-I0697</t>
  </si>
  <si>
    <t>LENC-25-I 0968</t>
  </si>
  <si>
    <t>LENC-25-I 0969</t>
  </si>
  <si>
    <t>LENC-25- I 1008</t>
  </si>
  <si>
    <t>Tomacorriente con interruptor</t>
  </si>
  <si>
    <t xml:space="preserve">Forte </t>
  </si>
  <si>
    <t>Interruptor sencillo</t>
  </si>
  <si>
    <t>SI(M12&gt;0;(MAYUSC(BUSCARX(M12;CONTROL_MUESTRAS_2025!A:A;CONTROL_MUESTRAS_2025!F:F;"No encontrado";0)));"")</t>
  </si>
  <si>
    <r>
      <rPr>
        <sz val="12"/>
        <color theme="1"/>
        <rFont val="Calibri Light"/>
        <family val="2"/>
        <scheme val="major"/>
      </rPr>
      <t xml:space="preserve">COPIAR DATOS Y PEGAR EN EL </t>
    </r>
    <r>
      <rPr>
        <b/>
        <sz val="12"/>
        <color theme="1"/>
        <rFont val="Calibri Light"/>
        <family val="2"/>
        <scheme val="major"/>
      </rPr>
      <t>ACTA DESTRUCCIÓN</t>
    </r>
    <r>
      <rPr>
        <sz val="11"/>
        <color theme="1"/>
        <rFont val="Calibri Light"/>
        <family val="2"/>
        <scheme val="major"/>
      </rPr>
      <t xml:space="preserve">
            ︾ ︾ ︾ ︾ ︾</t>
    </r>
  </si>
  <si>
    <t>FECHA RECEPCIÓN</t>
  </si>
  <si>
    <t>CONTROL MUESTRAS 2026</t>
  </si>
  <si>
    <t>xxxxxx</t>
  </si>
  <si>
    <t>Lista desplegable ESTADO DE MUESTRAS</t>
  </si>
  <si>
    <t>CELDA CONCATENADA</t>
  </si>
  <si>
    <t>ITEM</t>
  </si>
  <si>
    <t>Realizar disposición final</t>
  </si>
  <si>
    <t>Destrución</t>
  </si>
  <si>
    <t>Lista desplegable Remisiones</t>
  </si>
  <si>
    <t>ENVIO POR TRASNPORTADORA</t>
  </si>
  <si>
    <t>OTRO</t>
  </si>
  <si>
    <t xml:space="preserve">Luminaria navideña </t>
  </si>
  <si>
    <t>Ei</t>
  </si>
  <si>
    <t>ZZ-TDL-240V-100L-10M</t>
  </si>
  <si>
    <t>Luminaria Para Uso Exteriror</t>
  </si>
  <si>
    <t>tecnolite</t>
  </si>
  <si>
    <t>12hled1169mv30b</t>
  </si>
  <si>
    <t>Grupo Rupest SAS</t>
  </si>
  <si>
    <t xml:space="preserve">Clavija hembra </t>
  </si>
  <si>
    <t>S1PFB</t>
  </si>
  <si>
    <t>Dispostes</t>
  </si>
  <si>
    <t>Tablero pequeño</t>
  </si>
  <si>
    <t>ciles</t>
  </si>
  <si>
    <t>60342E07-20</t>
  </si>
  <si>
    <t>PC-26-065-022</t>
  </si>
  <si>
    <t>C 0650</t>
  </si>
  <si>
    <t>I 0693</t>
  </si>
  <si>
    <t>SM-1533</t>
  </si>
  <si>
    <t>Probetas rojas</t>
  </si>
  <si>
    <t>I 0694</t>
  </si>
  <si>
    <t>LMS321</t>
  </si>
  <si>
    <t>C 0647</t>
  </si>
  <si>
    <t>I 0695</t>
  </si>
  <si>
    <t>C 0678</t>
  </si>
  <si>
    <t>I 0659</t>
  </si>
  <si>
    <t>A-4367-2026</t>
  </si>
  <si>
    <t>C 0695</t>
  </si>
  <si>
    <t>I 0697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</si>
</sst>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240A]General"/>
    <numFmt numFmtId="165" formatCode="00"/>
    <numFmt numFmtId="166" formatCode="0000"/>
    <numFmt numFmtId="167" formatCode="yyyy\-mm\-dd"/>
    <numFmt numFmtId="168" formatCode="yyyy\-mm\-dd;@"/>
    <numFmt numFmtId="169" formatCode="0;\-0;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918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Arial"/>
      <family val="2"/>
    </font>
    <font>
      <b/>
      <sz val="11"/>
      <name val="Tw Cen MT Condensed"/>
      <family val="2"/>
    </font>
    <font>
      <sz val="16"/>
      <name val="Calibri"/>
      <family val="2"/>
      <scheme val="minor"/>
    </font>
    <font>
      <b/>
      <sz val="28"/>
      <color theme="1"/>
      <name val="Grandview"/>
      <family val="2"/>
    </font>
    <font>
      <b/>
      <sz val="12"/>
      <color theme="0"/>
      <name val="Calibri"/>
      <family val="2"/>
      <scheme val="minor"/>
    </font>
    <font>
      <sz val="1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b/>
      <sz val="11"/>
      <color theme="0" tint="-0.34998626667073579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0"/>
      <color theme="1"/>
      <name val="Calibri Light"/>
      <family val="2"/>
      <scheme val="major"/>
    </font>
    <font>
      <i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rgb="FF009180"/>
      <name val="Calibri Light"/>
      <family val="2"/>
      <scheme val="major"/>
    </font>
    <font>
      <sz val="11"/>
      <color theme="1"/>
      <name val="Arial"/>
      <family val="2"/>
    </font>
    <font>
      <b/>
      <sz val="11"/>
      <color rgb="FF7030A0"/>
      <name val="Arial"/>
      <family val="2"/>
    </font>
    <font>
      <b/>
      <sz val="11"/>
      <color theme="1"/>
      <name val="Arial"/>
      <family val="2"/>
    </font>
    <font>
      <b/>
      <sz val="28"/>
      <name val="Grandview"/>
      <family val="2"/>
    </font>
    <font>
      <sz val="11"/>
      <color theme="1"/>
      <name val="Arial"/>
      <family val="2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4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name val="Calibri Light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4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91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9180"/>
      </left>
      <right style="thin">
        <color theme="0"/>
      </right>
      <top style="thin">
        <color rgb="FF00918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009180"/>
      </top>
      <bottom/>
      <diagonal/>
    </border>
    <border>
      <left style="thin">
        <color theme="0"/>
      </left>
      <right style="thin">
        <color theme="0"/>
      </right>
      <top style="thin">
        <color rgb="FF009180"/>
      </top>
      <bottom style="thin">
        <color indexed="64"/>
      </bottom>
      <diagonal/>
    </border>
    <border>
      <left style="thin">
        <color theme="0"/>
      </left>
      <right style="thin">
        <color rgb="FF009180"/>
      </right>
      <top style="thin">
        <color rgb="FF009180"/>
      </top>
      <bottom style="thin">
        <color indexed="64"/>
      </bottom>
      <diagonal/>
    </border>
    <border>
      <left style="thin">
        <color rgb="FF009180"/>
      </left>
      <right style="thin">
        <color theme="0"/>
      </right>
      <top style="thin">
        <color indexed="64"/>
      </top>
      <bottom style="thin">
        <color rgb="FF009180"/>
      </bottom>
      <diagonal/>
    </border>
    <border>
      <left style="thin">
        <color theme="0"/>
      </left>
      <right style="thin">
        <color theme="0"/>
      </right>
      <top/>
      <bottom style="thin">
        <color rgb="FF00918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rgb="FF009180"/>
      </bottom>
      <diagonal/>
    </border>
    <border>
      <left style="thin">
        <color theme="0"/>
      </left>
      <right style="thin">
        <color rgb="FF009180"/>
      </right>
      <top style="thin">
        <color indexed="64"/>
      </top>
      <bottom style="thin">
        <color rgb="FF009180"/>
      </bottom>
      <diagonal/>
    </border>
    <border>
      <left/>
      <right/>
      <top style="thin">
        <color rgb="FF009180"/>
      </top>
      <bottom/>
      <diagonal/>
    </border>
    <border>
      <left style="thin">
        <color rgb="FF009180"/>
      </left>
      <right style="thin">
        <color theme="0"/>
      </right>
      <top style="thin">
        <color rgb="FF009180"/>
      </top>
      <bottom style="thin">
        <color rgb="FF009180"/>
      </bottom>
      <diagonal/>
    </border>
    <border>
      <left style="thin">
        <color theme="0"/>
      </left>
      <right/>
      <top style="thin">
        <color rgb="FF009180"/>
      </top>
      <bottom style="thin">
        <color rgb="FF009180"/>
      </bottom>
      <diagonal/>
    </border>
    <border>
      <left style="thin">
        <color rgb="FF009180"/>
      </left>
      <right style="thin">
        <color rgb="FF009180"/>
      </right>
      <top style="thin">
        <color rgb="FF009180"/>
      </top>
      <bottom style="thin">
        <color rgb="FF009180"/>
      </bottom>
      <diagonal/>
    </border>
    <border>
      <left style="thin">
        <color rgb="FF009180"/>
      </left>
      <right/>
      <top style="thin">
        <color rgb="FF009180"/>
      </top>
      <bottom style="thin">
        <color rgb="FF009180"/>
      </bottom>
      <diagonal/>
    </border>
    <border>
      <left/>
      <right/>
      <top style="thin">
        <color rgb="FF009180"/>
      </top>
      <bottom style="thin">
        <color rgb="FF009180"/>
      </bottom>
      <diagonal/>
    </border>
    <border>
      <left/>
      <right style="thin">
        <color rgb="FF009180"/>
      </right>
      <top style="thin">
        <color rgb="FF009180"/>
      </top>
      <bottom style="thin">
        <color rgb="FF009180"/>
      </bottom>
      <diagonal/>
    </border>
    <border>
      <left style="thin">
        <color rgb="FF009180"/>
      </left>
      <right/>
      <top style="thin">
        <color rgb="FF009180"/>
      </top>
      <bottom/>
      <diagonal/>
    </border>
    <border>
      <left/>
      <right style="thin">
        <color theme="0"/>
      </right>
      <top style="thin">
        <color rgb="FF009180"/>
      </top>
      <bottom/>
      <diagonal/>
    </border>
    <border>
      <left style="thin">
        <color theme="0"/>
      </left>
      <right/>
      <top style="thin">
        <color rgb="FF009180"/>
      </top>
      <bottom/>
      <diagonal/>
    </border>
    <border>
      <left style="thin">
        <color theme="0"/>
      </left>
      <right style="thin">
        <color rgb="FF009180"/>
      </right>
      <top style="thin">
        <color rgb="FF009180"/>
      </top>
      <bottom/>
      <diagonal/>
    </border>
    <border>
      <left style="thin">
        <color rgb="FF009180"/>
      </left>
      <right/>
      <top/>
      <bottom style="thin">
        <color rgb="FF009180"/>
      </bottom>
      <diagonal/>
    </border>
    <border>
      <left/>
      <right/>
      <top/>
      <bottom style="thin">
        <color rgb="FF009180"/>
      </bottom>
      <diagonal/>
    </border>
    <border>
      <left/>
      <right style="thin">
        <color rgb="FF009180"/>
      </right>
      <top/>
      <bottom style="thin">
        <color rgb="FF009180"/>
      </bottom>
      <diagonal/>
    </border>
    <border>
      <left style="thin">
        <color rgb="FF009180"/>
      </left>
      <right style="thin">
        <color theme="0"/>
      </right>
      <top style="thin">
        <color rgb="FF009180"/>
      </top>
      <bottom/>
      <diagonal/>
    </border>
    <border>
      <left style="thin">
        <color rgb="FF009180"/>
      </left>
      <right style="thin">
        <color theme="0"/>
      </right>
      <top/>
      <bottom style="thin">
        <color rgb="FF009180"/>
      </bottom>
      <diagonal/>
    </border>
    <border>
      <left/>
      <right style="thin">
        <color theme="0"/>
      </right>
      <top style="thin">
        <color rgb="FF009180"/>
      </top>
      <bottom style="thin">
        <color rgb="FF0091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9180"/>
      </left>
      <right/>
      <top/>
      <bottom/>
      <diagonal/>
    </border>
    <border>
      <left/>
      <right style="thin">
        <color rgb="FF009180"/>
      </right>
      <top/>
      <bottom/>
      <diagonal/>
    </border>
    <border>
      <left/>
      <right/>
      <top/>
      <bottom style="mediumDash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9180"/>
      </right>
      <top style="thin">
        <color rgb="FF009180"/>
      </top>
      <bottom/>
      <diagonal/>
    </border>
    <border>
      <left style="thin">
        <color theme="0"/>
      </left>
      <right/>
      <top/>
      <bottom style="thin">
        <color rgb="FF009180"/>
      </bottom>
      <diagonal/>
    </border>
    <border>
      <left/>
      <right style="thin">
        <color theme="0"/>
      </right>
      <top/>
      <bottom style="thin">
        <color rgb="FF009180"/>
      </bottom>
      <diagonal/>
    </border>
    <border>
      <left style="thin">
        <color rgb="FF00918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</borders>
  <cellStyleXfs count="6">
    <xf numFmtId="0" fontId="0" fillId="0" borderId="0"/>
    <xf numFmtId="164" fontId="4" fillId="0" borderId="0"/>
    <xf numFmtId="0" fontId="1" fillId="0" borderId="0"/>
    <xf numFmtId="0" fontId="1" fillId="0" borderId="0"/>
    <xf numFmtId="0" fontId="11" fillId="0" borderId="0"/>
    <xf numFmtId="0" fontId="27" fillId="0" borderId="0"/>
  </cellStyleXfs>
  <cellXfs count="283">
    <xf numFmtId="0" fontId="0" fillId="0" borderId="0" xfId="0"/>
    <xf numFmtId="0" fontId="2" fillId="2" borderId="2" xfId="2" applyFont="1" applyFill="1" applyBorder="1" applyAlignment="1">
      <alignment horizontal="center" wrapText="1"/>
    </xf>
    <xf numFmtId="166" fontId="2" fillId="2" borderId="6" xfId="2" applyNumberFormat="1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165" fontId="2" fillId="2" borderId="2" xfId="2" applyNumberFormat="1" applyFont="1" applyFill="1" applyBorder="1" applyAlignment="1">
      <alignment horizontal="center" vertical="center"/>
    </xf>
    <xf numFmtId="166" fontId="2" fillId="2" borderId="8" xfId="2" applyNumberFormat="1" applyFont="1" applyFill="1" applyBorder="1" applyAlignment="1">
      <alignment horizontal="center" vertical="center" wrapText="1"/>
    </xf>
    <xf numFmtId="0" fontId="1" fillId="0" borderId="0" xfId="3"/>
    <xf numFmtId="0" fontId="3" fillId="0" borderId="0" xfId="3" applyFont="1" applyAlignment="1">
      <alignment vertical="center"/>
    </xf>
    <xf numFmtId="0" fontId="1" fillId="0" borderId="0" xfId="3" applyAlignment="1">
      <alignment wrapText="1"/>
    </xf>
    <xf numFmtId="0" fontId="3" fillId="0" borderId="0" xfId="3" applyFont="1" applyAlignment="1">
      <alignment vertical="center" wrapText="1"/>
    </xf>
    <xf numFmtId="0" fontId="1" fillId="0" borderId="0" xfId="3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right" vertical="center" wrapText="1"/>
    </xf>
    <xf numFmtId="0" fontId="9" fillId="3" borderId="0" xfId="3" applyFont="1" applyFill="1"/>
    <xf numFmtId="0" fontId="10" fillId="3" borderId="0" xfId="3" applyFont="1" applyFill="1" applyAlignment="1">
      <alignment vertical="center"/>
    </xf>
    <xf numFmtId="0" fontId="12" fillId="3" borderId="0" xfId="4" applyFont="1" applyFill="1" applyAlignment="1">
      <alignment vertical="center"/>
    </xf>
    <xf numFmtId="49" fontId="9" fillId="3" borderId="0" xfId="3" applyNumberFormat="1" applyFont="1" applyFill="1" applyAlignment="1">
      <alignment horizontal="center" vertical="center"/>
    </xf>
    <xf numFmtId="0" fontId="10" fillId="3" borderId="0" xfId="3" applyFont="1" applyFill="1"/>
    <xf numFmtId="0" fontId="16" fillId="3" borderId="0" xfId="4" applyFont="1" applyFill="1"/>
    <xf numFmtId="0" fontId="9" fillId="0" borderId="0" xfId="3" applyFont="1"/>
    <xf numFmtId="0" fontId="9" fillId="0" borderId="0" xfId="3" applyFont="1" applyAlignment="1">
      <alignment horizontal="center" vertical="center"/>
    </xf>
    <xf numFmtId="0" fontId="2" fillId="2" borderId="13" xfId="4" applyFont="1" applyFill="1" applyBorder="1" applyAlignment="1">
      <alignment horizontal="center" vertical="center" wrapText="1"/>
    </xf>
    <xf numFmtId="0" fontId="2" fillId="2" borderId="30" xfId="4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168" fontId="17" fillId="0" borderId="32" xfId="4" applyNumberFormat="1" applyFont="1" applyBorder="1" applyAlignment="1">
      <alignment horizontal="center" vertical="center" wrapText="1"/>
    </xf>
    <xf numFmtId="168" fontId="17" fillId="0" borderId="33" xfId="4" applyNumberFormat="1" applyFont="1" applyBorder="1" applyAlignment="1">
      <alignment horizontal="center" vertical="center" wrapText="1"/>
    </xf>
    <xf numFmtId="0" fontId="22" fillId="3" borderId="0" xfId="3" applyFont="1" applyFill="1" applyAlignment="1">
      <alignment vertical="center"/>
    </xf>
    <xf numFmtId="169" fontId="18" fillId="0" borderId="32" xfId="4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68" fontId="17" fillId="0" borderId="0" xfId="4" applyNumberFormat="1" applyFont="1" applyAlignment="1">
      <alignment horizontal="center" vertical="center" wrapText="1"/>
    </xf>
    <xf numFmtId="168" fontId="17" fillId="0" borderId="40" xfId="4" applyNumberFormat="1" applyFont="1" applyBorder="1" applyAlignment="1">
      <alignment horizontal="center" vertical="center" wrapText="1"/>
    </xf>
    <xf numFmtId="0" fontId="5" fillId="0" borderId="10" xfId="1" applyNumberFormat="1" applyFont="1" applyBorder="1" applyAlignment="1">
      <alignment horizontal="center" vertical="center"/>
    </xf>
    <xf numFmtId="0" fontId="9" fillId="3" borderId="41" xfId="3" applyFont="1" applyFill="1" applyBorder="1"/>
    <xf numFmtId="169" fontId="18" fillId="0" borderId="0" xfId="4" applyNumberFormat="1" applyFont="1" applyAlignment="1">
      <alignment horizontal="center" vertical="center" wrapText="1"/>
    </xf>
    <xf numFmtId="0" fontId="28" fillId="5" borderId="6" xfId="5" applyFont="1" applyFill="1" applyBorder="1" applyAlignment="1">
      <alignment vertical="center" wrapText="1"/>
    </xf>
    <xf numFmtId="0" fontId="28" fillId="5" borderId="1" xfId="5" applyFont="1" applyFill="1" applyBorder="1" applyAlignment="1">
      <alignment horizontal="center" vertical="center" wrapText="1"/>
    </xf>
    <xf numFmtId="0" fontId="28" fillId="0" borderId="0" xfId="5" applyFont="1" applyAlignment="1">
      <alignment horizontal="center" vertical="center" wrapText="1"/>
    </xf>
    <xf numFmtId="0" fontId="27" fillId="0" borderId="0" xfId="5"/>
    <xf numFmtId="0" fontId="28" fillId="5" borderId="6" xfId="5" applyFont="1" applyFill="1" applyBorder="1" applyAlignment="1">
      <alignment horizontal="center" vertical="center" wrapText="1"/>
    </xf>
    <xf numFmtId="0" fontId="27" fillId="0" borderId="0" xfId="5" applyAlignment="1">
      <alignment horizontal="center"/>
    </xf>
    <xf numFmtId="0" fontId="27" fillId="0" borderId="0" xfId="5" applyAlignment="1">
      <alignment horizontal="center" vertical="center"/>
    </xf>
    <xf numFmtId="0" fontId="27" fillId="6" borderId="42" xfId="5" applyFill="1" applyBorder="1" applyAlignment="1">
      <alignment horizontal="center" vertical="center"/>
    </xf>
    <xf numFmtId="0" fontId="27" fillId="6" borderId="43" xfId="5" applyFill="1" applyBorder="1" applyAlignment="1">
      <alignment horizontal="center" vertical="center"/>
    </xf>
    <xf numFmtId="0" fontId="27" fillId="6" borderId="44" xfId="5" applyFill="1" applyBorder="1" applyAlignment="1">
      <alignment horizontal="center" vertical="center"/>
    </xf>
    <xf numFmtId="0" fontId="27" fillId="0" borderId="45" xfId="5" applyBorder="1" applyAlignment="1">
      <alignment horizontal="center" vertical="center"/>
    </xf>
    <xf numFmtId="0" fontId="27" fillId="0" borderId="42" xfId="5" applyBorder="1" applyAlignment="1">
      <alignment horizontal="center"/>
    </xf>
    <xf numFmtId="0" fontId="27" fillId="0" borderId="43" xfId="5" applyBorder="1" applyAlignment="1">
      <alignment horizontal="center"/>
    </xf>
    <xf numFmtId="0" fontId="27" fillId="0" borderId="44" xfId="5" applyBorder="1" applyAlignment="1">
      <alignment horizontal="center"/>
    </xf>
    <xf numFmtId="1" fontId="0" fillId="3" borderId="11" xfId="0" applyNumberFormat="1" applyFill="1" applyBorder="1" applyAlignment="1">
      <alignment horizontal="center" vertical="center"/>
    </xf>
    <xf numFmtId="1" fontId="0" fillId="0" borderId="0" xfId="0" applyNumberFormat="1"/>
    <xf numFmtId="1" fontId="18" fillId="0" borderId="10" xfId="4" applyNumberFormat="1" applyFont="1" applyBorder="1" applyAlignment="1">
      <alignment horizontal="center" vertical="center" wrapText="1"/>
    </xf>
    <xf numFmtId="168" fontId="17" fillId="0" borderId="10" xfId="4" applyNumberFormat="1" applyFont="1" applyBorder="1" applyAlignment="1">
      <alignment horizontal="center" vertical="center" wrapText="1"/>
    </xf>
    <xf numFmtId="169" fontId="18" fillId="0" borderId="10" xfId="4" applyNumberFormat="1" applyFont="1" applyBorder="1" applyAlignment="1">
      <alignment horizontal="center" vertical="center" wrapText="1"/>
    </xf>
    <xf numFmtId="1" fontId="18" fillId="0" borderId="9" xfId="4" applyNumberFormat="1" applyFont="1" applyBorder="1" applyAlignment="1">
      <alignment horizontal="center" vertical="center" wrapText="1"/>
    </xf>
    <xf numFmtId="168" fontId="17" fillId="0" borderId="9" xfId="4" applyNumberFormat="1" applyFont="1" applyBorder="1" applyAlignment="1">
      <alignment horizontal="center" vertical="center" wrapText="1"/>
    </xf>
    <xf numFmtId="1" fontId="6" fillId="2" borderId="46" xfId="2" applyNumberFormat="1" applyFont="1" applyFill="1" applyBorder="1" applyAlignment="1">
      <alignment horizontal="center" vertical="center"/>
    </xf>
    <xf numFmtId="0" fontId="6" fillId="2" borderId="46" xfId="2" applyFont="1" applyFill="1" applyBorder="1" applyAlignment="1">
      <alignment horizontal="center" vertical="center"/>
    </xf>
    <xf numFmtId="0" fontId="6" fillId="2" borderId="46" xfId="2" applyFont="1" applyFill="1" applyBorder="1" applyAlignment="1">
      <alignment horizontal="center" vertical="center" wrapText="1"/>
    </xf>
    <xf numFmtId="165" fontId="6" fillId="2" borderId="46" xfId="2" applyNumberFormat="1" applyFont="1" applyFill="1" applyBorder="1" applyAlignment="1">
      <alignment horizontal="center" vertical="center"/>
    </xf>
    <xf numFmtId="166" fontId="6" fillId="2" borderId="46" xfId="2" applyNumberFormat="1" applyFont="1" applyFill="1" applyBorder="1" applyAlignment="1">
      <alignment horizontal="center" vertical="center" wrapText="1"/>
    </xf>
    <xf numFmtId="168" fontId="0" fillId="3" borderId="0" xfId="0" applyNumberFormat="1" applyFill="1" applyAlignment="1">
      <alignment horizontal="center" vertical="center" wrapText="1"/>
    </xf>
    <xf numFmtId="0" fontId="31" fillId="0" borderId="0" xfId="5" applyFont="1"/>
    <xf numFmtId="0" fontId="31" fillId="0" borderId="0" xfId="5" applyFont="1" applyAlignment="1">
      <alignment horizontal="center" vertical="center" wrapText="1"/>
    </xf>
    <xf numFmtId="0" fontId="31" fillId="0" borderId="0" xfId="5" applyFont="1" applyAlignment="1">
      <alignment horizontal="center" vertical="center"/>
    </xf>
    <xf numFmtId="0" fontId="31" fillId="0" borderId="0" xfId="5" applyFont="1" applyAlignment="1">
      <alignment horizontal="center"/>
    </xf>
    <xf numFmtId="0" fontId="31" fillId="0" borderId="0" xfId="5" applyFont="1" applyAlignment="1">
      <alignment wrapText="1"/>
    </xf>
    <xf numFmtId="0" fontId="32" fillId="2" borderId="6" xfId="5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33" fillId="0" borderId="47" xfId="5" applyFont="1" applyBorder="1" applyAlignment="1">
      <alignment horizontal="center" vertical="center" wrapText="1"/>
    </xf>
    <xf numFmtId="164" fontId="33" fillId="0" borderId="47" xfId="5" applyNumberFormat="1" applyFont="1" applyBorder="1" applyAlignment="1">
      <alignment horizontal="center" vertical="center" wrapText="1"/>
    </xf>
    <xf numFmtId="168" fontId="33" fillId="0" borderId="47" xfId="5" applyNumberFormat="1" applyFont="1" applyBorder="1" applyAlignment="1">
      <alignment horizontal="center" vertical="center"/>
    </xf>
    <xf numFmtId="0" fontId="34" fillId="0" borderId="10" xfId="1" applyNumberFormat="1" applyFont="1" applyBorder="1" applyAlignment="1">
      <alignment horizontal="center" vertical="center"/>
    </xf>
    <xf numFmtId="164" fontId="34" fillId="0" borderId="10" xfId="1" applyFont="1" applyBorder="1" applyAlignment="1">
      <alignment horizontal="center" vertical="center"/>
    </xf>
    <xf numFmtId="0" fontId="35" fillId="0" borderId="10" xfId="5" applyFont="1" applyBorder="1" applyAlignment="1">
      <alignment horizontal="center"/>
    </xf>
    <xf numFmtId="0" fontId="0" fillId="3" borderId="10" xfId="0" applyFill="1" applyBorder="1" applyAlignment="1">
      <alignment horizontal="center" vertical="center" wrapText="1"/>
    </xf>
    <xf numFmtId="1" fontId="0" fillId="3" borderId="10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1" fontId="5" fillId="0" borderId="47" xfId="1" applyNumberFormat="1" applyFont="1" applyBorder="1" applyAlignment="1">
      <alignment horizontal="center" vertical="center"/>
    </xf>
    <xf numFmtId="0" fontId="5" fillId="0" borderId="47" xfId="1" applyNumberFormat="1" applyFont="1" applyBorder="1" applyAlignment="1">
      <alignment horizontal="center" vertical="center"/>
    </xf>
    <xf numFmtId="164" fontId="5" fillId="0" borderId="47" xfId="1" applyFont="1" applyBorder="1" applyAlignment="1">
      <alignment horizontal="center" vertical="center"/>
    </xf>
    <xf numFmtId="168" fontId="0" fillId="3" borderId="10" xfId="0" applyNumberForma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66" fontId="0" fillId="3" borderId="10" xfId="0" applyNumberForma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 wrapText="1"/>
    </xf>
    <xf numFmtId="168" fontId="17" fillId="0" borderId="58" xfId="4" applyNumberFormat="1" applyFont="1" applyBorder="1" applyAlignment="1">
      <alignment horizontal="center" vertical="center" wrapText="1"/>
    </xf>
    <xf numFmtId="168" fontId="17" fillId="0" borderId="38" xfId="4" applyNumberFormat="1" applyFon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8" fillId="2" borderId="0" xfId="3" applyFont="1" applyFill="1" applyAlignment="1">
      <alignment horizontal="center" vertical="center" wrapText="1"/>
    </xf>
    <xf numFmtId="0" fontId="23" fillId="4" borderId="0" xfId="3" applyFont="1" applyFill="1" applyAlignment="1">
      <alignment horizontal="center" vertical="center"/>
    </xf>
    <xf numFmtId="0" fontId="24" fillId="4" borderId="0" xfId="3" applyFont="1" applyFill="1" applyAlignment="1">
      <alignment horizontal="center" vertical="center"/>
    </xf>
    <xf numFmtId="0" fontId="0" fillId="0" borderId="0" xfId="3" applyFont="1"/>
    <xf numFmtId="0" fontId="0" fillId="0" borderId="0" xfId="3" applyFont="1" applyAlignment="1">
      <alignment wrapText="1"/>
    </xf>
    <xf numFmtId="0" fontId="0" fillId="0" borderId="0" xfId="3" applyFont="1" applyAlignment="1">
      <alignment horizontal="center" vertical="center" wrapText="1"/>
    </xf>
    <xf numFmtId="1" fontId="40" fillId="0" borderId="0" xfId="1" applyNumberFormat="1" applyFont="1" applyAlignment="1">
      <alignment horizontal="center" vertical="center" wrapText="1"/>
    </xf>
    <xf numFmtId="164" fontId="40" fillId="0" borderId="0" xfId="1" applyFont="1" applyAlignment="1">
      <alignment horizontal="center" vertical="center" wrapText="1"/>
    </xf>
    <xf numFmtId="0" fontId="42" fillId="0" borderId="0" xfId="1" applyNumberFormat="1" applyFont="1" applyAlignment="1">
      <alignment horizontal="center" vertical="center" wrapText="1"/>
    </xf>
    <xf numFmtId="167" fontId="40" fillId="0" borderId="0" xfId="1" applyNumberFormat="1" applyFont="1" applyAlignment="1">
      <alignment horizontal="center" vertical="center" wrapText="1"/>
    </xf>
    <xf numFmtId="0" fontId="16" fillId="3" borderId="0" xfId="3" applyFont="1" applyFill="1"/>
    <xf numFmtId="0" fontId="45" fillId="4" borderId="0" xfId="3" applyFont="1" applyFill="1" applyAlignment="1">
      <alignment horizontal="left" vertical="top"/>
    </xf>
    <xf numFmtId="0" fontId="45" fillId="4" borderId="0" xfId="3" applyFont="1" applyFill="1" applyAlignment="1">
      <alignment horizontal="center" vertical="center"/>
    </xf>
    <xf numFmtId="0" fontId="16" fillId="4" borderId="0" xfId="3" applyFont="1" applyFill="1" applyAlignment="1">
      <alignment horizontal="left" vertical="top"/>
    </xf>
    <xf numFmtId="0" fontId="16" fillId="4" borderId="0" xfId="3" applyFont="1" applyFill="1" applyAlignment="1">
      <alignment horizontal="center" vertical="center"/>
    </xf>
    <xf numFmtId="0" fontId="16" fillId="3" borderId="41" xfId="3" applyFont="1" applyFill="1" applyBorder="1"/>
    <xf numFmtId="49" fontId="0" fillId="3" borderId="10" xfId="0" applyNumberFormat="1" applyFill="1" applyBorder="1" applyAlignment="1">
      <alignment horizontal="center" vertical="center" wrapText="1"/>
    </xf>
    <xf numFmtId="0" fontId="47" fillId="3" borderId="10" xfId="0" applyFont="1" applyFill="1" applyBorder="1" applyAlignment="1">
      <alignment horizontal="center" vertical="center" wrapText="1"/>
    </xf>
    <xf numFmtId="168" fontId="47" fillId="3" borderId="10" xfId="0" applyNumberFormat="1" applyFont="1" applyFill="1" applyBorder="1" applyAlignment="1">
      <alignment horizontal="center" vertical="center" wrapText="1"/>
    </xf>
    <xf numFmtId="0" fontId="0" fillId="3" borderId="58" xfId="0" applyFill="1" applyBorder="1" applyAlignment="1">
      <alignment horizontal="center" vertical="center" wrapText="1"/>
    </xf>
    <xf numFmtId="3" fontId="0" fillId="3" borderId="10" xfId="0" applyNumberFormat="1" applyFill="1" applyBorder="1" applyAlignment="1">
      <alignment horizontal="center" vertical="center" wrapText="1"/>
    </xf>
    <xf numFmtId="164" fontId="43" fillId="0" borderId="0" xfId="1" applyFont="1" applyAlignment="1">
      <alignment horizontal="center" vertical="center" wrapText="1"/>
    </xf>
    <xf numFmtId="164" fontId="40" fillId="0" borderId="0" xfId="1" applyFont="1" applyAlignment="1">
      <alignment horizontal="center" vertical="center"/>
    </xf>
    <xf numFmtId="164" fontId="44" fillId="0" borderId="0" xfId="1" applyFont="1" applyAlignment="1">
      <alignment horizontal="center" vertical="center"/>
    </xf>
    <xf numFmtId="165" fontId="40" fillId="0" borderId="0" xfId="1" applyNumberFormat="1" applyFont="1" applyAlignment="1">
      <alignment horizontal="center" vertical="center" wrapText="1"/>
    </xf>
    <xf numFmtId="165" fontId="43" fillId="0" borderId="0" xfId="1" applyNumberFormat="1" applyFont="1" applyAlignment="1">
      <alignment horizontal="center" vertical="center" wrapText="1"/>
    </xf>
    <xf numFmtId="166" fontId="40" fillId="0" borderId="0" xfId="1" applyNumberFormat="1" applyFont="1" applyAlignment="1">
      <alignment horizontal="center" vertical="center" wrapText="1"/>
    </xf>
    <xf numFmtId="0" fontId="50" fillId="3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33" fillId="0" borderId="0" xfId="4" applyFont="1" applyAlignment="1">
      <alignment horizontal="center" vertical="center"/>
    </xf>
    <xf numFmtId="0" fontId="46" fillId="0" borderId="0" xfId="4" applyFont="1" applyAlignment="1">
      <alignment horizontal="left" vertical="center"/>
    </xf>
    <xf numFmtId="0" fontId="21" fillId="0" borderId="0" xfId="4" applyFont="1" applyAlignment="1">
      <alignment horizontal="left" vertical="center"/>
    </xf>
    <xf numFmtId="0" fontId="48" fillId="0" borderId="0" xfId="3" applyFont="1" applyAlignment="1">
      <alignment horizontal="center" vertical="center" wrapText="1"/>
    </xf>
    <xf numFmtId="0" fontId="36" fillId="3" borderId="0" xfId="3" applyFont="1" applyFill="1"/>
    <xf numFmtId="168" fontId="0" fillId="3" borderId="11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2" fontId="0" fillId="3" borderId="10" xfId="0" applyNumberFormat="1" applyFill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 wrapText="1"/>
    </xf>
    <xf numFmtId="164" fontId="41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2" fillId="2" borderId="1" xfId="2" applyNumberFormat="1" applyFont="1" applyFill="1" applyBorder="1" applyAlignment="1">
      <alignment horizontal="center" vertical="center"/>
    </xf>
    <xf numFmtId="1" fontId="2" fillId="2" borderId="7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59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3" fillId="4" borderId="0" xfId="3" applyFont="1" applyFill="1" applyAlignment="1">
      <alignment horizontal="center" vertical="center"/>
    </xf>
    <xf numFmtId="0" fontId="24" fillId="4" borderId="0" xfId="3" applyFont="1" applyFill="1" applyAlignment="1">
      <alignment horizontal="center" vertical="center"/>
    </xf>
    <xf numFmtId="0" fontId="2" fillId="2" borderId="24" xfId="4" applyFont="1" applyFill="1" applyBorder="1" applyAlignment="1">
      <alignment horizontal="center" vertical="center"/>
    </xf>
    <xf numFmtId="0" fontId="2" fillId="2" borderId="25" xfId="4" applyFont="1" applyFill="1" applyBorder="1" applyAlignment="1">
      <alignment horizontal="center" vertical="center"/>
    </xf>
    <xf numFmtId="0" fontId="2" fillId="2" borderId="36" xfId="4" applyFont="1" applyFill="1" applyBorder="1" applyAlignment="1">
      <alignment horizontal="center" vertical="center"/>
    </xf>
    <xf numFmtId="0" fontId="2" fillId="2" borderId="22" xfId="4" applyFont="1" applyFill="1" applyBorder="1" applyAlignment="1">
      <alignment horizontal="center" vertical="center"/>
    </xf>
    <xf numFmtId="0" fontId="20" fillId="0" borderId="24" xfId="4" applyFont="1" applyBorder="1" applyAlignment="1">
      <alignment horizontal="center" vertical="center"/>
    </xf>
    <xf numFmtId="0" fontId="20" fillId="0" borderId="25" xfId="4" applyFont="1" applyBorder="1" applyAlignment="1">
      <alignment horizontal="center" vertical="center"/>
    </xf>
    <xf numFmtId="0" fontId="20" fillId="0" borderId="26" xfId="4" applyFont="1" applyBorder="1" applyAlignment="1">
      <alignment horizontal="center" vertical="center"/>
    </xf>
    <xf numFmtId="0" fontId="21" fillId="0" borderId="24" xfId="4" applyFont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21" fillId="0" borderId="26" xfId="4" applyFont="1" applyBorder="1" applyAlignment="1">
      <alignment horizontal="center" vertical="center"/>
    </xf>
    <xf numFmtId="0" fontId="3" fillId="0" borderId="24" xfId="4" applyFont="1" applyBorder="1" applyAlignment="1">
      <alignment horizontal="center" vertical="center"/>
    </xf>
    <xf numFmtId="0" fontId="3" fillId="0" borderId="25" xfId="4" applyFont="1" applyBorder="1" applyAlignment="1">
      <alignment horizontal="center" vertical="center"/>
    </xf>
    <xf numFmtId="0" fontId="3" fillId="0" borderId="26" xfId="4" applyFont="1" applyBorder="1" applyAlignment="1">
      <alignment horizontal="center" vertical="center"/>
    </xf>
    <xf numFmtId="0" fontId="21" fillId="0" borderId="23" xfId="4" applyFont="1" applyBorder="1" applyAlignment="1">
      <alignment horizontal="center" vertical="center"/>
    </xf>
    <xf numFmtId="0" fontId="2" fillId="2" borderId="34" xfId="4" applyFont="1" applyFill="1" applyBorder="1" applyAlignment="1">
      <alignment horizontal="center" vertical="center" wrapText="1"/>
    </xf>
    <xf numFmtId="0" fontId="2" fillId="2" borderId="35" xfId="4" applyFont="1" applyFill="1" applyBorder="1" applyAlignment="1">
      <alignment horizontal="center" vertical="center" wrapText="1"/>
    </xf>
    <xf numFmtId="0" fontId="9" fillId="0" borderId="13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2" fillId="2" borderId="13" xfId="4" applyFont="1" applyFill="1" applyBorder="1" applyAlignment="1">
      <alignment horizontal="center" vertical="center" wrapText="1"/>
    </xf>
    <xf numFmtId="0" fontId="2" fillId="2" borderId="17" xfId="4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18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169" fontId="18" fillId="0" borderId="39" xfId="4" applyNumberFormat="1" applyFont="1" applyBorder="1" applyAlignment="1">
      <alignment horizontal="center" vertical="center" wrapText="1"/>
    </xf>
    <xf numFmtId="169" fontId="18" fillId="0" borderId="0" xfId="4" applyNumberFormat="1" applyFont="1" applyAlignment="1">
      <alignment horizontal="center" vertical="center" wrapText="1"/>
    </xf>
    <xf numFmtId="169" fontId="18" fillId="0" borderId="31" xfId="4" applyNumberFormat="1" applyFont="1" applyBorder="1" applyAlignment="1">
      <alignment horizontal="center" vertical="center" wrapText="1"/>
    </xf>
    <xf numFmtId="169" fontId="18" fillId="0" borderId="32" xfId="4" applyNumberFormat="1" applyFont="1" applyBorder="1" applyAlignment="1">
      <alignment horizontal="center" vertical="center" wrapText="1"/>
    </xf>
    <xf numFmtId="169" fontId="18" fillId="0" borderId="10" xfId="4" applyNumberFormat="1" applyFont="1" applyBorder="1" applyAlignment="1">
      <alignment horizontal="center" vertical="center" wrapText="1"/>
    </xf>
    <xf numFmtId="1" fontId="18" fillId="0" borderId="10" xfId="4" applyNumberFormat="1" applyFont="1" applyBorder="1" applyAlignment="1">
      <alignment horizontal="center" vertical="center" wrapText="1"/>
    </xf>
    <xf numFmtId="0" fontId="2" fillId="2" borderId="27" xfId="4" applyFont="1" applyFill="1" applyBorder="1" applyAlignment="1">
      <alignment horizontal="center" vertical="center" wrapText="1"/>
    </xf>
    <xf numFmtId="0" fontId="2" fillId="2" borderId="28" xfId="4" applyFont="1" applyFill="1" applyBorder="1" applyAlignment="1">
      <alignment horizontal="center" vertical="center" wrapText="1"/>
    </xf>
    <xf numFmtId="0" fontId="2" fillId="2" borderId="29" xfId="4" applyFont="1" applyFill="1" applyBorder="1" applyAlignment="1">
      <alignment horizontal="center" vertical="center" wrapText="1"/>
    </xf>
    <xf numFmtId="0" fontId="9" fillId="3" borderId="20" xfId="3" applyFont="1" applyFill="1" applyBorder="1" applyAlignment="1">
      <alignment horizontal="center" vertical="center"/>
    </xf>
    <xf numFmtId="0" fontId="15" fillId="4" borderId="0" xfId="3" applyFont="1" applyFill="1" applyAlignment="1">
      <alignment horizontal="center" vertical="center"/>
    </xf>
    <xf numFmtId="0" fontId="2" fillId="2" borderId="21" xfId="3" applyFont="1" applyFill="1" applyBorder="1" applyAlignment="1">
      <alignment horizontal="center" vertical="center"/>
    </xf>
    <xf numFmtId="0" fontId="2" fillId="2" borderId="22" xfId="3" applyFont="1" applyFill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16" fillId="0" borderId="23" xfId="4" applyFont="1" applyBorder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168" fontId="13" fillId="3" borderId="13" xfId="4" applyNumberFormat="1" applyFont="1" applyFill="1" applyBorder="1" applyAlignment="1">
      <alignment horizontal="center" vertical="center"/>
    </xf>
    <xf numFmtId="168" fontId="13" fillId="3" borderId="17" xfId="4" applyNumberFormat="1" applyFont="1" applyFill="1" applyBorder="1" applyAlignment="1">
      <alignment horizontal="center" vertical="center"/>
    </xf>
    <xf numFmtId="0" fontId="2" fillId="2" borderId="13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166" fontId="14" fillId="3" borderId="14" xfId="3" applyNumberFormat="1" applyFont="1" applyFill="1" applyBorder="1" applyAlignment="1">
      <alignment horizontal="center" vertical="center"/>
    </xf>
    <xf numFmtId="166" fontId="14" fillId="3" borderId="15" xfId="3" applyNumberFormat="1" applyFont="1" applyFill="1" applyBorder="1" applyAlignment="1">
      <alignment horizontal="center" vertical="center"/>
    </xf>
    <xf numFmtId="166" fontId="14" fillId="3" borderId="18" xfId="3" applyNumberFormat="1" applyFont="1" applyFill="1" applyBorder="1" applyAlignment="1">
      <alignment horizontal="center" vertical="center"/>
    </xf>
    <xf numFmtId="166" fontId="14" fillId="3" borderId="19" xfId="3" applyNumberFormat="1" applyFont="1" applyFill="1" applyBorder="1" applyAlignment="1">
      <alignment horizontal="center" vertical="center"/>
    </xf>
    <xf numFmtId="1" fontId="17" fillId="0" borderId="0" xfId="4" applyNumberFormat="1" applyFont="1" applyAlignment="1">
      <alignment horizontal="center" vertical="center" wrapText="1"/>
    </xf>
    <xf numFmtId="0" fontId="9" fillId="0" borderId="0" xfId="3" applyFont="1" applyAlignment="1">
      <alignment horizontal="center"/>
    </xf>
    <xf numFmtId="0" fontId="19" fillId="0" borderId="0" xfId="3" applyFont="1" applyAlignment="1">
      <alignment horizontal="center" vertical="center" wrapText="1"/>
    </xf>
    <xf numFmtId="1" fontId="17" fillId="0" borderId="10" xfId="4" applyNumberFormat="1" applyFont="1" applyBorder="1" applyAlignment="1">
      <alignment horizontal="center" vertical="center" wrapText="1"/>
    </xf>
    <xf numFmtId="1" fontId="17" fillId="0" borderId="37" xfId="4" applyNumberFormat="1" applyFont="1" applyBorder="1" applyAlignment="1">
      <alignment horizontal="center" vertical="center" wrapText="1"/>
    </xf>
    <xf numFmtId="1" fontId="17" fillId="0" borderId="48" xfId="4" applyNumberFormat="1" applyFont="1" applyBorder="1" applyAlignment="1">
      <alignment horizontal="center" vertical="center" wrapText="1"/>
    </xf>
    <xf numFmtId="1" fontId="18" fillId="0" borderId="9" xfId="4" applyNumberFormat="1" applyFont="1" applyBorder="1" applyAlignment="1">
      <alignment horizontal="center" vertical="center" wrapText="1"/>
    </xf>
    <xf numFmtId="1" fontId="18" fillId="0" borderId="11" xfId="4" applyNumberFormat="1" applyFont="1" applyBorder="1" applyAlignment="1">
      <alignment horizontal="center" vertical="center" wrapText="1"/>
    </xf>
    <xf numFmtId="1" fontId="18" fillId="0" borderId="38" xfId="4" applyNumberFormat="1" applyFont="1" applyBorder="1" applyAlignment="1">
      <alignment horizontal="center" vertical="center" wrapText="1"/>
    </xf>
    <xf numFmtId="1" fontId="18" fillId="0" borderId="49" xfId="4" applyNumberFormat="1" applyFont="1" applyBorder="1" applyAlignment="1">
      <alignment horizontal="center" vertical="center" wrapText="1"/>
    </xf>
    <xf numFmtId="1" fontId="18" fillId="0" borderId="50" xfId="4" applyNumberFormat="1" applyFont="1" applyBorder="1" applyAlignment="1">
      <alignment horizontal="center" vertical="center" wrapText="1"/>
    </xf>
    <xf numFmtId="1" fontId="18" fillId="0" borderId="37" xfId="4" applyNumberFormat="1" applyFont="1" applyBorder="1" applyAlignment="1">
      <alignment horizontal="center" vertical="center" wrapText="1"/>
    </xf>
    <xf numFmtId="1" fontId="18" fillId="0" borderId="48" xfId="4" applyNumberFormat="1" applyFont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/>
    </xf>
    <xf numFmtId="0" fontId="16" fillId="0" borderId="25" xfId="4" applyFont="1" applyBorder="1" applyAlignment="1">
      <alignment horizontal="center" vertical="center"/>
    </xf>
    <xf numFmtId="0" fontId="16" fillId="0" borderId="26" xfId="4" applyFont="1" applyBorder="1" applyAlignment="1">
      <alignment horizontal="center" vertical="center"/>
    </xf>
    <xf numFmtId="166" fontId="30" fillId="0" borderId="14" xfId="3" applyNumberFormat="1" applyFont="1" applyBorder="1" applyAlignment="1">
      <alignment horizontal="center" vertical="center"/>
    </xf>
    <xf numFmtId="166" fontId="30" fillId="0" borderId="15" xfId="3" applyNumberFormat="1" applyFont="1" applyBorder="1" applyAlignment="1">
      <alignment horizontal="center" vertical="center"/>
    </xf>
    <xf numFmtId="166" fontId="30" fillId="0" borderId="18" xfId="3" applyNumberFormat="1" applyFont="1" applyBorder="1" applyAlignment="1">
      <alignment horizontal="center" vertical="center"/>
    </xf>
    <xf numFmtId="166" fontId="30" fillId="0" borderId="19" xfId="3" applyNumberFormat="1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1" fontId="18" fillId="0" borderId="57" xfId="4" applyNumberFormat="1" applyFont="1" applyBorder="1" applyAlignment="1">
      <alignment horizontal="center" vertical="center" wrapText="1"/>
    </xf>
    <xf numFmtId="166" fontId="14" fillId="0" borderId="14" xfId="3" applyNumberFormat="1" applyFont="1" applyBorder="1" applyAlignment="1">
      <alignment horizontal="center" vertical="center"/>
    </xf>
    <xf numFmtId="166" fontId="14" fillId="0" borderId="15" xfId="3" applyNumberFormat="1" applyFont="1" applyBorder="1" applyAlignment="1">
      <alignment horizontal="center" vertical="center"/>
    </xf>
    <xf numFmtId="166" fontId="14" fillId="0" borderId="18" xfId="3" applyNumberFormat="1" applyFont="1" applyBorder="1" applyAlignment="1">
      <alignment horizontal="center" vertical="center"/>
    </xf>
    <xf numFmtId="166" fontId="14" fillId="0" borderId="19" xfId="3" applyNumberFormat="1" applyFont="1" applyBorder="1" applyAlignment="1">
      <alignment horizontal="center" vertical="center"/>
    </xf>
    <xf numFmtId="1" fontId="53" fillId="0" borderId="10" xfId="4" applyNumberFormat="1" applyFont="1" applyBorder="1" applyAlignment="1">
      <alignment horizontal="center" vertical="center" wrapText="1"/>
    </xf>
    <xf numFmtId="0" fontId="51" fillId="0" borderId="24" xfId="4" applyFont="1" applyBorder="1" applyAlignment="1">
      <alignment horizontal="center" vertical="center"/>
    </xf>
    <xf numFmtId="0" fontId="51" fillId="0" borderId="25" xfId="4" applyFont="1" applyBorder="1" applyAlignment="1">
      <alignment horizontal="center" vertical="center"/>
    </xf>
    <xf numFmtId="0" fontId="51" fillId="0" borderId="26" xfId="4" applyFont="1" applyBorder="1" applyAlignment="1">
      <alignment horizontal="center" vertical="center"/>
    </xf>
    <xf numFmtId="0" fontId="8" fillId="2" borderId="24" xfId="4" applyFont="1" applyFill="1" applyBorder="1" applyAlignment="1">
      <alignment horizontal="center" vertical="center"/>
    </xf>
    <xf numFmtId="0" fontId="8" fillId="2" borderId="25" xfId="4" applyFont="1" applyFill="1" applyBorder="1" applyAlignment="1">
      <alignment horizontal="center" vertical="center"/>
    </xf>
    <xf numFmtId="0" fontId="8" fillId="2" borderId="36" xfId="4" applyFont="1" applyFill="1" applyBorder="1" applyAlignment="1">
      <alignment horizontal="center" vertical="center"/>
    </xf>
    <xf numFmtId="0" fontId="8" fillId="2" borderId="22" xfId="4" applyFont="1" applyFill="1" applyBorder="1" applyAlignment="1">
      <alignment horizontal="center" vertical="center"/>
    </xf>
    <xf numFmtId="0" fontId="46" fillId="0" borderId="23" xfId="4" applyFont="1" applyBorder="1" applyAlignment="1">
      <alignment horizontal="left" vertical="center"/>
    </xf>
    <xf numFmtId="0" fontId="21" fillId="0" borderId="23" xfId="4" applyFont="1" applyBorder="1" applyAlignment="1">
      <alignment horizontal="left" vertical="center"/>
    </xf>
    <xf numFmtId="0" fontId="46" fillId="0" borderId="24" xfId="4" applyFont="1" applyBorder="1" applyAlignment="1">
      <alignment horizontal="left" vertical="center"/>
    </xf>
    <xf numFmtId="0" fontId="46" fillId="0" borderId="25" xfId="4" applyFont="1" applyBorder="1" applyAlignment="1">
      <alignment horizontal="left" vertical="center"/>
    </xf>
    <xf numFmtId="0" fontId="46" fillId="0" borderId="26" xfId="4" applyFont="1" applyBorder="1" applyAlignment="1">
      <alignment horizontal="left" vertical="center"/>
    </xf>
    <xf numFmtId="0" fontId="49" fillId="0" borderId="13" xfId="3" applyFont="1" applyBorder="1" applyAlignment="1">
      <alignment horizontal="center" vertical="center"/>
    </xf>
    <xf numFmtId="0" fontId="49" fillId="0" borderId="17" xfId="3" applyFont="1" applyBorder="1" applyAlignment="1">
      <alignment horizontal="center" vertical="center"/>
    </xf>
    <xf numFmtId="0" fontId="48" fillId="0" borderId="14" xfId="3" applyFont="1" applyBorder="1" applyAlignment="1">
      <alignment horizontal="center" vertical="center" wrapText="1"/>
    </xf>
    <xf numFmtId="0" fontId="48" fillId="0" borderId="15" xfId="3" applyFont="1" applyBorder="1" applyAlignment="1">
      <alignment horizontal="center" vertical="center" wrapText="1"/>
    </xf>
    <xf numFmtId="0" fontId="48" fillId="0" borderId="18" xfId="3" applyFont="1" applyBorder="1" applyAlignment="1">
      <alignment horizontal="center" vertical="center" wrapText="1"/>
    </xf>
    <xf numFmtId="0" fontId="48" fillId="0" borderId="19" xfId="3" applyFont="1" applyBorder="1" applyAlignment="1">
      <alignment horizontal="center" vertical="center" wrapText="1"/>
    </xf>
    <xf numFmtId="0" fontId="18" fillId="0" borderId="23" xfId="4" applyFont="1" applyBorder="1" applyAlignment="1">
      <alignment horizontal="center" vertical="center"/>
    </xf>
    <xf numFmtId="0" fontId="52" fillId="0" borderId="27" xfId="4" applyFont="1" applyBorder="1" applyAlignment="1">
      <alignment horizontal="center" vertical="center"/>
    </xf>
    <xf numFmtId="0" fontId="52" fillId="0" borderId="20" xfId="4" applyFont="1" applyBorder="1" applyAlignment="1">
      <alignment horizontal="center" vertical="center"/>
    </xf>
    <xf numFmtId="0" fontId="52" fillId="0" borderId="53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52" fillId="0" borderId="32" xfId="4" applyFont="1" applyBorder="1" applyAlignment="1">
      <alignment horizontal="center" vertical="center"/>
    </xf>
    <xf numFmtId="0" fontId="52" fillId="0" borderId="33" xfId="4" applyFont="1" applyBorder="1" applyAlignment="1">
      <alignment horizontal="center" vertical="center"/>
    </xf>
    <xf numFmtId="0" fontId="33" fillId="0" borderId="24" xfId="4" applyFont="1" applyBorder="1" applyAlignment="1">
      <alignment horizontal="center" vertical="center"/>
    </xf>
    <xf numFmtId="0" fontId="33" fillId="0" borderId="25" xfId="4" applyFont="1" applyBorder="1" applyAlignment="1">
      <alignment horizontal="center" vertical="center"/>
    </xf>
    <xf numFmtId="0" fontId="33" fillId="0" borderId="26" xfId="4" applyFont="1" applyBorder="1" applyAlignment="1">
      <alignment horizontal="center" vertical="center"/>
    </xf>
    <xf numFmtId="0" fontId="2" fillId="2" borderId="54" xfId="4" applyFont="1" applyFill="1" applyBorder="1" applyAlignment="1">
      <alignment horizontal="center" vertical="center" wrapText="1"/>
    </xf>
    <xf numFmtId="0" fontId="2" fillId="2" borderId="55" xfId="4" applyFont="1" applyFill="1" applyBorder="1" applyAlignment="1">
      <alignment horizontal="center" vertical="center" wrapText="1"/>
    </xf>
    <xf numFmtId="0" fontId="51" fillId="0" borderId="0" xfId="4" applyFont="1" applyAlignment="1">
      <alignment horizontal="center" vertical="center"/>
    </xf>
    <xf numFmtId="0" fontId="18" fillId="0" borderId="24" xfId="4" applyFont="1" applyBorder="1" applyAlignment="1">
      <alignment horizontal="center" vertical="center"/>
    </xf>
    <xf numFmtId="0" fontId="18" fillId="0" borderId="25" xfId="4" applyFont="1" applyBorder="1" applyAlignment="1">
      <alignment horizontal="center" vertical="center"/>
    </xf>
    <xf numFmtId="0" fontId="18" fillId="0" borderId="26" xfId="4" applyFont="1" applyBorder="1" applyAlignment="1">
      <alignment horizontal="center" vertical="center"/>
    </xf>
    <xf numFmtId="0" fontId="0" fillId="0" borderId="0" xfId="0"/>
    <xf numFmtId="0" fontId="0" fillId="3" borderId="37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169" fontId="18" fillId="0" borderId="37" xfId="4" applyNumberFormat="1" applyFont="1" applyBorder="1" applyAlignment="1">
      <alignment horizontal="center" vertical="center" wrapText="1"/>
    </xf>
    <xf numFmtId="169" fontId="18" fillId="0" borderId="48" xfId="4" applyNumberFormat="1" applyFont="1" applyBorder="1" applyAlignment="1">
      <alignment horizontal="center" vertical="center" wrapText="1"/>
    </xf>
    <xf numFmtId="1" fontId="0" fillId="3" borderId="52" xfId="0" applyNumberFormat="1" applyFill="1" applyBorder="1" applyAlignment="1">
      <alignment horizontal="center" vertical="center" wrapText="1"/>
    </xf>
    <xf numFmtId="1" fontId="17" fillId="3" borderId="52" xfId="0" applyNumberFormat="1" applyFont="1" applyFill="1" applyBorder="1" applyAlignment="1">
      <alignment horizontal="center" vertical="center" wrapText="1"/>
    </xf>
    <xf numFmtId="0" fontId="17" fillId="3" borderId="48" xfId="0" applyFont="1" applyFill="1" applyBorder="1" applyAlignment="1">
      <alignment horizontal="center" vertical="center" wrapText="1"/>
    </xf>
    <xf numFmtId="169" fontId="18" fillId="0" borderId="56" xfId="4" applyNumberFormat="1" applyFont="1" applyBorder="1" applyAlignment="1">
      <alignment horizontal="center" vertical="center" wrapText="1"/>
    </xf>
    <xf numFmtId="169" fontId="18" fillId="0" borderId="51" xfId="4" applyNumberFormat="1" applyFont="1" applyBorder="1" applyAlignment="1">
      <alignment horizontal="center" vertical="center" wrapText="1"/>
    </xf>
    <xf numFmtId="0" fontId="9" fillId="0" borderId="13" xfId="3" applyFont="1" applyBorder="1" applyAlignment="1">
      <alignment horizontal="center" vertical="center" wrapText="1"/>
    </xf>
    <xf numFmtId="0" fontId="9" fillId="0" borderId="1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29" fillId="6" borderId="42" xfId="5" applyFont="1" applyFill="1" applyBorder="1" applyAlignment="1">
      <alignment horizontal="center" vertical="center"/>
    </xf>
    <xf numFmtId="0" fontId="29" fillId="6" borderId="43" xfId="5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</cellXfs>
  <cellStyles count="6">
    <cellStyle name="Excel Built-in Normal" xfId="1" xr:uid="{D0208EEC-585C-4488-AB7F-49E79695A58F}"/>
    <cellStyle name="Normal" xfId="0" builtinId="0"/>
    <cellStyle name="Normal 2" xfId="2" xr:uid="{75A86B13-40C6-41FD-AC4D-98CD0A77DC1D}"/>
    <cellStyle name="Normal 3" xfId="5" xr:uid="{E50D7F8D-14D2-46BB-B3E0-87FD4342DE36}"/>
    <cellStyle name="Normal 4 2" xfId="4" xr:uid="{34D861D8-40B2-4967-8DAC-5CF2E4388EFB}"/>
    <cellStyle name="Normal 5" xfId="3" xr:uid="{0FF40A8F-8CF8-4C42-A1A3-F38EFD4B2623}"/>
  </cellStyles>
  <dxfs count="6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rgb="FF800080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00000"/>
      </font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BFA1C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9999"/>
      <color rgb="FF009180"/>
      <color rgb="FFCC0000"/>
      <color rgb="FFFF5050"/>
      <color rgb="FFFD4031"/>
      <color rgb="FFD00000"/>
      <color rgb="FF45E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515246</xdr:colOff>
      <xdr:row>4</xdr:row>
      <xdr:rowOff>31938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BF4F0A-7952-4F81-AB54-BA45B26A070F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19051"/>
          <a:ext cx="1801121" cy="955862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49</xdr:row>
      <xdr:rowOff>19051</xdr:rowOff>
    </xdr:from>
    <xdr:ext cx="1801121" cy="955862"/>
    <xdr:pic>
      <xdr:nvPicPr>
        <xdr:cNvPr id="4" name="Imagen 3">
          <a:extLst>
            <a:ext uri="{FF2B5EF4-FFF2-40B4-BE49-F238E27FC236}">
              <a16:creationId xmlns:a16="http://schemas.microsoft.com/office/drawing/2014/main" id="{32264720-2E0E-4A10-8B6A-83326DCB8E8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8353426"/>
          <a:ext cx="1801121" cy="955862"/>
        </a:xfrm>
        <a:prstGeom prst="rect">
          <a:avLst/>
        </a:prstGeom>
        <a:noFill/>
      </xdr:spPr>
    </xdr:pic>
    <xdr:clientData/>
  </xdr:oneCellAnchor>
  <xdr:twoCellAnchor editAs="oneCell">
    <xdr:from>
      <xdr:col>3</xdr:col>
      <xdr:colOff>1047752</xdr:colOff>
      <xdr:row>40</xdr:row>
      <xdr:rowOff>40504</xdr:rowOff>
    </xdr:from>
    <xdr:to>
      <xdr:col>4</xdr:col>
      <xdr:colOff>775609</xdr:colOff>
      <xdr:row>40</xdr:row>
      <xdr:rowOff>392550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805813-6BBE-4C5A-0DC2-A8C09BEFC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12" t="21803" r="10039" b="10286"/>
        <a:stretch/>
      </xdr:blipFill>
      <xdr:spPr>
        <a:xfrm>
          <a:off x="3510645" y="6272575"/>
          <a:ext cx="1211035" cy="352046"/>
        </a:xfrm>
        <a:prstGeom prst="rect">
          <a:avLst/>
        </a:prstGeom>
      </xdr:spPr>
    </xdr:pic>
    <xdr:clientData/>
  </xdr:twoCellAnchor>
  <xdr:twoCellAnchor editAs="oneCell">
    <xdr:from>
      <xdr:col>15</xdr:col>
      <xdr:colOff>557892</xdr:colOff>
      <xdr:row>43</xdr:row>
      <xdr:rowOff>122464</xdr:rowOff>
    </xdr:from>
    <xdr:to>
      <xdr:col>22</xdr:col>
      <xdr:colOff>145597</xdr:colOff>
      <xdr:row>45</xdr:row>
      <xdr:rowOff>50346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FC676A7-4D49-DDBF-1882-54C10D6E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9035" y="7130143"/>
          <a:ext cx="5547633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721179</xdr:colOff>
      <xdr:row>89</xdr:row>
      <xdr:rowOff>68036</xdr:rowOff>
    </xdr:from>
    <xdr:ext cx="5547633" cy="295275"/>
    <xdr:pic>
      <xdr:nvPicPr>
        <xdr:cNvPr id="9" name="Imagen 8">
          <a:extLst>
            <a:ext uri="{FF2B5EF4-FFF2-40B4-BE49-F238E27FC236}">
              <a16:creationId xmlns:a16="http://schemas.microsoft.com/office/drawing/2014/main" id="{484C0480-5D96-49FB-9837-75FE874DB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0" y="14015357"/>
          <a:ext cx="5547633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1061356</xdr:colOff>
      <xdr:row>90</xdr:row>
      <xdr:rowOff>40822</xdr:rowOff>
    </xdr:from>
    <xdr:to>
      <xdr:col>4</xdr:col>
      <xdr:colOff>789213</xdr:colOff>
      <xdr:row>90</xdr:row>
      <xdr:rowOff>392868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EF5B387-29E5-40B3-8257-D80561C9D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12" t="21803" r="10039" b="10286"/>
        <a:stretch/>
      </xdr:blipFill>
      <xdr:spPr>
        <a:xfrm>
          <a:off x="3524249" y="14355536"/>
          <a:ext cx="1211035" cy="352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174056</xdr:colOff>
      <xdr:row>4</xdr:row>
      <xdr:rowOff>51954</xdr:rowOff>
    </xdr:from>
    <xdr:ext cx="1790374" cy="909204"/>
    <xdr:pic>
      <xdr:nvPicPr>
        <xdr:cNvPr id="2" name="Imagen 2">
          <a:extLst>
            <a:ext uri="{FF2B5EF4-FFF2-40B4-BE49-F238E27FC236}">
              <a16:creationId xmlns:a16="http://schemas.microsoft.com/office/drawing/2014/main" id="{A0EFEF74-C8D9-4DDB-A19A-9A652CC6032E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8124" y="51954"/>
          <a:ext cx="1790374" cy="90920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515246</xdr:colOff>
      <xdr:row>4</xdr:row>
      <xdr:rowOff>35113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8F07EE-3B77-4A0A-B2C3-AB3C3FB48EFD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19051"/>
          <a:ext cx="1801121" cy="952687"/>
        </a:xfrm>
        <a:prstGeom prst="rect">
          <a:avLst/>
        </a:prstGeom>
        <a:noFill/>
      </xdr:spPr>
    </xdr:pic>
    <xdr:clientData/>
  </xdr:twoCellAnchor>
  <xdr:oneCellAnchor>
    <xdr:from>
      <xdr:col>0</xdr:col>
      <xdr:colOff>136073</xdr:colOff>
      <xdr:row>44</xdr:row>
      <xdr:rowOff>68036</xdr:rowOff>
    </xdr:from>
    <xdr:ext cx="1768928" cy="1020536"/>
    <xdr:pic>
      <xdr:nvPicPr>
        <xdr:cNvPr id="3" name="Imagen 2">
          <a:extLst>
            <a:ext uri="{FF2B5EF4-FFF2-40B4-BE49-F238E27FC236}">
              <a16:creationId xmlns:a16="http://schemas.microsoft.com/office/drawing/2014/main" id="{7639034D-59F8-40F5-B6F3-1D40B2E95533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136073" y="12545786"/>
          <a:ext cx="1768928" cy="1020536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515246</xdr:colOff>
      <xdr:row>4</xdr:row>
      <xdr:rowOff>25588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786FB-C740-445D-8504-E47BBC2EB719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19051"/>
          <a:ext cx="1801121" cy="949512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54</xdr:row>
      <xdr:rowOff>19051</xdr:rowOff>
    </xdr:from>
    <xdr:ext cx="1801121" cy="955862"/>
    <xdr:pic>
      <xdr:nvPicPr>
        <xdr:cNvPr id="3" name="Imagen 2">
          <a:extLst>
            <a:ext uri="{FF2B5EF4-FFF2-40B4-BE49-F238E27FC236}">
              <a16:creationId xmlns:a16="http://schemas.microsoft.com/office/drawing/2014/main" id="{49296CB7-55C9-4333-9FAA-BA0E440F231B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18278476"/>
          <a:ext cx="1801121" cy="955862"/>
        </a:xfrm>
        <a:prstGeom prst="rect">
          <a:avLst/>
        </a:prstGeom>
        <a:noFill/>
      </xdr:spPr>
    </xdr:pic>
    <xdr:clientData/>
  </xdr:oneCellAnchor>
  <xdr:oneCellAnchor>
    <xdr:from>
      <xdr:col>3</xdr:col>
      <xdr:colOff>1047749</xdr:colOff>
      <xdr:row>49</xdr:row>
      <xdr:rowOff>40822</xdr:rowOff>
    </xdr:from>
    <xdr:ext cx="1204685" cy="352046"/>
    <xdr:pic>
      <xdr:nvPicPr>
        <xdr:cNvPr id="4" name="Imagen 5">
          <a:extLst>
            <a:ext uri="{FF2B5EF4-FFF2-40B4-BE49-F238E27FC236}">
              <a16:creationId xmlns:a16="http://schemas.microsoft.com/office/drawing/2014/main" id="{1EFF31F0-3238-4542-88F0-E3220649A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12" t="21803" r="10039" b="10286"/>
        <a:stretch/>
      </xdr:blipFill>
      <xdr:spPr>
        <a:xfrm>
          <a:off x="3514724" y="17157247"/>
          <a:ext cx="1204685" cy="352046"/>
        </a:xfrm>
        <a:prstGeom prst="rect">
          <a:avLst/>
        </a:prstGeom>
      </xdr:spPr>
    </xdr:pic>
    <xdr:clientData/>
  </xdr:oneCellAnchor>
  <xdr:oneCellAnchor>
    <xdr:from>
      <xdr:col>3</xdr:col>
      <xdr:colOff>1047750</xdr:colOff>
      <xdr:row>99</xdr:row>
      <xdr:rowOff>40821</xdr:rowOff>
    </xdr:from>
    <xdr:ext cx="1204685" cy="330653"/>
    <xdr:pic>
      <xdr:nvPicPr>
        <xdr:cNvPr id="5" name="Imagen 6">
          <a:extLst>
            <a:ext uri="{FF2B5EF4-FFF2-40B4-BE49-F238E27FC236}">
              <a16:creationId xmlns:a16="http://schemas.microsoft.com/office/drawing/2014/main" id="{C71F1DEC-4105-4B89-BD22-E82BCAAAB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12" t="21803" r="10039" b="10286"/>
        <a:stretch/>
      </xdr:blipFill>
      <xdr:spPr>
        <a:xfrm>
          <a:off x="3514725" y="32206746"/>
          <a:ext cx="1204685" cy="3306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insp.sharepoint.com/sites/TodoNYCE/nycecolombia/Laboratorio/T&#233;cnico/7.8%20INFORMES%20DE%20ENSAYO/2025/1301-1400/1319/F1T09-07%20LENC%20-%2025%20-%20I%201319.xlsm" TargetMode="External"/><Relationship Id="rId1" Type="http://schemas.openxmlformats.org/officeDocument/2006/relationships/externalLinkPath" Target="https://ainsp.sharepoint.com/sites/TodoNYCE/nycecolombia/Laboratorio/T&#233;cnico/7.8%20INFORMES%20DE%20ENSAYO/2025/1301-1400/1319/F1T09-07%20LENC%20-%2025%20-%20I%201319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insp.sharepoint.com/sites/TodoNYCE/nycecolombia/HSQ%20Interno/Muestras%20en%20custodia/F3T09-03%20Control%20de%20muestras_2024_2025.xlsx" TargetMode="External"/><Relationship Id="rId1" Type="http://schemas.openxmlformats.org/officeDocument/2006/relationships/externalLinkPath" Target="https://ainsp.sharepoint.com/sites/TodoNYCE/nycecolombia/HSQ%20Interno/Muestras%20en%20custodia/F3T09-03%20Control%20de%20muestras_2024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lnAfsq2rEGRdZ9BiO3I5yjQ2yf0IYtIpxKAvrZTWjoeIPsowqcIRayJoIT69BDZ" itemId="01WJB24VSWZ2XGKEB3TNBKVCXJ6S7RHELT">
      <xxl21:absoluteUrl r:id="rId2"/>
    </xxl21:alternateUrls>
    <sheetNames>
      <sheetName val="Portada"/>
      <sheetName val="R1_1"/>
      <sheetName val="R1_2"/>
      <sheetName val="R1_1 (2)"/>
      <sheetName val="R1_3"/>
      <sheetName val="A Flamabilidad"/>
      <sheetName val="R1_1 (3)"/>
      <sheetName val="R1_3 (2)"/>
      <sheetName val="A1"/>
      <sheetName val="A2"/>
      <sheetName val="A3"/>
      <sheetName val="Des"/>
      <sheetName val="Busqueda Equipos"/>
      <sheetName val="COPIA_BDD_EQUIPOS"/>
      <sheetName val="COPIA_BDD_ENSAYOS"/>
      <sheetName val="Resultados"/>
      <sheetName val="COPIA_BDD_CLIENTES"/>
    </sheetNames>
    <sheetDataSet>
      <sheetData sheetId="0">
        <row r="44">
          <cell r="J4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lnAfsq2rEGRdZ9BiO3I5yjQ2yf0IYtIpxKAvrZTWjp9bObqZHk8QJhUKmWL94Ub" itemId="01WJB24VQWZLMSYHOONJF3SQESN5ITER4H">
      <xxl21:absoluteUrl r:id="rId2"/>
    </xxl21:alternateUrls>
    <sheetNames>
      <sheetName val="CONTROL_MUESTRAS_2024"/>
      <sheetName val="REMISIÓN 2024"/>
      <sheetName val="CONTROL_MUESTRAS_2025"/>
      <sheetName val="Hoja2"/>
      <sheetName val="Hoja1"/>
      <sheetName val="REMISIÓN 2025"/>
      <sheetName val="REMISIÓN 2025 (2)"/>
      <sheetName val="Acta_Destrucción 2024"/>
      <sheetName val="DATOS"/>
    </sheetNames>
    <sheetDataSet>
      <sheetData sheetId="0"/>
      <sheetData sheetId="1"/>
      <sheetData sheetId="2">
        <row r="1">
          <cell r="A1"/>
          <cell r="I1"/>
        </row>
        <row r="2">
          <cell r="A2"/>
          <cell r="I2"/>
        </row>
        <row r="3">
          <cell r="A3"/>
          <cell r="I3"/>
        </row>
        <row r="4">
          <cell r="A4"/>
          <cell r="I4"/>
        </row>
        <row r="5">
          <cell r="A5" t="str">
            <v>ÍTEM</v>
          </cell>
          <cell r="I5"/>
        </row>
        <row r="6">
          <cell r="A6"/>
          <cell r="I6" t="str">
            <v>INFORME</v>
          </cell>
        </row>
        <row r="7">
          <cell r="A7" t="str">
            <v>ÍTEM</v>
          </cell>
          <cell r="I7" t="str">
            <v>CONSECUTIVO</v>
          </cell>
        </row>
        <row r="8">
          <cell r="A8">
            <v>1</v>
          </cell>
          <cell r="I8" t="str">
            <v>I 0009</v>
          </cell>
        </row>
        <row r="9">
          <cell r="A9">
            <v>2</v>
          </cell>
          <cell r="I9" t="str">
            <v>I 0004</v>
          </cell>
        </row>
        <row r="10">
          <cell r="A10">
            <v>3</v>
          </cell>
          <cell r="I10" t="str">
            <v>I 0004</v>
          </cell>
        </row>
        <row r="11">
          <cell r="A11">
            <v>4</v>
          </cell>
          <cell r="I11" t="str">
            <v>I 0006</v>
          </cell>
        </row>
        <row r="12">
          <cell r="A12">
            <v>5</v>
          </cell>
          <cell r="I12" t="str">
            <v>I 0006</v>
          </cell>
        </row>
        <row r="13">
          <cell r="A13">
            <v>6</v>
          </cell>
          <cell r="I13" t="str">
            <v>I 0006</v>
          </cell>
        </row>
        <row r="14">
          <cell r="A14">
            <v>7</v>
          </cell>
          <cell r="I14" t="str">
            <v>I 0003</v>
          </cell>
        </row>
        <row r="15">
          <cell r="A15">
            <v>8</v>
          </cell>
          <cell r="I15" t="str">
            <v>I 0005</v>
          </cell>
        </row>
        <row r="16">
          <cell r="A16">
            <v>9</v>
          </cell>
          <cell r="I16" t="str">
            <v>I 0062</v>
          </cell>
        </row>
        <row r="17">
          <cell r="A17">
            <v>10</v>
          </cell>
          <cell r="I17" t="str">
            <v>I 0062</v>
          </cell>
        </row>
        <row r="18">
          <cell r="A18">
            <v>11</v>
          </cell>
          <cell r="I18" t="str">
            <v>I 0008</v>
          </cell>
        </row>
        <row r="19">
          <cell r="A19">
            <v>12</v>
          </cell>
          <cell r="I19" t="str">
            <v>I 0024 / 0023 / 0035</v>
          </cell>
        </row>
        <row r="20">
          <cell r="A20">
            <v>13</v>
          </cell>
          <cell r="I20" t="str">
            <v>I 0027</v>
          </cell>
        </row>
        <row r="21">
          <cell r="A21">
            <v>14</v>
          </cell>
          <cell r="I21" t="str">
            <v>I 0027</v>
          </cell>
        </row>
        <row r="22">
          <cell r="A22">
            <v>15</v>
          </cell>
          <cell r="I22" t="str">
            <v>I 0027</v>
          </cell>
        </row>
        <row r="23">
          <cell r="A23">
            <v>16</v>
          </cell>
          <cell r="I23" t="str">
            <v>N/E</v>
          </cell>
        </row>
        <row r="24">
          <cell r="A24">
            <v>17</v>
          </cell>
          <cell r="I24" t="str">
            <v>I 0012</v>
          </cell>
        </row>
        <row r="25">
          <cell r="A25">
            <v>18</v>
          </cell>
          <cell r="I25" t="str">
            <v>I 0012</v>
          </cell>
        </row>
        <row r="26">
          <cell r="A26">
            <v>19</v>
          </cell>
          <cell r="I26" t="str">
            <v>I 0022</v>
          </cell>
        </row>
        <row r="27">
          <cell r="A27">
            <v>20</v>
          </cell>
          <cell r="I27" t="str">
            <v>I 0017</v>
          </cell>
        </row>
        <row r="28">
          <cell r="A28">
            <v>21</v>
          </cell>
          <cell r="I28" t="str">
            <v>I 0018</v>
          </cell>
        </row>
        <row r="29">
          <cell r="A29">
            <v>22</v>
          </cell>
          <cell r="I29" t="str">
            <v>I 0025</v>
          </cell>
        </row>
        <row r="30">
          <cell r="A30">
            <v>23</v>
          </cell>
          <cell r="I30" t="str">
            <v>I 0032</v>
          </cell>
        </row>
        <row r="31">
          <cell r="A31">
            <v>24</v>
          </cell>
          <cell r="I31" t="str">
            <v>I 0036 / 0037</v>
          </cell>
        </row>
        <row r="32">
          <cell r="A32">
            <v>25</v>
          </cell>
          <cell r="I32" t="str">
            <v>I 0026</v>
          </cell>
        </row>
        <row r="33">
          <cell r="A33">
            <v>26</v>
          </cell>
          <cell r="I33" t="str">
            <v>I 0040 / 0041</v>
          </cell>
        </row>
        <row r="34">
          <cell r="A34">
            <v>27</v>
          </cell>
          <cell r="I34" t="str">
            <v>I 0047</v>
          </cell>
        </row>
        <row r="35">
          <cell r="A35">
            <v>28</v>
          </cell>
          <cell r="I35" t="str">
            <v>I 0046</v>
          </cell>
        </row>
        <row r="36">
          <cell r="A36">
            <v>29</v>
          </cell>
          <cell r="I36" t="str">
            <v>I 0045</v>
          </cell>
        </row>
        <row r="37">
          <cell r="A37">
            <v>30</v>
          </cell>
          <cell r="I37" t="str">
            <v>I 0061</v>
          </cell>
        </row>
        <row r="38">
          <cell r="A38">
            <v>31</v>
          </cell>
          <cell r="I38" t="str">
            <v>I 0061</v>
          </cell>
        </row>
        <row r="39">
          <cell r="A39">
            <v>32</v>
          </cell>
          <cell r="I39" t="str">
            <v>I 0049</v>
          </cell>
        </row>
        <row r="40">
          <cell r="A40">
            <v>33</v>
          </cell>
          <cell r="I40" t="str">
            <v>I 0049</v>
          </cell>
        </row>
        <row r="41">
          <cell r="A41">
            <v>34</v>
          </cell>
          <cell r="I41" t="str">
            <v>I 1185</v>
          </cell>
        </row>
        <row r="42">
          <cell r="A42">
            <v>35</v>
          </cell>
          <cell r="I42" t="str">
            <v>I 1185</v>
          </cell>
        </row>
        <row r="43">
          <cell r="A43">
            <v>36</v>
          </cell>
          <cell r="I43" t="str">
            <v>I 1185</v>
          </cell>
        </row>
        <row r="44">
          <cell r="A44">
            <v>37</v>
          </cell>
          <cell r="I44" t="str">
            <v>I 1185</v>
          </cell>
        </row>
        <row r="45">
          <cell r="A45">
            <v>38</v>
          </cell>
          <cell r="I45" t="str">
            <v>N/E</v>
          </cell>
        </row>
        <row r="46">
          <cell r="A46">
            <v>39</v>
          </cell>
          <cell r="I46" t="str">
            <v>I 0063</v>
          </cell>
        </row>
        <row r="47">
          <cell r="A47">
            <v>40</v>
          </cell>
          <cell r="I47" t="str">
            <v>I 0011 / 1190</v>
          </cell>
        </row>
        <row r="48">
          <cell r="A48">
            <v>41</v>
          </cell>
          <cell r="I48" t="str">
            <v>I 0065 - 0066</v>
          </cell>
        </row>
        <row r="49">
          <cell r="A49">
            <v>42</v>
          </cell>
          <cell r="I49" t="str">
            <v>I 0064</v>
          </cell>
        </row>
        <row r="50">
          <cell r="A50">
            <v>43</v>
          </cell>
          <cell r="I50" t="str">
            <v>N/E</v>
          </cell>
        </row>
        <row r="51">
          <cell r="A51">
            <v>44</v>
          </cell>
          <cell r="I51" t="str">
            <v>I 0109</v>
          </cell>
        </row>
        <row r="52">
          <cell r="A52">
            <v>45</v>
          </cell>
          <cell r="I52" t="str">
            <v>I 0109</v>
          </cell>
        </row>
        <row r="53">
          <cell r="A53">
            <v>46</v>
          </cell>
          <cell r="I53" t="str">
            <v>I 0109</v>
          </cell>
        </row>
        <row r="54">
          <cell r="A54">
            <v>47</v>
          </cell>
          <cell r="I54" t="str">
            <v>I 0109</v>
          </cell>
        </row>
        <row r="55">
          <cell r="A55">
            <v>48</v>
          </cell>
          <cell r="I55" t="str">
            <v>I 1100</v>
          </cell>
        </row>
        <row r="56">
          <cell r="A56">
            <v>49</v>
          </cell>
          <cell r="I56" t="str">
            <v>I 1101</v>
          </cell>
        </row>
        <row r="57">
          <cell r="A57">
            <v>50</v>
          </cell>
          <cell r="I57" t="str">
            <v>I 0028 - 0029 - 0030</v>
          </cell>
        </row>
        <row r="58">
          <cell r="A58">
            <v>51</v>
          </cell>
          <cell r="I58" t="str">
            <v>I 0069</v>
          </cell>
        </row>
        <row r="59">
          <cell r="A59">
            <v>52</v>
          </cell>
          <cell r="I59" t="str">
            <v>I 0069</v>
          </cell>
        </row>
        <row r="60">
          <cell r="A60">
            <v>53</v>
          </cell>
          <cell r="I60" t="str">
            <v>I 0069</v>
          </cell>
        </row>
        <row r="61">
          <cell r="A61">
            <v>54</v>
          </cell>
          <cell r="I61" t="str">
            <v>I 0067</v>
          </cell>
        </row>
        <row r="62">
          <cell r="A62">
            <v>55</v>
          </cell>
          <cell r="I62" t="str">
            <v>I 0086 / 0087</v>
          </cell>
        </row>
        <row r="63">
          <cell r="A63">
            <v>56</v>
          </cell>
          <cell r="I63" t="str">
            <v>I 0086 / 0087</v>
          </cell>
        </row>
        <row r="64">
          <cell r="A64">
            <v>57</v>
          </cell>
          <cell r="I64" t="str">
            <v>I 0086 / 0087</v>
          </cell>
        </row>
        <row r="65">
          <cell r="A65">
            <v>58</v>
          </cell>
          <cell r="I65" t="str">
            <v>I 0086 / 0087</v>
          </cell>
        </row>
        <row r="66">
          <cell r="A66">
            <v>59</v>
          </cell>
          <cell r="I66" t="str">
            <v>I 0086 / 0087</v>
          </cell>
        </row>
        <row r="67">
          <cell r="A67">
            <v>60</v>
          </cell>
          <cell r="I67" t="str">
            <v>N/E</v>
          </cell>
        </row>
        <row r="68">
          <cell r="A68">
            <v>61</v>
          </cell>
          <cell r="I68" t="str">
            <v>N/E</v>
          </cell>
        </row>
        <row r="69">
          <cell r="A69">
            <v>62</v>
          </cell>
          <cell r="I69" t="str">
            <v>I 0304 / 0305</v>
          </cell>
        </row>
        <row r="70">
          <cell r="A70">
            <v>63</v>
          </cell>
          <cell r="I70" t="str">
            <v>I 0114 / 0662</v>
          </cell>
        </row>
        <row r="71">
          <cell r="A71">
            <v>64</v>
          </cell>
          <cell r="I71" t="str">
            <v>I 0114 / 0662</v>
          </cell>
        </row>
        <row r="72">
          <cell r="A72">
            <v>65</v>
          </cell>
          <cell r="I72" t="str">
            <v>I 1100 / 1101</v>
          </cell>
        </row>
        <row r="73">
          <cell r="A73">
            <v>66</v>
          </cell>
          <cell r="I73" t="str">
            <v>I 0080</v>
          </cell>
        </row>
        <row r="74">
          <cell r="A74">
            <v>67</v>
          </cell>
          <cell r="I74" t="str">
            <v>I 0080</v>
          </cell>
        </row>
        <row r="75">
          <cell r="A75">
            <v>68</v>
          </cell>
          <cell r="I75" t="str">
            <v>I 0080</v>
          </cell>
        </row>
        <row r="76">
          <cell r="A76">
            <v>69</v>
          </cell>
          <cell r="I76" t="str">
            <v>I 0080</v>
          </cell>
        </row>
        <row r="77">
          <cell r="A77">
            <v>70</v>
          </cell>
          <cell r="I77" t="str">
            <v>I 0080</v>
          </cell>
        </row>
        <row r="78">
          <cell r="A78">
            <v>71</v>
          </cell>
          <cell r="I78" t="str">
            <v>I 0080</v>
          </cell>
        </row>
        <row r="79">
          <cell r="A79">
            <v>72</v>
          </cell>
          <cell r="I79" t="str">
            <v>I 0084</v>
          </cell>
        </row>
        <row r="80">
          <cell r="A80">
            <v>73</v>
          </cell>
          <cell r="I80" t="str">
            <v>I 0084</v>
          </cell>
        </row>
        <row r="81">
          <cell r="A81">
            <v>74</v>
          </cell>
          <cell r="I81" t="str">
            <v>I 0084</v>
          </cell>
        </row>
        <row r="82">
          <cell r="A82">
            <v>75</v>
          </cell>
          <cell r="I82" t="str">
            <v>I 0084</v>
          </cell>
        </row>
        <row r="83">
          <cell r="A83">
            <v>76</v>
          </cell>
          <cell r="I83" t="str">
            <v>I 0084</v>
          </cell>
        </row>
        <row r="84">
          <cell r="A84">
            <v>77</v>
          </cell>
          <cell r="I84" t="str">
            <v>I 0083</v>
          </cell>
        </row>
        <row r="85">
          <cell r="A85">
            <v>78</v>
          </cell>
          <cell r="I85" t="str">
            <v>I 0083</v>
          </cell>
        </row>
        <row r="86">
          <cell r="A86">
            <v>79</v>
          </cell>
          <cell r="I86" t="str">
            <v>I 0083</v>
          </cell>
        </row>
        <row r="87">
          <cell r="A87">
            <v>80</v>
          </cell>
          <cell r="I87" t="str">
            <v>I 0088</v>
          </cell>
        </row>
        <row r="88">
          <cell r="A88">
            <v>81</v>
          </cell>
          <cell r="I88" t="str">
            <v>I 0085</v>
          </cell>
        </row>
        <row r="89">
          <cell r="A89">
            <v>82</v>
          </cell>
          <cell r="I89" t="str">
            <v>I 0082 / 0085</v>
          </cell>
        </row>
        <row r="90">
          <cell r="A90">
            <v>83</v>
          </cell>
          <cell r="I90" t="str">
            <v>I 0124</v>
          </cell>
        </row>
        <row r="91">
          <cell r="A91">
            <v>84</v>
          </cell>
          <cell r="I91" t="str">
            <v>I 0081</v>
          </cell>
        </row>
        <row r="92">
          <cell r="A92">
            <v>85</v>
          </cell>
          <cell r="I92" t="str">
            <v>I 0081</v>
          </cell>
        </row>
        <row r="93">
          <cell r="A93">
            <v>86</v>
          </cell>
          <cell r="I93" t="str">
            <v>I 0081</v>
          </cell>
        </row>
        <row r="94">
          <cell r="A94">
            <v>87</v>
          </cell>
          <cell r="I94" t="str">
            <v>I 0094</v>
          </cell>
        </row>
        <row r="95">
          <cell r="A95">
            <v>88</v>
          </cell>
          <cell r="I95" t="str">
            <v>I 0094</v>
          </cell>
        </row>
        <row r="96">
          <cell r="A96">
            <v>89</v>
          </cell>
          <cell r="I96" t="str">
            <v>I 0094</v>
          </cell>
        </row>
        <row r="97">
          <cell r="A97">
            <v>90</v>
          </cell>
          <cell r="I97" t="str">
            <v>I 0094</v>
          </cell>
        </row>
        <row r="98">
          <cell r="A98">
            <v>91</v>
          </cell>
          <cell r="I98" t="str">
            <v>I 0095</v>
          </cell>
        </row>
        <row r="99">
          <cell r="A99">
            <v>92</v>
          </cell>
          <cell r="I99" t="str">
            <v>I 0095</v>
          </cell>
        </row>
        <row r="100">
          <cell r="A100">
            <v>93</v>
          </cell>
          <cell r="I100" t="str">
            <v>I 0095</v>
          </cell>
        </row>
        <row r="101">
          <cell r="A101">
            <v>94</v>
          </cell>
          <cell r="I101" t="str">
            <v>I 0095</v>
          </cell>
        </row>
        <row r="102">
          <cell r="A102">
            <v>95</v>
          </cell>
          <cell r="I102" t="str">
            <v>I 0097</v>
          </cell>
        </row>
        <row r="103">
          <cell r="A103">
            <v>96</v>
          </cell>
          <cell r="I103" t="str">
            <v>I 0097</v>
          </cell>
        </row>
        <row r="104">
          <cell r="A104">
            <v>97</v>
          </cell>
          <cell r="I104" t="str">
            <v>I 0069</v>
          </cell>
        </row>
        <row r="105">
          <cell r="A105">
            <v>98</v>
          </cell>
          <cell r="I105" t="str">
            <v>I 0143</v>
          </cell>
        </row>
        <row r="106">
          <cell r="A106">
            <v>99</v>
          </cell>
          <cell r="I106" t="str">
            <v>I 0110 / 0111</v>
          </cell>
        </row>
        <row r="107">
          <cell r="A107">
            <v>100</v>
          </cell>
          <cell r="I107" t="str">
            <v>I 0105</v>
          </cell>
        </row>
        <row r="108">
          <cell r="A108">
            <v>101</v>
          </cell>
          <cell r="I108" t="str">
            <v>I 0100</v>
          </cell>
        </row>
        <row r="109">
          <cell r="A109">
            <v>102</v>
          </cell>
          <cell r="I109" t="str">
            <v>I 0108</v>
          </cell>
        </row>
        <row r="110">
          <cell r="A110">
            <v>103</v>
          </cell>
          <cell r="I110" t="str">
            <v>I 0108</v>
          </cell>
        </row>
        <row r="111">
          <cell r="A111">
            <v>104</v>
          </cell>
          <cell r="I111" t="str">
            <v>N/E</v>
          </cell>
        </row>
        <row r="112">
          <cell r="A112">
            <v>105</v>
          </cell>
          <cell r="I112" t="str">
            <v>I 0106</v>
          </cell>
        </row>
        <row r="113">
          <cell r="A113">
            <v>106</v>
          </cell>
          <cell r="I113" t="str">
            <v>I 0050 / 0096</v>
          </cell>
        </row>
        <row r="114">
          <cell r="A114">
            <v>107</v>
          </cell>
          <cell r="I114" t="str">
            <v>I 0101</v>
          </cell>
        </row>
        <row r="115">
          <cell r="A115">
            <v>108</v>
          </cell>
          <cell r="I115" t="str">
            <v>I 0101</v>
          </cell>
        </row>
        <row r="116">
          <cell r="A116">
            <v>109</v>
          </cell>
          <cell r="I116" t="str">
            <v>I 0093</v>
          </cell>
        </row>
        <row r="117">
          <cell r="A117">
            <v>110</v>
          </cell>
          <cell r="I117" t="str">
            <v>I 0093</v>
          </cell>
        </row>
        <row r="118">
          <cell r="A118">
            <v>111</v>
          </cell>
          <cell r="I118" t="str">
            <v>I 0113</v>
          </cell>
        </row>
        <row r="119">
          <cell r="A119">
            <v>112</v>
          </cell>
          <cell r="I119" t="str">
            <v>I 0113</v>
          </cell>
        </row>
        <row r="120">
          <cell r="A120">
            <v>113</v>
          </cell>
          <cell r="I120" t="str">
            <v>I 0038</v>
          </cell>
        </row>
        <row r="121">
          <cell r="A121">
            <v>114</v>
          </cell>
          <cell r="I121" t="str">
            <v>I 0038</v>
          </cell>
        </row>
        <row r="122">
          <cell r="A122">
            <v>115</v>
          </cell>
          <cell r="I122" t="str">
            <v>I 0038</v>
          </cell>
        </row>
        <row r="123">
          <cell r="A123">
            <v>116</v>
          </cell>
          <cell r="I123" t="str">
            <v>I 0252</v>
          </cell>
        </row>
        <row r="124">
          <cell r="A124">
            <v>117</v>
          </cell>
          <cell r="I124" t="str">
            <v>I 0252</v>
          </cell>
        </row>
        <row r="125">
          <cell r="A125">
            <v>118</v>
          </cell>
          <cell r="I125" t="str">
            <v>I 0252</v>
          </cell>
        </row>
        <row r="126">
          <cell r="A126">
            <v>119</v>
          </cell>
          <cell r="I126" t="str">
            <v>I 0252</v>
          </cell>
        </row>
        <row r="127">
          <cell r="A127">
            <v>120</v>
          </cell>
          <cell r="I127" t="str">
            <v>I 0252</v>
          </cell>
        </row>
        <row r="128">
          <cell r="A128">
            <v>121</v>
          </cell>
          <cell r="I128" t="str">
            <v>I 1173 / 0007</v>
          </cell>
        </row>
        <row r="129">
          <cell r="A129">
            <v>122</v>
          </cell>
          <cell r="I129" t="str">
            <v>I 1173</v>
          </cell>
        </row>
        <row r="130">
          <cell r="A130">
            <v>123</v>
          </cell>
          <cell r="I130" t="str">
            <v>I 1173</v>
          </cell>
        </row>
        <row r="131">
          <cell r="A131">
            <v>124</v>
          </cell>
          <cell r="I131" t="str">
            <v>I 1173</v>
          </cell>
        </row>
        <row r="132">
          <cell r="A132">
            <v>125</v>
          </cell>
          <cell r="I132" t="str">
            <v>I 1173</v>
          </cell>
        </row>
        <row r="133">
          <cell r="A133">
            <v>126</v>
          </cell>
          <cell r="I133" t="str">
            <v>I 1173</v>
          </cell>
        </row>
        <row r="134">
          <cell r="A134">
            <v>127</v>
          </cell>
          <cell r="I134" t="str">
            <v>N/E</v>
          </cell>
        </row>
        <row r="135">
          <cell r="A135">
            <v>128</v>
          </cell>
          <cell r="I135" t="str">
            <v>I 0115 / 0116</v>
          </cell>
        </row>
        <row r="136">
          <cell r="A136">
            <v>129</v>
          </cell>
          <cell r="I136" t="str">
            <v>I 0092</v>
          </cell>
        </row>
        <row r="137">
          <cell r="A137">
            <v>130</v>
          </cell>
          <cell r="I137" t="str">
            <v>N/E</v>
          </cell>
        </row>
        <row r="138">
          <cell r="A138">
            <v>131</v>
          </cell>
          <cell r="I138" t="str">
            <v>I 0121</v>
          </cell>
        </row>
        <row r="139">
          <cell r="A139">
            <v>132</v>
          </cell>
          <cell r="I139" t="str">
            <v>I 0121</v>
          </cell>
        </row>
        <row r="140">
          <cell r="A140">
            <v>133</v>
          </cell>
          <cell r="I140" t="str">
            <v>N/E</v>
          </cell>
        </row>
        <row r="141">
          <cell r="A141">
            <v>134</v>
          </cell>
          <cell r="I141" t="str">
            <v>I 0138</v>
          </cell>
        </row>
        <row r="142">
          <cell r="A142">
            <v>135</v>
          </cell>
          <cell r="I142" t="str">
            <v>I 0138</v>
          </cell>
        </row>
        <row r="143">
          <cell r="A143">
            <v>136</v>
          </cell>
          <cell r="I143" t="str">
            <v>N/E</v>
          </cell>
        </row>
        <row r="144">
          <cell r="A144">
            <v>137</v>
          </cell>
          <cell r="I144" t="str">
            <v>N/E</v>
          </cell>
        </row>
        <row r="145">
          <cell r="A145">
            <v>138</v>
          </cell>
          <cell r="I145" t="str">
            <v>I 0117</v>
          </cell>
        </row>
        <row r="146">
          <cell r="A146">
            <v>139</v>
          </cell>
          <cell r="I146" t="str">
            <v>I 0120</v>
          </cell>
        </row>
        <row r="147">
          <cell r="A147">
            <v>140</v>
          </cell>
          <cell r="I147" t="str">
            <v>I 0118 / 0146</v>
          </cell>
        </row>
        <row r="148">
          <cell r="A148">
            <v>141</v>
          </cell>
          <cell r="I148" t="str">
            <v>I 0129</v>
          </cell>
        </row>
        <row r="149">
          <cell r="A149">
            <v>142</v>
          </cell>
          <cell r="I149" t="str">
            <v>I 0057 / 0058 / 0059 / 0060</v>
          </cell>
        </row>
        <row r="150">
          <cell r="A150">
            <v>143</v>
          </cell>
          <cell r="I150" t="str">
            <v>I 0057 / 0058 / 0059 / 0060</v>
          </cell>
        </row>
        <row r="151">
          <cell r="A151">
            <v>144</v>
          </cell>
          <cell r="I151" t="str">
            <v>I 0057 / 0058 / 0059 / 0060</v>
          </cell>
        </row>
        <row r="152">
          <cell r="A152">
            <v>145</v>
          </cell>
          <cell r="I152" t="str">
            <v>I 0057 / 0058 / 0059 / 0060</v>
          </cell>
        </row>
        <row r="153">
          <cell r="A153">
            <v>146</v>
          </cell>
          <cell r="I153" t="str">
            <v>I 0057 / 0058 / 0059 / 0060</v>
          </cell>
        </row>
        <row r="154">
          <cell r="A154">
            <v>147</v>
          </cell>
          <cell r="I154" t="str">
            <v>I 0057 / 0058 / 0059 / 0060</v>
          </cell>
        </row>
        <row r="155">
          <cell r="A155">
            <v>148</v>
          </cell>
          <cell r="I155" t="str">
            <v>I 0057 / 0058 / 0059 / 0060</v>
          </cell>
        </row>
        <row r="156">
          <cell r="A156">
            <v>149</v>
          </cell>
          <cell r="I156" t="str">
            <v>I 0057 / 0058 / 0059 / 0060</v>
          </cell>
        </row>
        <row r="157">
          <cell r="A157">
            <v>150</v>
          </cell>
          <cell r="I157" t="str">
            <v>I 0057 / 0058 / 0059 / 0060</v>
          </cell>
        </row>
        <row r="158">
          <cell r="A158">
            <v>151</v>
          </cell>
          <cell r="I158" t="str">
            <v>I 0057 / 0058 / 0059 / 0060</v>
          </cell>
        </row>
        <row r="159">
          <cell r="A159">
            <v>152</v>
          </cell>
          <cell r="I159" t="str">
            <v>I 0057 / 0058 / 0059 / 0060</v>
          </cell>
        </row>
        <row r="160">
          <cell r="A160">
            <v>153</v>
          </cell>
          <cell r="I160" t="str">
            <v>I 0057 / 0058 / 0059 / 0060</v>
          </cell>
        </row>
        <row r="161">
          <cell r="A161">
            <v>154</v>
          </cell>
          <cell r="I161" t="str">
            <v>I 0122 / 0123</v>
          </cell>
        </row>
        <row r="162">
          <cell r="A162">
            <v>155</v>
          </cell>
          <cell r="I162" t="str">
            <v>I 0127</v>
          </cell>
        </row>
        <row r="163">
          <cell r="A163">
            <v>156</v>
          </cell>
          <cell r="I163" t="str">
            <v>I 0127</v>
          </cell>
        </row>
        <row r="164">
          <cell r="A164">
            <v>157</v>
          </cell>
          <cell r="I164" t="str">
            <v>I 0127</v>
          </cell>
        </row>
        <row r="165">
          <cell r="A165">
            <v>158</v>
          </cell>
          <cell r="I165" t="str">
            <v>I 0127</v>
          </cell>
        </row>
        <row r="166">
          <cell r="A166">
            <v>159</v>
          </cell>
          <cell r="I166" t="str">
            <v>I 0126</v>
          </cell>
        </row>
        <row r="167">
          <cell r="A167">
            <v>160</v>
          </cell>
          <cell r="I167" t="str">
            <v>I 0130</v>
          </cell>
        </row>
        <row r="168">
          <cell r="A168">
            <v>161</v>
          </cell>
          <cell r="I168" t="str">
            <v>I 0125</v>
          </cell>
        </row>
        <row r="169">
          <cell r="A169">
            <v>162</v>
          </cell>
          <cell r="I169" t="str">
            <v>I 0127</v>
          </cell>
        </row>
        <row r="170">
          <cell r="A170">
            <v>163</v>
          </cell>
          <cell r="I170" t="str">
            <v>I 0127</v>
          </cell>
        </row>
        <row r="171">
          <cell r="A171">
            <v>164</v>
          </cell>
          <cell r="I171" t="str">
            <v>I 0127</v>
          </cell>
        </row>
        <row r="172">
          <cell r="A172">
            <v>165</v>
          </cell>
          <cell r="I172" t="str">
            <v>I 0127</v>
          </cell>
        </row>
        <row r="173">
          <cell r="A173">
            <v>166</v>
          </cell>
          <cell r="I173" t="str">
            <v>I 0144 / 0145</v>
          </cell>
        </row>
        <row r="174">
          <cell r="A174">
            <v>167</v>
          </cell>
          <cell r="I174" t="str">
            <v>I 0135</v>
          </cell>
        </row>
        <row r="175">
          <cell r="A175">
            <v>168</v>
          </cell>
          <cell r="I175" t="str">
            <v>I 0136</v>
          </cell>
        </row>
        <row r="176">
          <cell r="A176">
            <v>169</v>
          </cell>
          <cell r="I176" t="str">
            <v>I 0147</v>
          </cell>
        </row>
        <row r="177">
          <cell r="A177">
            <v>170</v>
          </cell>
          <cell r="I177" t="str">
            <v>I 0147</v>
          </cell>
        </row>
        <row r="178">
          <cell r="A178">
            <v>171</v>
          </cell>
          <cell r="I178" t="str">
            <v>N/E</v>
          </cell>
        </row>
        <row r="179">
          <cell r="A179">
            <v>172</v>
          </cell>
          <cell r="I179" t="str">
            <v>I 1032</v>
          </cell>
        </row>
        <row r="180">
          <cell r="A180">
            <v>173</v>
          </cell>
          <cell r="I180" t="str">
            <v>I 0131 / 0132</v>
          </cell>
        </row>
        <row r="181">
          <cell r="A181">
            <v>174</v>
          </cell>
          <cell r="I181" t="str">
            <v>N/E</v>
          </cell>
        </row>
        <row r="182">
          <cell r="A182">
            <v>175</v>
          </cell>
          <cell r="I182" t="str">
            <v>I 0142</v>
          </cell>
        </row>
        <row r="183">
          <cell r="A183">
            <v>176</v>
          </cell>
          <cell r="I183" t="str">
            <v>I 0149</v>
          </cell>
        </row>
        <row r="184">
          <cell r="A184">
            <v>177</v>
          </cell>
          <cell r="I184" t="str">
            <v>I 0141</v>
          </cell>
        </row>
        <row r="185">
          <cell r="A185">
            <v>178</v>
          </cell>
          <cell r="I185" t="str">
            <v>I 0141</v>
          </cell>
        </row>
        <row r="186">
          <cell r="A186">
            <v>179</v>
          </cell>
          <cell r="I186" t="str">
            <v>I 0134</v>
          </cell>
        </row>
        <row r="187">
          <cell r="A187">
            <v>180</v>
          </cell>
          <cell r="I187" t="str">
            <v>N/E</v>
          </cell>
        </row>
        <row r="188">
          <cell r="A188">
            <v>181</v>
          </cell>
          <cell r="I188" t="str">
            <v>N/E</v>
          </cell>
        </row>
        <row r="189">
          <cell r="A189">
            <v>182</v>
          </cell>
          <cell r="I189" t="str">
            <v>I 0150</v>
          </cell>
        </row>
        <row r="190">
          <cell r="A190">
            <v>183</v>
          </cell>
          <cell r="I190" t="str">
            <v>N/E</v>
          </cell>
        </row>
        <row r="191">
          <cell r="A191">
            <v>184</v>
          </cell>
          <cell r="I191" t="str">
            <v>I 0155</v>
          </cell>
        </row>
        <row r="192">
          <cell r="A192">
            <v>185</v>
          </cell>
          <cell r="I192" t="str">
            <v>I 0156 / 0157</v>
          </cell>
        </row>
        <row r="193">
          <cell r="A193">
            <v>186</v>
          </cell>
          <cell r="I193" t="str">
            <v>I 0160</v>
          </cell>
        </row>
        <row r="194">
          <cell r="A194">
            <v>187</v>
          </cell>
          <cell r="I194" t="str">
            <v>I 0158</v>
          </cell>
        </row>
        <row r="195">
          <cell r="A195">
            <v>188</v>
          </cell>
          <cell r="I195" t="str">
            <v>I 0159</v>
          </cell>
        </row>
        <row r="196">
          <cell r="A196">
            <v>189</v>
          </cell>
          <cell r="I196" t="str">
            <v>I 0180</v>
          </cell>
        </row>
        <row r="197">
          <cell r="A197">
            <v>190</v>
          </cell>
          <cell r="I197" t="str">
            <v>I 0180</v>
          </cell>
        </row>
        <row r="198">
          <cell r="A198">
            <v>191</v>
          </cell>
          <cell r="I198" t="str">
            <v>I 0180</v>
          </cell>
        </row>
        <row r="199">
          <cell r="A199">
            <v>192</v>
          </cell>
          <cell r="I199" t="str">
            <v>I 0167</v>
          </cell>
        </row>
        <row r="200">
          <cell r="A200">
            <v>193</v>
          </cell>
          <cell r="I200" t="str">
            <v>I 0167</v>
          </cell>
        </row>
        <row r="201">
          <cell r="A201">
            <v>194</v>
          </cell>
          <cell r="I201" t="str">
            <v>I 0139 / 0140</v>
          </cell>
        </row>
        <row r="202">
          <cell r="A202">
            <v>195</v>
          </cell>
          <cell r="I202" t="str">
            <v>I 0139 / 0140</v>
          </cell>
        </row>
        <row r="203">
          <cell r="A203">
            <v>196</v>
          </cell>
          <cell r="I203" t="str">
            <v>I 0139 / 0140</v>
          </cell>
        </row>
        <row r="204">
          <cell r="A204">
            <v>197</v>
          </cell>
          <cell r="I204" t="str">
            <v>I 0139 / 0140</v>
          </cell>
        </row>
        <row r="205">
          <cell r="A205">
            <v>198</v>
          </cell>
          <cell r="I205" t="str">
            <v>I 0139 / 0140</v>
          </cell>
        </row>
        <row r="206">
          <cell r="A206">
            <v>199</v>
          </cell>
          <cell r="I206" t="str">
            <v>I 0139 / 0140</v>
          </cell>
        </row>
        <row r="207">
          <cell r="A207">
            <v>200</v>
          </cell>
          <cell r="I207" t="str">
            <v>I 0139 / 0140</v>
          </cell>
        </row>
        <row r="208">
          <cell r="A208">
            <v>201</v>
          </cell>
          <cell r="I208" t="str">
            <v>I 0099</v>
          </cell>
        </row>
        <row r="209">
          <cell r="A209">
            <v>202</v>
          </cell>
          <cell r="I209" t="str">
            <v>I 0176</v>
          </cell>
        </row>
        <row r="210">
          <cell r="A210">
            <v>203</v>
          </cell>
          <cell r="I210" t="str">
            <v>I 0176</v>
          </cell>
        </row>
        <row r="211">
          <cell r="A211">
            <v>204</v>
          </cell>
          <cell r="I211" t="str">
            <v>I 0249 / 0250</v>
          </cell>
        </row>
        <row r="212">
          <cell r="A212">
            <v>205</v>
          </cell>
          <cell r="I212" t="str">
            <v>N/E</v>
          </cell>
        </row>
        <row r="213">
          <cell r="A213">
            <v>206</v>
          </cell>
          <cell r="I213" t="str">
            <v>I 0249 / 0250</v>
          </cell>
        </row>
        <row r="214">
          <cell r="A214">
            <v>207</v>
          </cell>
          <cell r="I214" t="str">
            <v>N/E</v>
          </cell>
        </row>
        <row r="215">
          <cell r="A215">
            <v>208</v>
          </cell>
          <cell r="I215" t="str">
            <v>I 0162</v>
          </cell>
        </row>
        <row r="216">
          <cell r="A216">
            <v>209</v>
          </cell>
          <cell r="I216" t="str">
            <v>I 0162</v>
          </cell>
        </row>
        <row r="217">
          <cell r="A217">
            <v>210</v>
          </cell>
          <cell r="I217" t="str">
            <v>I 0163</v>
          </cell>
        </row>
        <row r="218">
          <cell r="A218">
            <v>211</v>
          </cell>
          <cell r="I218" t="str">
            <v>I 0306</v>
          </cell>
        </row>
        <row r="219">
          <cell r="A219">
            <v>212</v>
          </cell>
          <cell r="I219" t="str">
            <v>I 0306</v>
          </cell>
        </row>
        <row r="220">
          <cell r="A220">
            <v>213</v>
          </cell>
          <cell r="I220" t="str">
            <v>I 0232</v>
          </cell>
        </row>
        <row r="221">
          <cell r="A221">
            <v>214</v>
          </cell>
          <cell r="I221" t="str">
            <v>I 0306</v>
          </cell>
        </row>
        <row r="222">
          <cell r="A222">
            <v>215</v>
          </cell>
          <cell r="I222" t="str">
            <v>I 0306</v>
          </cell>
        </row>
        <row r="223">
          <cell r="A223">
            <v>216</v>
          </cell>
          <cell r="I223" t="str">
            <v>I 0164</v>
          </cell>
        </row>
        <row r="224">
          <cell r="A224">
            <v>217</v>
          </cell>
          <cell r="I224" t="str">
            <v>I 0164</v>
          </cell>
        </row>
        <row r="225">
          <cell r="A225">
            <v>218</v>
          </cell>
          <cell r="I225" t="str">
            <v>I 0164</v>
          </cell>
        </row>
        <row r="226">
          <cell r="A226">
            <v>219</v>
          </cell>
          <cell r="I226" t="str">
            <v>I 0164</v>
          </cell>
        </row>
        <row r="227">
          <cell r="A227">
            <v>220</v>
          </cell>
          <cell r="I227" t="str">
            <v>I 0164</v>
          </cell>
        </row>
        <row r="228">
          <cell r="A228">
            <v>221</v>
          </cell>
          <cell r="I228" t="str">
            <v>I 0164</v>
          </cell>
        </row>
        <row r="229">
          <cell r="A229">
            <v>222</v>
          </cell>
          <cell r="I229" t="str">
            <v>I 0164</v>
          </cell>
        </row>
        <row r="230">
          <cell r="A230">
            <v>223</v>
          </cell>
          <cell r="I230" t="str">
            <v>I 0164</v>
          </cell>
        </row>
        <row r="231">
          <cell r="A231">
            <v>224</v>
          </cell>
          <cell r="I231" t="str">
            <v>I 0170</v>
          </cell>
        </row>
        <row r="232">
          <cell r="A232">
            <v>225</v>
          </cell>
          <cell r="I232" t="str">
            <v>I 0172</v>
          </cell>
        </row>
        <row r="233">
          <cell r="A233">
            <v>226</v>
          </cell>
          <cell r="I233" t="str">
            <v>I 0172</v>
          </cell>
        </row>
        <row r="234">
          <cell r="A234">
            <v>227</v>
          </cell>
          <cell r="I234" t="str">
            <v>I 0171</v>
          </cell>
        </row>
        <row r="235">
          <cell r="A235">
            <v>228</v>
          </cell>
          <cell r="I235" t="str">
            <v>I 0171</v>
          </cell>
        </row>
        <row r="236">
          <cell r="A236">
            <v>229</v>
          </cell>
          <cell r="I236" t="str">
            <v>I 0171</v>
          </cell>
        </row>
        <row r="237">
          <cell r="A237">
            <v>230</v>
          </cell>
          <cell r="I237" t="str">
            <v>I 0173</v>
          </cell>
        </row>
        <row r="238">
          <cell r="A238">
            <v>231</v>
          </cell>
          <cell r="I238" t="str">
            <v>I 0173</v>
          </cell>
        </row>
        <row r="239">
          <cell r="A239">
            <v>232</v>
          </cell>
          <cell r="I239" t="str">
            <v>I 0173</v>
          </cell>
        </row>
        <row r="240">
          <cell r="A240">
            <v>233</v>
          </cell>
          <cell r="I240" t="str">
            <v>I 0169</v>
          </cell>
        </row>
        <row r="241">
          <cell r="A241">
            <v>234</v>
          </cell>
          <cell r="I241" t="str">
            <v>I 0169</v>
          </cell>
        </row>
        <row r="242">
          <cell r="A242">
            <v>235</v>
          </cell>
          <cell r="I242" t="str">
            <v>I 0168</v>
          </cell>
        </row>
        <row r="243">
          <cell r="A243">
            <v>236</v>
          </cell>
          <cell r="I243" t="str">
            <v>I 0168</v>
          </cell>
        </row>
        <row r="244">
          <cell r="A244">
            <v>237</v>
          </cell>
          <cell r="I244" t="str">
            <v>I 0168</v>
          </cell>
        </row>
        <row r="245">
          <cell r="A245">
            <v>238</v>
          </cell>
          <cell r="I245" t="str">
            <v>I 0166</v>
          </cell>
        </row>
        <row r="246">
          <cell r="A246">
            <v>239</v>
          </cell>
          <cell r="I246" t="str">
            <v>I 0166</v>
          </cell>
        </row>
        <row r="247">
          <cell r="A247">
            <v>240</v>
          </cell>
          <cell r="I247" t="str">
            <v>I 0174 / 0175</v>
          </cell>
        </row>
        <row r="248">
          <cell r="A248">
            <v>241</v>
          </cell>
          <cell r="I248" t="str">
            <v>I 0174 / 0175</v>
          </cell>
        </row>
        <row r="249">
          <cell r="A249">
            <v>242</v>
          </cell>
          <cell r="I249" t="str">
            <v>I 0174 / 0175</v>
          </cell>
        </row>
        <row r="250">
          <cell r="A250">
            <v>243</v>
          </cell>
          <cell r="I250" t="str">
            <v>I 0174 / 0175</v>
          </cell>
        </row>
        <row r="251">
          <cell r="A251">
            <v>244</v>
          </cell>
          <cell r="I251" t="str">
            <v>I 0174 / 0175</v>
          </cell>
        </row>
        <row r="252">
          <cell r="A252">
            <v>245</v>
          </cell>
          <cell r="I252" t="str">
            <v>I 0174 / 0175</v>
          </cell>
        </row>
        <row r="253">
          <cell r="A253">
            <v>246</v>
          </cell>
          <cell r="I253" t="str">
            <v>I 0174 / 0175</v>
          </cell>
        </row>
        <row r="254">
          <cell r="A254">
            <v>247</v>
          </cell>
          <cell r="I254" t="str">
            <v>I 0174 / 0175</v>
          </cell>
        </row>
        <row r="255">
          <cell r="A255">
            <v>248</v>
          </cell>
          <cell r="I255" t="str">
            <v>I 0174 / 0175</v>
          </cell>
        </row>
        <row r="256">
          <cell r="A256">
            <v>249</v>
          </cell>
          <cell r="I256" t="str">
            <v>I 0154</v>
          </cell>
        </row>
        <row r="257">
          <cell r="A257">
            <v>250</v>
          </cell>
          <cell r="I257" t="str">
            <v>I 0143</v>
          </cell>
        </row>
        <row r="258">
          <cell r="A258">
            <v>251</v>
          </cell>
          <cell r="I258" t="str">
            <v>I 0181</v>
          </cell>
        </row>
        <row r="259">
          <cell r="A259">
            <v>252</v>
          </cell>
          <cell r="I259" t="str">
            <v>I 1106</v>
          </cell>
        </row>
        <row r="260">
          <cell r="A260">
            <v>253</v>
          </cell>
          <cell r="I260" t="str">
            <v>I 0197</v>
          </cell>
        </row>
        <row r="261">
          <cell r="A261">
            <v>254</v>
          </cell>
          <cell r="I261" t="str">
            <v>I 0206</v>
          </cell>
        </row>
        <row r="262">
          <cell r="A262">
            <v>255</v>
          </cell>
          <cell r="I262" t="str">
            <v>I 1156</v>
          </cell>
        </row>
        <row r="263">
          <cell r="A263">
            <v>256</v>
          </cell>
          <cell r="I263" t="str">
            <v>I 0185</v>
          </cell>
        </row>
        <row r="264">
          <cell r="A264">
            <v>257</v>
          </cell>
          <cell r="I264" t="str">
            <v>I 0186</v>
          </cell>
        </row>
        <row r="265">
          <cell r="A265">
            <v>258</v>
          </cell>
          <cell r="I265" t="str">
            <v>N/E</v>
          </cell>
        </row>
        <row r="266">
          <cell r="A266">
            <v>259</v>
          </cell>
          <cell r="I266" t="str">
            <v>I 0210</v>
          </cell>
        </row>
        <row r="267">
          <cell r="A267">
            <v>260</v>
          </cell>
          <cell r="I267" t="str">
            <v>I 0184</v>
          </cell>
        </row>
        <row r="268">
          <cell r="A268">
            <v>261</v>
          </cell>
          <cell r="I268" t="str">
            <v>I 0201</v>
          </cell>
        </row>
        <row r="269">
          <cell r="A269">
            <v>262</v>
          </cell>
          <cell r="I269" t="str">
            <v>I 0214 / 0215</v>
          </cell>
        </row>
        <row r="270">
          <cell r="A270">
            <v>263</v>
          </cell>
          <cell r="I270" t="str">
            <v>I 0214 / 0215</v>
          </cell>
        </row>
        <row r="271">
          <cell r="A271">
            <v>264</v>
          </cell>
          <cell r="I271" t="str">
            <v>I 0214 / 0215</v>
          </cell>
        </row>
        <row r="272">
          <cell r="A272">
            <v>265</v>
          </cell>
          <cell r="I272" t="str">
            <v>I 0214 / 0215</v>
          </cell>
        </row>
        <row r="273">
          <cell r="A273">
            <v>266</v>
          </cell>
          <cell r="I273" t="str">
            <v>I 0214 / 0215</v>
          </cell>
        </row>
        <row r="274">
          <cell r="A274">
            <v>267</v>
          </cell>
          <cell r="I274" t="str">
            <v>I 0214 / 0215</v>
          </cell>
        </row>
        <row r="275">
          <cell r="A275">
            <v>268</v>
          </cell>
          <cell r="I275" t="str">
            <v>I 0214 / 0215</v>
          </cell>
        </row>
        <row r="276">
          <cell r="A276">
            <v>269</v>
          </cell>
          <cell r="I276" t="str">
            <v>I 0214 / 0215</v>
          </cell>
        </row>
        <row r="277">
          <cell r="A277">
            <v>270</v>
          </cell>
          <cell r="I277" t="str">
            <v>I 0214 / 0215</v>
          </cell>
        </row>
        <row r="278">
          <cell r="A278">
            <v>271</v>
          </cell>
          <cell r="I278" t="str">
            <v>N/E</v>
          </cell>
        </row>
        <row r="279">
          <cell r="A279">
            <v>272</v>
          </cell>
          <cell r="I279" t="str">
            <v>I 0071</v>
          </cell>
        </row>
        <row r="280">
          <cell r="A280">
            <v>273</v>
          </cell>
          <cell r="I280" t="str">
            <v>I 0071</v>
          </cell>
        </row>
        <row r="281">
          <cell r="A281">
            <v>274</v>
          </cell>
          <cell r="I281" t="str">
            <v>I 0073</v>
          </cell>
        </row>
        <row r="282">
          <cell r="A282">
            <v>275</v>
          </cell>
          <cell r="I282" t="str">
            <v>N/E</v>
          </cell>
        </row>
        <row r="283">
          <cell r="A283">
            <v>276</v>
          </cell>
          <cell r="I283" t="str">
            <v>N/E</v>
          </cell>
        </row>
        <row r="284">
          <cell r="A284">
            <v>277</v>
          </cell>
          <cell r="I284" t="str">
            <v>N/E</v>
          </cell>
        </row>
        <row r="285">
          <cell r="A285">
            <v>278</v>
          </cell>
          <cell r="I285" t="str">
            <v>N/E</v>
          </cell>
        </row>
        <row r="286">
          <cell r="A286">
            <v>279</v>
          </cell>
          <cell r="I286" t="str">
            <v>I 0072</v>
          </cell>
        </row>
        <row r="287">
          <cell r="A287">
            <v>280</v>
          </cell>
          <cell r="I287" t="str">
            <v>I 0203 / 0204</v>
          </cell>
        </row>
        <row r="288">
          <cell r="A288">
            <v>281</v>
          </cell>
          <cell r="I288" t="str">
            <v>I 0888</v>
          </cell>
        </row>
        <row r="289">
          <cell r="A289">
            <v>282</v>
          </cell>
          <cell r="I289" t="str">
            <v>I 0888</v>
          </cell>
        </row>
        <row r="290">
          <cell r="A290">
            <v>283</v>
          </cell>
          <cell r="I290" t="str">
            <v>I 0888</v>
          </cell>
        </row>
        <row r="291">
          <cell r="A291">
            <v>284</v>
          </cell>
          <cell r="I291" t="str">
            <v>I 0188</v>
          </cell>
        </row>
        <row r="292">
          <cell r="A292">
            <v>285</v>
          </cell>
          <cell r="I292" t="str">
            <v>I 0304 / 0305</v>
          </cell>
        </row>
        <row r="293">
          <cell r="A293">
            <v>286</v>
          </cell>
          <cell r="I293" t="str">
            <v>N/E</v>
          </cell>
        </row>
        <row r="294">
          <cell r="A294">
            <v>287</v>
          </cell>
          <cell r="I294" t="str">
            <v>N/E</v>
          </cell>
        </row>
        <row r="295">
          <cell r="A295">
            <v>288</v>
          </cell>
          <cell r="I295" t="str">
            <v>I 0183</v>
          </cell>
        </row>
        <row r="296">
          <cell r="A296">
            <v>289</v>
          </cell>
          <cell r="I296" t="str">
            <v>I 0183</v>
          </cell>
        </row>
        <row r="297">
          <cell r="A297">
            <v>290</v>
          </cell>
          <cell r="I297" t="str">
            <v>I 0202</v>
          </cell>
        </row>
        <row r="298">
          <cell r="A298">
            <v>291</v>
          </cell>
          <cell r="I298" t="str">
            <v>I 0202</v>
          </cell>
        </row>
        <row r="299">
          <cell r="A299">
            <v>292</v>
          </cell>
          <cell r="I299" t="str">
            <v>I 0202</v>
          </cell>
        </row>
        <row r="300">
          <cell r="A300">
            <v>293</v>
          </cell>
          <cell r="I300" t="str">
            <v>I 0202</v>
          </cell>
        </row>
        <row r="301">
          <cell r="A301">
            <v>294</v>
          </cell>
          <cell r="I301" t="str">
            <v>I 0202</v>
          </cell>
        </row>
        <row r="302">
          <cell r="A302">
            <v>295</v>
          </cell>
          <cell r="I302" t="str">
            <v>I 0202</v>
          </cell>
        </row>
        <row r="303">
          <cell r="A303">
            <v>296</v>
          </cell>
          <cell r="I303" t="str">
            <v>I 0199</v>
          </cell>
        </row>
        <row r="304">
          <cell r="A304">
            <v>297</v>
          </cell>
          <cell r="I304" t="str">
            <v>I 0200</v>
          </cell>
        </row>
        <row r="305">
          <cell r="A305">
            <v>298</v>
          </cell>
          <cell r="I305" t="str">
            <v>I 0252 / 0253</v>
          </cell>
        </row>
        <row r="306">
          <cell r="A306">
            <v>299</v>
          </cell>
          <cell r="I306" t="str">
            <v>N/E</v>
          </cell>
        </row>
        <row r="307">
          <cell r="A307">
            <v>300</v>
          </cell>
          <cell r="I307" t="str">
            <v>I 0252 / 0253</v>
          </cell>
        </row>
        <row r="308">
          <cell r="A308">
            <v>301</v>
          </cell>
          <cell r="I308" t="str">
            <v>N/E</v>
          </cell>
        </row>
        <row r="309">
          <cell r="A309">
            <v>302</v>
          </cell>
          <cell r="I309" t="str">
            <v>N/E</v>
          </cell>
        </row>
        <row r="310">
          <cell r="A310">
            <v>303</v>
          </cell>
          <cell r="I310" t="str">
            <v>I 0337</v>
          </cell>
        </row>
        <row r="311">
          <cell r="A311">
            <v>304</v>
          </cell>
          <cell r="I311" t="str">
            <v>I 0252 / 0253</v>
          </cell>
        </row>
        <row r="312">
          <cell r="A312">
            <v>305</v>
          </cell>
          <cell r="I312" t="str">
            <v>N/E</v>
          </cell>
        </row>
        <row r="313">
          <cell r="A313">
            <v>306</v>
          </cell>
          <cell r="I313" t="str">
            <v>N/E</v>
          </cell>
        </row>
        <row r="314">
          <cell r="A314">
            <v>307</v>
          </cell>
          <cell r="I314" t="str">
            <v>I 0198</v>
          </cell>
        </row>
        <row r="315">
          <cell r="A315">
            <v>308</v>
          </cell>
          <cell r="I315" t="str">
            <v>I 0229 / 0230</v>
          </cell>
        </row>
        <row r="316">
          <cell r="A316">
            <v>309</v>
          </cell>
          <cell r="I316" t="str">
            <v>I 0229 / 0230</v>
          </cell>
        </row>
        <row r="317">
          <cell r="A317">
            <v>310</v>
          </cell>
          <cell r="I317" t="str">
            <v>I 0229 / 0230</v>
          </cell>
        </row>
        <row r="318">
          <cell r="A318">
            <v>311</v>
          </cell>
          <cell r="I318" t="str">
            <v>I 0229 / 0230</v>
          </cell>
        </row>
        <row r="319">
          <cell r="A319">
            <v>312</v>
          </cell>
          <cell r="I319" t="str">
            <v>I 0015 / 0247</v>
          </cell>
        </row>
        <row r="320">
          <cell r="A320">
            <v>313</v>
          </cell>
          <cell r="I320" t="str">
            <v>I 0207 / 0208 / 0209</v>
          </cell>
        </row>
        <row r="321">
          <cell r="A321">
            <v>314</v>
          </cell>
          <cell r="I321" t="str">
            <v>I 0217</v>
          </cell>
        </row>
        <row r="322">
          <cell r="A322">
            <v>315</v>
          </cell>
          <cell r="I322" t="str">
            <v>N/E</v>
          </cell>
        </row>
        <row r="323">
          <cell r="A323">
            <v>316</v>
          </cell>
          <cell r="I323" t="str">
            <v>I 0288</v>
          </cell>
        </row>
        <row r="324">
          <cell r="A324">
            <v>317</v>
          </cell>
          <cell r="I324" t="str">
            <v>I 0222</v>
          </cell>
        </row>
        <row r="325">
          <cell r="A325">
            <v>318</v>
          </cell>
          <cell r="I325" t="str">
            <v>I 0221</v>
          </cell>
        </row>
        <row r="326">
          <cell r="A326">
            <v>319</v>
          </cell>
          <cell r="I326" t="str">
            <v>I 0222</v>
          </cell>
        </row>
        <row r="327">
          <cell r="A327">
            <v>320</v>
          </cell>
          <cell r="I327" t="str">
            <v>I 0222</v>
          </cell>
        </row>
        <row r="328">
          <cell r="A328">
            <v>321</v>
          </cell>
          <cell r="I328" t="str">
            <v>I 0099</v>
          </cell>
        </row>
        <row r="329">
          <cell r="A329">
            <v>322</v>
          </cell>
          <cell r="I329" t="str">
            <v>I 0223</v>
          </cell>
        </row>
        <row r="330">
          <cell r="A330">
            <v>323</v>
          </cell>
          <cell r="I330" t="str">
            <v>I 0224 / 0225</v>
          </cell>
        </row>
        <row r="331">
          <cell r="A331">
            <v>324</v>
          </cell>
          <cell r="I331" t="str">
            <v>I 0224 / 0225</v>
          </cell>
        </row>
        <row r="332">
          <cell r="A332">
            <v>325</v>
          </cell>
          <cell r="I332" t="str">
            <v>I 0158</v>
          </cell>
        </row>
        <row r="333">
          <cell r="A333">
            <v>326</v>
          </cell>
          <cell r="I333" t="str">
            <v>N/E</v>
          </cell>
        </row>
        <row r="334">
          <cell r="A334">
            <v>327</v>
          </cell>
          <cell r="I334" t="str">
            <v>N/E</v>
          </cell>
        </row>
        <row r="335">
          <cell r="A335">
            <v>328</v>
          </cell>
          <cell r="I335" t="str">
            <v>N/E</v>
          </cell>
        </row>
        <row r="336">
          <cell r="A336">
            <v>329</v>
          </cell>
          <cell r="I336" t="str">
            <v>N/E</v>
          </cell>
        </row>
        <row r="337">
          <cell r="A337">
            <v>330</v>
          </cell>
          <cell r="I337" t="str">
            <v>N/E</v>
          </cell>
        </row>
        <row r="338">
          <cell r="A338">
            <v>331</v>
          </cell>
          <cell r="I338" t="str">
            <v>N/E</v>
          </cell>
        </row>
        <row r="339">
          <cell r="A339">
            <v>332</v>
          </cell>
          <cell r="I339" t="str">
            <v>N/E</v>
          </cell>
        </row>
        <row r="340">
          <cell r="A340">
            <v>333</v>
          </cell>
          <cell r="I340" t="str">
            <v>I 0220</v>
          </cell>
        </row>
        <row r="341">
          <cell r="A341">
            <v>334</v>
          </cell>
          <cell r="I341" t="str">
            <v>I 0220</v>
          </cell>
        </row>
        <row r="342">
          <cell r="A342">
            <v>335</v>
          </cell>
          <cell r="I342" t="str">
            <v>I 0220</v>
          </cell>
        </row>
        <row r="343">
          <cell r="A343">
            <v>336</v>
          </cell>
          <cell r="I343" t="str">
            <v>I 0220</v>
          </cell>
        </row>
        <row r="344">
          <cell r="A344">
            <v>337</v>
          </cell>
          <cell r="I344" t="str">
            <v>I 0220</v>
          </cell>
        </row>
        <row r="345">
          <cell r="A345">
            <v>338</v>
          </cell>
          <cell r="I345" t="str">
            <v>I 0233</v>
          </cell>
        </row>
        <row r="346">
          <cell r="A346">
            <v>339</v>
          </cell>
          <cell r="I346" t="str">
            <v>I 0241</v>
          </cell>
        </row>
        <row r="347">
          <cell r="A347">
            <v>340</v>
          </cell>
          <cell r="I347" t="str">
            <v>I 0242</v>
          </cell>
        </row>
        <row r="348">
          <cell r="A348">
            <v>341</v>
          </cell>
          <cell r="I348" t="str">
            <v>I 0235</v>
          </cell>
        </row>
        <row r="349">
          <cell r="A349">
            <v>342</v>
          </cell>
          <cell r="I349" t="str">
            <v>I 0235</v>
          </cell>
        </row>
        <row r="350">
          <cell r="A350">
            <v>343</v>
          </cell>
          <cell r="I350" t="str">
            <v>I 0238</v>
          </cell>
        </row>
        <row r="351">
          <cell r="A351">
            <v>344</v>
          </cell>
          <cell r="I351" t="str">
            <v>I 0238</v>
          </cell>
        </row>
        <row r="352">
          <cell r="A352">
            <v>345</v>
          </cell>
          <cell r="I352" t="str">
            <v>I 0228</v>
          </cell>
        </row>
        <row r="353">
          <cell r="A353">
            <v>346</v>
          </cell>
          <cell r="I353" t="str">
            <v>I 0228</v>
          </cell>
        </row>
        <row r="354">
          <cell r="A354">
            <v>347</v>
          </cell>
          <cell r="I354" t="str">
            <v>I 0228</v>
          </cell>
        </row>
        <row r="355">
          <cell r="A355">
            <v>348</v>
          </cell>
          <cell r="I355" t="str">
            <v>I 0227</v>
          </cell>
        </row>
        <row r="356">
          <cell r="A356">
            <v>349</v>
          </cell>
          <cell r="I356" t="str">
            <v>I 0218 / 0219</v>
          </cell>
        </row>
        <row r="357">
          <cell r="A357">
            <v>350</v>
          </cell>
          <cell r="I357" t="str">
            <v>I 0218 / 0219</v>
          </cell>
        </row>
        <row r="358">
          <cell r="A358">
            <v>351</v>
          </cell>
          <cell r="I358" t="str">
            <v>I 0231</v>
          </cell>
        </row>
        <row r="359">
          <cell r="A359">
            <v>352</v>
          </cell>
          <cell r="I359" t="str">
            <v>I 0231</v>
          </cell>
        </row>
        <row r="360">
          <cell r="A360">
            <v>353</v>
          </cell>
          <cell r="I360" t="str">
            <v>I 0231</v>
          </cell>
        </row>
        <row r="361">
          <cell r="A361">
            <v>354</v>
          </cell>
          <cell r="I361" t="str">
            <v>I 0231</v>
          </cell>
        </row>
        <row r="362">
          <cell r="A362">
            <v>355</v>
          </cell>
          <cell r="I362" t="str">
            <v>I 0231</v>
          </cell>
        </row>
        <row r="363">
          <cell r="A363">
            <v>356</v>
          </cell>
          <cell r="I363" t="str">
            <v>I 0237</v>
          </cell>
        </row>
        <row r="364">
          <cell r="A364">
            <v>357</v>
          </cell>
          <cell r="I364" t="str">
            <v>I 0248</v>
          </cell>
        </row>
        <row r="365">
          <cell r="A365">
            <v>358</v>
          </cell>
          <cell r="I365" t="str">
            <v>I 0245</v>
          </cell>
        </row>
        <row r="366">
          <cell r="A366">
            <v>359</v>
          </cell>
          <cell r="I366" t="str">
            <v>I 0245</v>
          </cell>
        </row>
        <row r="367">
          <cell r="A367">
            <v>360</v>
          </cell>
          <cell r="I367" t="str">
            <v>I 0245</v>
          </cell>
        </row>
        <row r="368">
          <cell r="A368">
            <v>361</v>
          </cell>
          <cell r="I368" t="str">
            <v>I 0245</v>
          </cell>
        </row>
        <row r="369">
          <cell r="A369">
            <v>362</v>
          </cell>
          <cell r="I369" t="str">
            <v>I 0245</v>
          </cell>
        </row>
        <row r="370">
          <cell r="A370">
            <v>363</v>
          </cell>
          <cell r="I370" t="str">
            <v>I 0243</v>
          </cell>
        </row>
        <row r="371">
          <cell r="A371">
            <v>364</v>
          </cell>
          <cell r="I371" t="str">
            <v>I 0246</v>
          </cell>
        </row>
        <row r="372">
          <cell r="A372">
            <v>365</v>
          </cell>
          <cell r="I372" t="str">
            <v>I 0246</v>
          </cell>
        </row>
        <row r="373">
          <cell r="A373">
            <v>366</v>
          </cell>
          <cell r="I373" t="str">
            <v>I 0244</v>
          </cell>
        </row>
        <row r="374">
          <cell r="A374">
            <v>367</v>
          </cell>
          <cell r="I374" t="str">
            <v>I 0244</v>
          </cell>
        </row>
        <row r="375">
          <cell r="A375">
            <v>368</v>
          </cell>
          <cell r="I375" t="str">
            <v>I 0226</v>
          </cell>
        </row>
        <row r="376">
          <cell r="A376">
            <v>369</v>
          </cell>
          <cell r="I376" t="str">
            <v>I 0264 / 0265</v>
          </cell>
        </row>
        <row r="377">
          <cell r="A377">
            <v>370</v>
          </cell>
          <cell r="I377" t="str">
            <v>I 0264 / 0265</v>
          </cell>
        </row>
        <row r="378">
          <cell r="A378">
            <v>371</v>
          </cell>
          <cell r="I378" t="str">
            <v>I 0277</v>
          </cell>
        </row>
        <row r="379">
          <cell r="A379">
            <v>372</v>
          </cell>
          <cell r="I379" t="str">
            <v>I 0277</v>
          </cell>
        </row>
        <row r="380">
          <cell r="A380">
            <v>373</v>
          </cell>
          <cell r="I380" t="str">
            <v>I 0277</v>
          </cell>
        </row>
        <row r="381">
          <cell r="A381">
            <v>374</v>
          </cell>
          <cell r="I381" t="str">
            <v>N/E</v>
          </cell>
        </row>
        <row r="382">
          <cell r="A382">
            <v>375</v>
          </cell>
          <cell r="I382" t="str">
            <v>I 0212</v>
          </cell>
        </row>
        <row r="383">
          <cell r="A383">
            <v>376</v>
          </cell>
          <cell r="I383" t="str">
            <v>I 0251</v>
          </cell>
        </row>
        <row r="384">
          <cell r="A384">
            <v>377</v>
          </cell>
          <cell r="I384" t="str">
            <v>I 0251</v>
          </cell>
        </row>
        <row r="385">
          <cell r="A385">
            <v>378</v>
          </cell>
          <cell r="I385" t="str">
            <v>I 0251</v>
          </cell>
        </row>
        <row r="386">
          <cell r="A386">
            <v>379</v>
          </cell>
          <cell r="I386" t="str">
            <v>I 0286</v>
          </cell>
        </row>
        <row r="387">
          <cell r="A387">
            <v>380</v>
          </cell>
          <cell r="I387" t="str">
            <v>N/E</v>
          </cell>
        </row>
        <row r="388">
          <cell r="A388">
            <v>381</v>
          </cell>
          <cell r="I388" t="str">
            <v>I 0258</v>
          </cell>
        </row>
        <row r="389">
          <cell r="A389">
            <v>382</v>
          </cell>
          <cell r="I389" t="str">
            <v>I 0259</v>
          </cell>
        </row>
        <row r="390">
          <cell r="A390">
            <v>383</v>
          </cell>
          <cell r="I390" t="str">
            <v>I 0266</v>
          </cell>
        </row>
        <row r="391">
          <cell r="A391">
            <v>384</v>
          </cell>
          <cell r="I391" t="str">
            <v>I 0284 / 0285</v>
          </cell>
        </row>
        <row r="392">
          <cell r="A392">
            <v>385</v>
          </cell>
          <cell r="I392" t="str">
            <v>I 0284 / 0285</v>
          </cell>
        </row>
        <row r="393">
          <cell r="A393">
            <v>386</v>
          </cell>
          <cell r="I393" t="str">
            <v>I 0284 / 0285</v>
          </cell>
        </row>
        <row r="394">
          <cell r="A394">
            <v>387</v>
          </cell>
          <cell r="I394" t="str">
            <v>I 0284 / 0285</v>
          </cell>
        </row>
        <row r="395">
          <cell r="A395">
            <v>388</v>
          </cell>
          <cell r="I395" t="str">
            <v>N/E</v>
          </cell>
        </row>
        <row r="396">
          <cell r="A396">
            <v>389</v>
          </cell>
          <cell r="I396" t="str">
            <v>I 0261</v>
          </cell>
        </row>
        <row r="397">
          <cell r="A397">
            <v>390</v>
          </cell>
          <cell r="I397" t="str">
            <v>I 0261</v>
          </cell>
        </row>
        <row r="398">
          <cell r="A398">
            <v>391</v>
          </cell>
          <cell r="I398" t="str">
            <v>I 0261</v>
          </cell>
        </row>
        <row r="399">
          <cell r="A399">
            <v>392</v>
          </cell>
          <cell r="I399" t="str">
            <v>I 0337</v>
          </cell>
        </row>
        <row r="400">
          <cell r="A400">
            <v>393</v>
          </cell>
          <cell r="I400" t="str">
            <v>N/E</v>
          </cell>
        </row>
        <row r="401">
          <cell r="A401">
            <v>394</v>
          </cell>
          <cell r="I401" t="str">
            <v>N/E</v>
          </cell>
        </row>
        <row r="402">
          <cell r="A402">
            <v>395</v>
          </cell>
          <cell r="I402" t="str">
            <v>N/E</v>
          </cell>
        </row>
        <row r="403">
          <cell r="A403">
            <v>396</v>
          </cell>
          <cell r="I403" t="str">
            <v>N/E</v>
          </cell>
        </row>
        <row r="404">
          <cell r="A404">
            <v>397</v>
          </cell>
          <cell r="I404" t="str">
            <v>I 0267</v>
          </cell>
        </row>
        <row r="405">
          <cell r="A405">
            <v>398</v>
          </cell>
          <cell r="I405" t="str">
            <v>I 0267</v>
          </cell>
        </row>
        <row r="406">
          <cell r="A406">
            <v>399</v>
          </cell>
          <cell r="I406" t="str">
            <v>I 0267</v>
          </cell>
        </row>
        <row r="407">
          <cell r="A407">
            <v>400</v>
          </cell>
          <cell r="I407" t="str">
            <v>I 0263</v>
          </cell>
        </row>
        <row r="408">
          <cell r="A408">
            <v>401</v>
          </cell>
          <cell r="I408" t="str">
            <v>I 0263</v>
          </cell>
        </row>
        <row r="409">
          <cell r="A409">
            <v>402</v>
          </cell>
          <cell r="I409" t="str">
            <v>N/E</v>
          </cell>
        </row>
        <row r="410">
          <cell r="A410">
            <v>403</v>
          </cell>
          <cell r="I410" t="str">
            <v>I 0275</v>
          </cell>
        </row>
        <row r="411">
          <cell r="A411">
            <v>404</v>
          </cell>
          <cell r="I411" t="str">
            <v>I 0275</v>
          </cell>
        </row>
        <row r="412">
          <cell r="A412">
            <v>405</v>
          </cell>
          <cell r="I412" t="str">
            <v>I 0275</v>
          </cell>
        </row>
        <row r="413">
          <cell r="A413">
            <v>406</v>
          </cell>
          <cell r="I413" t="str">
            <v>I 0274</v>
          </cell>
        </row>
        <row r="414">
          <cell r="A414">
            <v>407</v>
          </cell>
          <cell r="I414" t="str">
            <v>I 0274</v>
          </cell>
        </row>
        <row r="415">
          <cell r="A415">
            <v>408</v>
          </cell>
          <cell r="I415" t="str">
            <v>I 0246</v>
          </cell>
        </row>
        <row r="416">
          <cell r="A416">
            <v>409</v>
          </cell>
          <cell r="I416" t="str">
            <v>I 0273</v>
          </cell>
        </row>
        <row r="417">
          <cell r="A417">
            <v>410</v>
          </cell>
          <cell r="I417" t="str">
            <v>I 0273</v>
          </cell>
        </row>
        <row r="418">
          <cell r="A418">
            <v>411</v>
          </cell>
          <cell r="I418" t="str">
            <v>N/E</v>
          </cell>
        </row>
        <row r="419">
          <cell r="A419">
            <v>412</v>
          </cell>
          <cell r="I419" t="str">
            <v>N/E</v>
          </cell>
        </row>
        <row r="420">
          <cell r="A420">
            <v>413</v>
          </cell>
          <cell r="I420" t="str">
            <v>I 0279</v>
          </cell>
        </row>
        <row r="421">
          <cell r="A421">
            <v>414</v>
          </cell>
          <cell r="I421" t="str">
            <v>I 0334 / 0338</v>
          </cell>
        </row>
        <row r="422">
          <cell r="A422">
            <v>415</v>
          </cell>
          <cell r="I422" t="str">
            <v>I 0286</v>
          </cell>
        </row>
        <row r="423">
          <cell r="A423">
            <v>416</v>
          </cell>
          <cell r="I423" t="str">
            <v>I 0286</v>
          </cell>
        </row>
        <row r="424">
          <cell r="A424">
            <v>417</v>
          </cell>
          <cell r="I424" t="str">
            <v>N/E</v>
          </cell>
        </row>
        <row r="425">
          <cell r="A425">
            <v>418</v>
          </cell>
          <cell r="I425" t="str">
            <v>I 0280</v>
          </cell>
        </row>
        <row r="426">
          <cell r="A426">
            <v>419</v>
          </cell>
          <cell r="I426" t="str">
            <v>I 0283/0282</v>
          </cell>
        </row>
        <row r="427">
          <cell r="A427">
            <v>420</v>
          </cell>
          <cell r="I427" t="str">
            <v>I 0283/0282</v>
          </cell>
        </row>
        <row r="428">
          <cell r="A428">
            <v>421</v>
          </cell>
          <cell r="I428" t="str">
            <v>I 0283</v>
          </cell>
        </row>
        <row r="429">
          <cell r="A429">
            <v>422</v>
          </cell>
          <cell r="I429" t="str">
            <v>I 0283</v>
          </cell>
        </row>
        <row r="430">
          <cell r="A430">
            <v>423</v>
          </cell>
          <cell r="I430" t="str">
            <v>I 0287</v>
          </cell>
        </row>
        <row r="431">
          <cell r="A431">
            <v>424</v>
          </cell>
          <cell r="I431" t="str">
            <v>I 0292</v>
          </cell>
        </row>
        <row r="432">
          <cell r="A432">
            <v>425</v>
          </cell>
          <cell r="I432" t="str">
            <v>I 0319</v>
          </cell>
        </row>
        <row r="433">
          <cell r="A433">
            <v>426</v>
          </cell>
          <cell r="I433" t="str">
            <v>I 0319</v>
          </cell>
        </row>
        <row r="434">
          <cell r="A434">
            <v>427</v>
          </cell>
          <cell r="I434" t="str">
            <v>I 0319</v>
          </cell>
        </row>
        <row r="435">
          <cell r="A435">
            <v>428</v>
          </cell>
          <cell r="I435" t="str">
            <v>N/E</v>
          </cell>
        </row>
        <row r="436">
          <cell r="A436">
            <v>429</v>
          </cell>
          <cell r="I436" t="str">
            <v>N/E</v>
          </cell>
        </row>
        <row r="437">
          <cell r="A437">
            <v>430</v>
          </cell>
          <cell r="I437" t="str">
            <v>I 0312 / 0333</v>
          </cell>
        </row>
        <row r="438">
          <cell r="A438">
            <v>431</v>
          </cell>
          <cell r="I438" t="str">
            <v>I 0270</v>
          </cell>
        </row>
        <row r="439">
          <cell r="A439">
            <v>432</v>
          </cell>
          <cell r="I439" t="str">
            <v>I 0335</v>
          </cell>
        </row>
        <row r="440">
          <cell r="A440">
            <v>433</v>
          </cell>
          <cell r="I440" t="str">
            <v>I 0335</v>
          </cell>
        </row>
        <row r="441">
          <cell r="A441">
            <v>434</v>
          </cell>
          <cell r="I441" t="str">
            <v>I 0335</v>
          </cell>
        </row>
        <row r="442">
          <cell r="A442">
            <v>435</v>
          </cell>
          <cell r="I442" t="str">
            <v>I 0336</v>
          </cell>
        </row>
        <row r="443">
          <cell r="A443">
            <v>436</v>
          </cell>
          <cell r="I443" t="str">
            <v>I 0335</v>
          </cell>
        </row>
        <row r="444">
          <cell r="A444">
            <v>437</v>
          </cell>
          <cell r="I444" t="str">
            <v>I 0335</v>
          </cell>
        </row>
        <row r="445">
          <cell r="A445">
            <v>438</v>
          </cell>
          <cell r="I445" t="str">
            <v>I 0335</v>
          </cell>
        </row>
        <row r="446">
          <cell r="A446">
            <v>439</v>
          </cell>
          <cell r="I446" t="str">
            <v>I 0335</v>
          </cell>
        </row>
        <row r="447">
          <cell r="A447">
            <v>440</v>
          </cell>
          <cell r="I447" t="str">
            <v>I 0870 / 0979</v>
          </cell>
        </row>
        <row r="448">
          <cell r="A448">
            <v>441</v>
          </cell>
          <cell r="I448" t="str">
            <v>I 0314</v>
          </cell>
        </row>
        <row r="449">
          <cell r="A449">
            <v>442</v>
          </cell>
          <cell r="I449" t="str">
            <v>I 0314</v>
          </cell>
        </row>
        <row r="450">
          <cell r="A450">
            <v>443</v>
          </cell>
          <cell r="I450" t="str">
            <v>I 0314</v>
          </cell>
        </row>
        <row r="451">
          <cell r="A451">
            <v>444</v>
          </cell>
          <cell r="I451" t="str">
            <v>I 0314</v>
          </cell>
        </row>
        <row r="452">
          <cell r="A452">
            <v>445</v>
          </cell>
          <cell r="I452" t="str">
            <v>I 0314</v>
          </cell>
        </row>
        <row r="453">
          <cell r="A453">
            <v>446</v>
          </cell>
          <cell r="I453" t="str">
            <v>I 0314</v>
          </cell>
        </row>
        <row r="454">
          <cell r="A454">
            <v>447</v>
          </cell>
          <cell r="I454" t="str">
            <v>I 0314</v>
          </cell>
        </row>
        <row r="455">
          <cell r="A455">
            <v>448</v>
          </cell>
          <cell r="I455" t="str">
            <v>I 0314</v>
          </cell>
        </row>
        <row r="456">
          <cell r="A456">
            <v>449</v>
          </cell>
          <cell r="I456" t="str">
            <v>I 0314</v>
          </cell>
        </row>
        <row r="457">
          <cell r="A457">
            <v>450</v>
          </cell>
          <cell r="I457" t="str">
            <v>I 0314</v>
          </cell>
        </row>
        <row r="458">
          <cell r="A458">
            <v>451</v>
          </cell>
          <cell r="I458" t="str">
            <v>I 0314</v>
          </cell>
        </row>
        <row r="459">
          <cell r="A459">
            <v>452</v>
          </cell>
          <cell r="I459" t="str">
            <v>I 0298</v>
          </cell>
        </row>
        <row r="460">
          <cell r="A460">
            <v>453</v>
          </cell>
          <cell r="I460" t="str">
            <v>I 0298</v>
          </cell>
        </row>
        <row r="461">
          <cell r="A461">
            <v>454</v>
          </cell>
          <cell r="I461" t="str">
            <v>I 0297</v>
          </cell>
        </row>
        <row r="462">
          <cell r="A462">
            <v>455</v>
          </cell>
          <cell r="I462" t="str">
            <v>I 0297</v>
          </cell>
        </row>
        <row r="463">
          <cell r="A463">
            <v>456</v>
          </cell>
          <cell r="I463" t="str">
            <v>I 0296</v>
          </cell>
        </row>
        <row r="464">
          <cell r="A464">
            <v>457</v>
          </cell>
          <cell r="I464" t="str">
            <v>I 0328 / 0329</v>
          </cell>
        </row>
        <row r="465">
          <cell r="A465">
            <v>458</v>
          </cell>
          <cell r="I465" t="str">
            <v>I 0328 / 0329</v>
          </cell>
        </row>
        <row r="466">
          <cell r="A466">
            <v>459</v>
          </cell>
          <cell r="I466" t="str">
            <v>I 0328 / 0329</v>
          </cell>
        </row>
        <row r="467">
          <cell r="A467">
            <v>460</v>
          </cell>
          <cell r="I467" t="str">
            <v>I 0328 / 0329</v>
          </cell>
        </row>
        <row r="468">
          <cell r="A468">
            <v>461</v>
          </cell>
          <cell r="I468" t="str">
            <v>I 0328 / 0329</v>
          </cell>
        </row>
        <row r="469">
          <cell r="A469">
            <v>462</v>
          </cell>
          <cell r="I469" t="str">
            <v>I 0302</v>
          </cell>
        </row>
        <row r="470">
          <cell r="A470">
            <v>463</v>
          </cell>
          <cell r="I470" t="str">
            <v>I 0324</v>
          </cell>
        </row>
        <row r="471">
          <cell r="A471">
            <v>464</v>
          </cell>
          <cell r="I471" t="str">
            <v>I 0317 / 0318</v>
          </cell>
        </row>
        <row r="472">
          <cell r="A472">
            <v>465</v>
          </cell>
          <cell r="I472" t="str">
            <v>N/E</v>
          </cell>
        </row>
        <row r="473">
          <cell r="A473">
            <v>466</v>
          </cell>
          <cell r="I473" t="str">
            <v>I 0322</v>
          </cell>
        </row>
        <row r="474">
          <cell r="A474">
            <v>467</v>
          </cell>
          <cell r="I474" t="str">
            <v>I 0257</v>
          </cell>
        </row>
        <row r="475">
          <cell r="A475">
            <v>468</v>
          </cell>
          <cell r="I475" t="str">
            <v>I 0309</v>
          </cell>
        </row>
        <row r="476">
          <cell r="A476">
            <v>469</v>
          </cell>
          <cell r="I476" t="str">
            <v>I 0300</v>
          </cell>
        </row>
        <row r="477">
          <cell r="A477">
            <v>470</v>
          </cell>
          <cell r="I477" t="str">
            <v>I 0326</v>
          </cell>
        </row>
        <row r="478">
          <cell r="A478">
            <v>471</v>
          </cell>
          <cell r="I478" t="str">
            <v>I 0303</v>
          </cell>
        </row>
        <row r="479">
          <cell r="A479">
            <v>472</v>
          </cell>
          <cell r="I479" t="str">
            <v>I 0303</v>
          </cell>
        </row>
        <row r="480">
          <cell r="A480">
            <v>473</v>
          </cell>
          <cell r="I480" t="str">
            <v>I 0320</v>
          </cell>
        </row>
        <row r="481">
          <cell r="A481">
            <v>474</v>
          </cell>
          <cell r="I481" t="str">
            <v>N/E</v>
          </cell>
        </row>
        <row r="482">
          <cell r="A482">
            <v>475</v>
          </cell>
          <cell r="I482" t="str">
            <v>I 0112</v>
          </cell>
        </row>
        <row r="483">
          <cell r="A483">
            <v>476</v>
          </cell>
          <cell r="I483" t="str">
            <v>I 0391</v>
          </cell>
        </row>
        <row r="484">
          <cell r="A484">
            <v>477</v>
          </cell>
          <cell r="I484" t="str">
            <v>I 0290 / 0291</v>
          </cell>
        </row>
        <row r="485">
          <cell r="A485">
            <v>478</v>
          </cell>
          <cell r="I485" t="str">
            <v xml:space="preserve">I 0315 </v>
          </cell>
        </row>
        <row r="486">
          <cell r="A486">
            <v>479</v>
          </cell>
          <cell r="I486" t="str">
            <v xml:space="preserve">I 0315 </v>
          </cell>
        </row>
        <row r="487">
          <cell r="A487">
            <v>480</v>
          </cell>
          <cell r="I487" t="str">
            <v>I 0308</v>
          </cell>
        </row>
        <row r="488">
          <cell r="A488">
            <v>481</v>
          </cell>
          <cell r="I488" t="str">
            <v>I 0316</v>
          </cell>
        </row>
        <row r="489">
          <cell r="A489">
            <v>482</v>
          </cell>
          <cell r="I489" t="str">
            <v>I 0295</v>
          </cell>
        </row>
        <row r="490">
          <cell r="A490">
            <v>483</v>
          </cell>
          <cell r="I490" t="str">
            <v>I 0327</v>
          </cell>
        </row>
        <row r="491">
          <cell r="A491">
            <v>484</v>
          </cell>
          <cell r="I491" t="str">
            <v>N/E</v>
          </cell>
        </row>
        <row r="492">
          <cell r="A492">
            <v>485</v>
          </cell>
          <cell r="I492" t="str">
            <v>N/E</v>
          </cell>
        </row>
        <row r="493">
          <cell r="A493">
            <v>486</v>
          </cell>
          <cell r="I493" t="str">
            <v>I 0307</v>
          </cell>
        </row>
        <row r="494">
          <cell r="A494">
            <v>487</v>
          </cell>
          <cell r="I494" t="str">
            <v>I 0307</v>
          </cell>
        </row>
        <row r="495">
          <cell r="A495">
            <v>488</v>
          </cell>
          <cell r="I495" t="str">
            <v>N/E</v>
          </cell>
        </row>
        <row r="496">
          <cell r="A496">
            <v>489</v>
          </cell>
          <cell r="I496" t="str">
            <v>I 0347</v>
          </cell>
        </row>
        <row r="497">
          <cell r="A497">
            <v>490</v>
          </cell>
          <cell r="I497" t="str">
            <v>I 0321</v>
          </cell>
        </row>
        <row r="498">
          <cell r="A498">
            <v>491</v>
          </cell>
          <cell r="I498" t="str">
            <v>I 0321</v>
          </cell>
        </row>
        <row r="499">
          <cell r="A499">
            <v>492</v>
          </cell>
          <cell r="I499" t="str">
            <v>I 0330</v>
          </cell>
        </row>
        <row r="500">
          <cell r="A500">
            <v>493</v>
          </cell>
          <cell r="I500" t="str">
            <v>I 0351 / 0352</v>
          </cell>
        </row>
        <row r="501">
          <cell r="A501">
            <v>494</v>
          </cell>
          <cell r="I501" t="str">
            <v>I 0351 / 0352</v>
          </cell>
        </row>
        <row r="502">
          <cell r="A502">
            <v>495</v>
          </cell>
          <cell r="I502" t="str">
            <v>N/E</v>
          </cell>
        </row>
        <row r="503">
          <cell r="A503">
            <v>496</v>
          </cell>
          <cell r="I503" t="str">
            <v>I 0350</v>
          </cell>
        </row>
        <row r="504">
          <cell r="A504">
            <v>497</v>
          </cell>
          <cell r="I504" t="str">
            <v>I 0350</v>
          </cell>
        </row>
        <row r="505">
          <cell r="A505">
            <v>498</v>
          </cell>
          <cell r="I505" t="str">
            <v>I 0191 / 0192 / 0378</v>
          </cell>
        </row>
        <row r="506">
          <cell r="A506">
            <v>499</v>
          </cell>
          <cell r="I506" t="str">
            <v>I 0191 / 0192 / 0378</v>
          </cell>
        </row>
        <row r="507">
          <cell r="A507">
            <v>500</v>
          </cell>
          <cell r="I507" t="str">
            <v>I 0191 / 0192 / 0378</v>
          </cell>
        </row>
        <row r="508">
          <cell r="A508">
            <v>501</v>
          </cell>
          <cell r="I508" t="str">
            <v>I 0325</v>
          </cell>
        </row>
        <row r="509">
          <cell r="A509">
            <v>502</v>
          </cell>
          <cell r="I509" t="str">
            <v>I 0325</v>
          </cell>
        </row>
        <row r="510">
          <cell r="A510">
            <v>503</v>
          </cell>
          <cell r="I510" t="str">
            <v>I 0360</v>
          </cell>
        </row>
        <row r="511">
          <cell r="A511">
            <v>504</v>
          </cell>
          <cell r="I511" t="str">
            <v>I 0331 / 0332</v>
          </cell>
        </row>
        <row r="512">
          <cell r="A512">
            <v>505</v>
          </cell>
          <cell r="I512" t="str">
            <v>I 0331 / 0332</v>
          </cell>
        </row>
        <row r="513">
          <cell r="A513">
            <v>506</v>
          </cell>
          <cell r="I513" t="str">
            <v>I 0331 / 0332</v>
          </cell>
        </row>
        <row r="514">
          <cell r="A514">
            <v>507</v>
          </cell>
          <cell r="I514" t="str">
            <v>N/E</v>
          </cell>
        </row>
        <row r="515">
          <cell r="A515">
            <v>508</v>
          </cell>
          <cell r="I515" t="str">
            <v>N/E</v>
          </cell>
        </row>
        <row r="516">
          <cell r="A516">
            <v>509</v>
          </cell>
          <cell r="I516" t="str">
            <v>N/E</v>
          </cell>
        </row>
        <row r="517">
          <cell r="A517">
            <v>510</v>
          </cell>
          <cell r="I517" t="str">
            <v>N/E</v>
          </cell>
        </row>
        <row r="518">
          <cell r="A518">
            <v>511</v>
          </cell>
          <cell r="I518" t="str">
            <v>N/E</v>
          </cell>
        </row>
        <row r="519">
          <cell r="A519">
            <v>512</v>
          </cell>
          <cell r="I519" t="str">
            <v>N/E</v>
          </cell>
        </row>
        <row r="520">
          <cell r="A520">
            <v>513</v>
          </cell>
          <cell r="I520" t="str">
            <v>N/E</v>
          </cell>
        </row>
        <row r="521">
          <cell r="A521">
            <v>514</v>
          </cell>
          <cell r="I521" t="str">
            <v>N/E</v>
          </cell>
        </row>
        <row r="522">
          <cell r="A522">
            <v>515</v>
          </cell>
          <cell r="I522" t="str">
            <v>N/E</v>
          </cell>
        </row>
        <row r="523">
          <cell r="A523">
            <v>516</v>
          </cell>
          <cell r="I523" t="str">
            <v>N/E</v>
          </cell>
        </row>
        <row r="524">
          <cell r="A524">
            <v>517</v>
          </cell>
          <cell r="I524" t="str">
            <v>N/E</v>
          </cell>
        </row>
        <row r="525">
          <cell r="A525">
            <v>518</v>
          </cell>
          <cell r="I525" t="str">
            <v>N/E</v>
          </cell>
        </row>
        <row r="526">
          <cell r="A526">
            <v>519</v>
          </cell>
          <cell r="I526" t="str">
            <v>N/E</v>
          </cell>
        </row>
        <row r="527">
          <cell r="A527">
            <v>520</v>
          </cell>
          <cell r="I527" t="str">
            <v>N/E</v>
          </cell>
        </row>
        <row r="528">
          <cell r="A528">
            <v>521</v>
          </cell>
          <cell r="I528" t="str">
            <v>N/E</v>
          </cell>
        </row>
        <row r="529">
          <cell r="A529">
            <v>522</v>
          </cell>
          <cell r="I529" t="str">
            <v>N/E</v>
          </cell>
        </row>
        <row r="530">
          <cell r="A530">
            <v>523</v>
          </cell>
          <cell r="I530" t="str">
            <v>N/E</v>
          </cell>
        </row>
        <row r="531">
          <cell r="A531">
            <v>524</v>
          </cell>
          <cell r="I531" t="str">
            <v>N/E</v>
          </cell>
        </row>
        <row r="532">
          <cell r="A532">
            <v>525</v>
          </cell>
          <cell r="I532" t="str">
            <v>N/E</v>
          </cell>
        </row>
        <row r="533">
          <cell r="A533">
            <v>526</v>
          </cell>
          <cell r="I533" t="str">
            <v>N/E</v>
          </cell>
        </row>
        <row r="534">
          <cell r="A534">
            <v>527</v>
          </cell>
          <cell r="I534" t="str">
            <v>N/E</v>
          </cell>
        </row>
        <row r="535">
          <cell r="A535">
            <v>528</v>
          </cell>
          <cell r="I535" t="str">
            <v>I 0313</v>
          </cell>
        </row>
        <row r="536">
          <cell r="A536">
            <v>529</v>
          </cell>
          <cell r="I536" t="str">
            <v>I 0343</v>
          </cell>
        </row>
        <row r="537">
          <cell r="A537">
            <v>530</v>
          </cell>
          <cell r="I537" t="str">
            <v>I 0344 / 0345</v>
          </cell>
        </row>
        <row r="538">
          <cell r="A538">
            <v>531</v>
          </cell>
          <cell r="I538" t="str">
            <v>I 0344 / 0345</v>
          </cell>
        </row>
        <row r="539">
          <cell r="A539">
            <v>532</v>
          </cell>
          <cell r="I539" t="str">
            <v>I 0357 / 0358</v>
          </cell>
        </row>
        <row r="540">
          <cell r="A540">
            <v>533</v>
          </cell>
          <cell r="I540" t="str">
            <v>I 0357 / 0358</v>
          </cell>
        </row>
        <row r="541">
          <cell r="A541">
            <v>534</v>
          </cell>
          <cell r="I541" t="str">
            <v>I 0357 / 0358</v>
          </cell>
        </row>
        <row r="542">
          <cell r="A542">
            <v>535</v>
          </cell>
          <cell r="I542" t="str">
            <v>N/E</v>
          </cell>
        </row>
        <row r="543">
          <cell r="A543">
            <v>536</v>
          </cell>
          <cell r="I543" t="str">
            <v>I 0042</v>
          </cell>
        </row>
        <row r="544">
          <cell r="A544">
            <v>537</v>
          </cell>
          <cell r="I544" t="str">
            <v>I 0353</v>
          </cell>
        </row>
        <row r="545">
          <cell r="A545">
            <v>538</v>
          </cell>
          <cell r="I545" t="str">
            <v>I 0353</v>
          </cell>
        </row>
        <row r="546">
          <cell r="A546">
            <v>539</v>
          </cell>
          <cell r="I546" t="str">
            <v>I 0353</v>
          </cell>
        </row>
        <row r="547">
          <cell r="A547">
            <v>540</v>
          </cell>
          <cell r="I547" t="str">
            <v>I 0353</v>
          </cell>
        </row>
        <row r="548">
          <cell r="A548">
            <v>541</v>
          </cell>
          <cell r="I548" t="str">
            <v>I 0353</v>
          </cell>
        </row>
        <row r="549">
          <cell r="A549">
            <v>542</v>
          </cell>
          <cell r="I549" t="str">
            <v>I 0353</v>
          </cell>
        </row>
        <row r="550">
          <cell r="A550">
            <v>543</v>
          </cell>
          <cell r="I550" t="str">
            <v>I 0353</v>
          </cell>
        </row>
        <row r="551">
          <cell r="A551">
            <v>544</v>
          </cell>
          <cell r="I551" t="str">
            <v>I 0353</v>
          </cell>
        </row>
        <row r="552">
          <cell r="A552">
            <v>545</v>
          </cell>
          <cell r="I552" t="str">
            <v>I 0353</v>
          </cell>
        </row>
        <row r="553">
          <cell r="A553">
            <v>546</v>
          </cell>
          <cell r="I553" t="str">
            <v>I 0544 / 0545</v>
          </cell>
        </row>
        <row r="554">
          <cell r="A554">
            <v>547</v>
          </cell>
          <cell r="I554" t="str">
            <v>I 0337</v>
          </cell>
        </row>
        <row r="555">
          <cell r="A555">
            <v>548</v>
          </cell>
          <cell r="I555" t="str">
            <v>I 0337</v>
          </cell>
        </row>
        <row r="556">
          <cell r="A556">
            <v>549</v>
          </cell>
          <cell r="I556" t="str">
            <v>I 0361</v>
          </cell>
        </row>
        <row r="557">
          <cell r="A557">
            <v>550</v>
          </cell>
          <cell r="I557" t="str">
            <v>N/E</v>
          </cell>
        </row>
        <row r="558">
          <cell r="A558">
            <v>551</v>
          </cell>
          <cell r="I558" t="str">
            <v>N/E</v>
          </cell>
        </row>
        <row r="559">
          <cell r="A559">
            <v>552</v>
          </cell>
          <cell r="I559" t="str">
            <v>N/E</v>
          </cell>
        </row>
        <row r="560">
          <cell r="A560">
            <v>553</v>
          </cell>
          <cell r="I560" t="str">
            <v>N/E</v>
          </cell>
        </row>
        <row r="561">
          <cell r="A561">
            <v>554</v>
          </cell>
          <cell r="I561" t="str">
            <v>I 0359</v>
          </cell>
        </row>
        <row r="562">
          <cell r="A562">
            <v>555</v>
          </cell>
          <cell r="I562" t="str">
            <v>I 0379 / 0380</v>
          </cell>
        </row>
        <row r="563">
          <cell r="A563">
            <v>556</v>
          </cell>
          <cell r="I563" t="str">
            <v>N/E</v>
          </cell>
        </row>
        <row r="564">
          <cell r="A564">
            <v>557</v>
          </cell>
          <cell r="I564" t="str">
            <v>N/E</v>
          </cell>
        </row>
        <row r="565">
          <cell r="A565">
            <v>558</v>
          </cell>
          <cell r="I565" t="str">
            <v>I 0379 / 0380</v>
          </cell>
        </row>
        <row r="566">
          <cell r="A566">
            <v>559</v>
          </cell>
          <cell r="I566" t="str">
            <v>I 0550 / 0551</v>
          </cell>
        </row>
        <row r="567">
          <cell r="A567">
            <v>560</v>
          </cell>
          <cell r="I567" t="str">
            <v>I 0550 / 0551</v>
          </cell>
        </row>
        <row r="568">
          <cell r="A568">
            <v>561</v>
          </cell>
          <cell r="I568" t="str">
            <v>I 0550 / 0551</v>
          </cell>
        </row>
        <row r="569">
          <cell r="A569">
            <v>562</v>
          </cell>
          <cell r="I569" t="str">
            <v>I 0550 / 0551</v>
          </cell>
        </row>
        <row r="570">
          <cell r="A570">
            <v>563</v>
          </cell>
          <cell r="I570" t="str">
            <v>I 0550 / 0551</v>
          </cell>
        </row>
        <row r="571">
          <cell r="A571">
            <v>564</v>
          </cell>
          <cell r="I571" t="str">
            <v>I 0550 / 0551</v>
          </cell>
        </row>
        <row r="572">
          <cell r="A572">
            <v>565</v>
          </cell>
          <cell r="I572" t="str">
            <v>I 0927</v>
          </cell>
        </row>
        <row r="573">
          <cell r="A573">
            <v>566</v>
          </cell>
          <cell r="I573" t="str">
            <v>I 0927</v>
          </cell>
        </row>
        <row r="574">
          <cell r="A574">
            <v>567</v>
          </cell>
          <cell r="I574" t="str">
            <v>I 0939</v>
          </cell>
        </row>
        <row r="575">
          <cell r="A575">
            <v>568</v>
          </cell>
          <cell r="I575" t="str">
            <v>I 1004</v>
          </cell>
        </row>
        <row r="576">
          <cell r="A576">
            <v>569</v>
          </cell>
          <cell r="I576" t="str">
            <v>I 1132 / 1133 / 1130 / 1131</v>
          </cell>
        </row>
        <row r="577">
          <cell r="A577">
            <v>570</v>
          </cell>
          <cell r="I577" t="str">
            <v>I 1150</v>
          </cell>
        </row>
        <row r="578">
          <cell r="A578">
            <v>571</v>
          </cell>
          <cell r="I578" t="str">
            <v>I 1151</v>
          </cell>
        </row>
        <row r="579">
          <cell r="A579">
            <v>572</v>
          </cell>
          <cell r="I579" t="str">
            <v>I 0996</v>
          </cell>
        </row>
        <row r="580">
          <cell r="A580">
            <v>573</v>
          </cell>
          <cell r="I580" t="str">
            <v>I 0996</v>
          </cell>
        </row>
        <row r="581">
          <cell r="A581">
            <v>574</v>
          </cell>
          <cell r="I581" t="str">
            <v>I 0996</v>
          </cell>
        </row>
        <row r="582">
          <cell r="A582">
            <v>575</v>
          </cell>
          <cell r="I582" t="str">
            <v>I 0996</v>
          </cell>
        </row>
        <row r="583">
          <cell r="A583">
            <v>576</v>
          </cell>
          <cell r="I583" t="str">
            <v>I 0994 / 0995</v>
          </cell>
        </row>
        <row r="584">
          <cell r="A584">
            <v>577</v>
          </cell>
          <cell r="I584" t="str">
            <v>N/E</v>
          </cell>
        </row>
        <row r="585">
          <cell r="A585">
            <v>578</v>
          </cell>
          <cell r="I585" t="str">
            <v>N/E</v>
          </cell>
        </row>
        <row r="586">
          <cell r="A586">
            <v>579</v>
          </cell>
          <cell r="I586" t="str">
            <v>I 0996</v>
          </cell>
        </row>
        <row r="587">
          <cell r="A587">
            <v>580</v>
          </cell>
          <cell r="I587" t="str">
            <v>N/E</v>
          </cell>
        </row>
        <row r="588">
          <cell r="A588">
            <v>581</v>
          </cell>
          <cell r="I588" t="str">
            <v>N/E</v>
          </cell>
        </row>
        <row r="589">
          <cell r="A589">
            <v>582</v>
          </cell>
          <cell r="I589" t="str">
            <v>N/E</v>
          </cell>
        </row>
        <row r="590">
          <cell r="A590">
            <v>583</v>
          </cell>
          <cell r="I590" t="str">
            <v>N/E</v>
          </cell>
        </row>
        <row r="591">
          <cell r="A591">
            <v>584</v>
          </cell>
          <cell r="I591" t="str">
            <v>N/E</v>
          </cell>
        </row>
        <row r="592">
          <cell r="A592">
            <v>585</v>
          </cell>
          <cell r="I592" t="str">
            <v>N/E</v>
          </cell>
        </row>
        <row r="593">
          <cell r="A593">
            <v>586</v>
          </cell>
          <cell r="I593" t="str">
            <v>N/E</v>
          </cell>
        </row>
        <row r="594">
          <cell r="A594">
            <v>587</v>
          </cell>
          <cell r="I594" t="str">
            <v>N/E</v>
          </cell>
        </row>
        <row r="595">
          <cell r="A595">
            <v>588</v>
          </cell>
          <cell r="I595" t="str">
            <v>I 0579</v>
          </cell>
        </row>
        <row r="596">
          <cell r="A596">
            <v>589</v>
          </cell>
          <cell r="I596" t="str">
            <v>I 1086</v>
          </cell>
        </row>
        <row r="597">
          <cell r="A597">
            <v>590</v>
          </cell>
          <cell r="I597" t="str">
            <v>I 1086</v>
          </cell>
        </row>
        <row r="598">
          <cell r="A598">
            <v>591</v>
          </cell>
          <cell r="I598" t="str">
            <v>I 1086</v>
          </cell>
        </row>
        <row r="599">
          <cell r="A599">
            <v>592</v>
          </cell>
          <cell r="I599" t="str">
            <v>I 1086</v>
          </cell>
        </row>
        <row r="600">
          <cell r="A600">
            <v>593</v>
          </cell>
          <cell r="I600" t="str">
            <v>N/E</v>
          </cell>
        </row>
        <row r="601">
          <cell r="A601">
            <v>594</v>
          </cell>
          <cell r="I601" t="str">
            <v>N/E</v>
          </cell>
        </row>
        <row r="602">
          <cell r="A602">
            <v>595</v>
          </cell>
          <cell r="I602" t="str">
            <v>I 0381-0382-0383-0384-0385</v>
          </cell>
        </row>
        <row r="603">
          <cell r="A603">
            <v>596</v>
          </cell>
          <cell r="I603" t="str">
            <v>I 0381-0382-0383-0384-0385</v>
          </cell>
        </row>
        <row r="604">
          <cell r="A604">
            <v>597</v>
          </cell>
          <cell r="I604" t="str">
            <v>I 0381-0382-0383-0384-0385</v>
          </cell>
        </row>
        <row r="605">
          <cell r="A605">
            <v>598</v>
          </cell>
          <cell r="I605" t="str">
            <v>I 0381-0382-0383-0384-0385</v>
          </cell>
        </row>
        <row r="606">
          <cell r="A606">
            <v>599</v>
          </cell>
          <cell r="I606" t="str">
            <v>I 0381-0382-0383-0384-0385</v>
          </cell>
        </row>
        <row r="607">
          <cell r="A607">
            <v>600</v>
          </cell>
          <cell r="I607" t="str">
            <v>I 0381-0382-0383-0384-0385</v>
          </cell>
        </row>
        <row r="608">
          <cell r="A608">
            <v>601</v>
          </cell>
          <cell r="I608" t="str">
            <v>I 0381-0382-0383-0384-0385</v>
          </cell>
        </row>
        <row r="609">
          <cell r="A609">
            <v>602</v>
          </cell>
          <cell r="I609" t="str">
            <v>I 0376</v>
          </cell>
        </row>
        <row r="610">
          <cell r="A610">
            <v>603</v>
          </cell>
          <cell r="I610" t="str">
            <v>I 0377</v>
          </cell>
        </row>
        <row r="611">
          <cell r="A611">
            <v>604</v>
          </cell>
          <cell r="I611" t="str">
            <v>I 0363</v>
          </cell>
        </row>
        <row r="612">
          <cell r="A612">
            <v>605</v>
          </cell>
          <cell r="I612" t="str">
            <v>I 0394</v>
          </cell>
        </row>
        <row r="613">
          <cell r="A613">
            <v>606</v>
          </cell>
          <cell r="I613" t="str">
            <v>I 0394</v>
          </cell>
        </row>
        <row r="614">
          <cell r="A614">
            <v>607</v>
          </cell>
          <cell r="I614" t="str">
            <v>I 0394</v>
          </cell>
        </row>
        <row r="615">
          <cell r="A615">
            <v>608</v>
          </cell>
          <cell r="I615" t="str">
            <v>N/E</v>
          </cell>
        </row>
        <row r="616">
          <cell r="A616">
            <v>609</v>
          </cell>
          <cell r="I616" t="str">
            <v>I 0364</v>
          </cell>
        </row>
        <row r="617">
          <cell r="A617">
            <v>610</v>
          </cell>
          <cell r="I617" t="str">
            <v>N/E</v>
          </cell>
        </row>
        <row r="618">
          <cell r="A618">
            <v>611</v>
          </cell>
          <cell r="I618" t="str">
            <v>N/E</v>
          </cell>
        </row>
        <row r="619">
          <cell r="A619">
            <v>612</v>
          </cell>
          <cell r="I619" t="str">
            <v>I 0366</v>
          </cell>
        </row>
        <row r="620">
          <cell r="A620">
            <v>613</v>
          </cell>
          <cell r="I620" t="str">
            <v>I 0374 / 0375</v>
          </cell>
        </row>
        <row r="621">
          <cell r="A621">
            <v>614</v>
          </cell>
          <cell r="I621" t="str">
            <v>I 0374 / 0375</v>
          </cell>
        </row>
        <row r="622">
          <cell r="A622">
            <v>615</v>
          </cell>
          <cell r="I622" t="str">
            <v>I 0374 / 0375</v>
          </cell>
        </row>
        <row r="623">
          <cell r="A623">
            <v>616</v>
          </cell>
          <cell r="I623" t="str">
            <v>I 0374 / 0375</v>
          </cell>
        </row>
        <row r="624">
          <cell r="A624">
            <v>617</v>
          </cell>
          <cell r="I624" t="str">
            <v>I 0374 / 0375</v>
          </cell>
        </row>
        <row r="625">
          <cell r="A625">
            <v>618</v>
          </cell>
          <cell r="I625" t="str">
            <v>I 0374 / 0375</v>
          </cell>
        </row>
        <row r="626">
          <cell r="A626">
            <v>619</v>
          </cell>
          <cell r="I626" t="str">
            <v>I 0374 / 0375</v>
          </cell>
        </row>
        <row r="627">
          <cell r="A627">
            <v>620</v>
          </cell>
          <cell r="I627" t="str">
            <v>I 0374 / 0375</v>
          </cell>
        </row>
        <row r="628">
          <cell r="A628">
            <v>621</v>
          </cell>
          <cell r="I628" t="str">
            <v>I 0374 / 0375</v>
          </cell>
        </row>
        <row r="629">
          <cell r="A629">
            <v>622</v>
          </cell>
          <cell r="I629" t="str">
            <v>I 0374 / 0375</v>
          </cell>
        </row>
        <row r="630">
          <cell r="A630">
            <v>623</v>
          </cell>
          <cell r="I630" t="str">
            <v>I 0374 / 0375</v>
          </cell>
        </row>
        <row r="631">
          <cell r="A631">
            <v>624</v>
          </cell>
          <cell r="I631" t="str">
            <v>I 0374 / 0375</v>
          </cell>
        </row>
        <row r="632">
          <cell r="A632">
            <v>625</v>
          </cell>
          <cell r="I632" t="str">
            <v>I 0395</v>
          </cell>
        </row>
        <row r="633">
          <cell r="A633">
            <v>626</v>
          </cell>
          <cell r="I633" t="str">
            <v>I 0395</v>
          </cell>
        </row>
        <row r="634">
          <cell r="A634">
            <v>627</v>
          </cell>
          <cell r="I634" t="str">
            <v>I 0395</v>
          </cell>
        </row>
        <row r="635">
          <cell r="A635">
            <v>628</v>
          </cell>
          <cell r="I635" t="str">
            <v>I 0395</v>
          </cell>
        </row>
        <row r="636">
          <cell r="A636">
            <v>629</v>
          </cell>
          <cell r="I636" t="str">
            <v>I 0395/ I 0515</v>
          </cell>
        </row>
        <row r="637">
          <cell r="A637">
            <v>630</v>
          </cell>
          <cell r="I637" t="str">
            <v>I 0373</v>
          </cell>
        </row>
        <row r="638">
          <cell r="A638">
            <v>631</v>
          </cell>
          <cell r="I638" t="str">
            <v>N/E</v>
          </cell>
        </row>
        <row r="639">
          <cell r="A639">
            <v>632</v>
          </cell>
          <cell r="I639" t="str">
            <v>N/E</v>
          </cell>
        </row>
        <row r="640">
          <cell r="A640">
            <v>633</v>
          </cell>
          <cell r="I640" t="str">
            <v>N/E</v>
          </cell>
        </row>
        <row r="641">
          <cell r="A641">
            <v>634</v>
          </cell>
          <cell r="I641" t="str">
            <v>N/E</v>
          </cell>
        </row>
        <row r="642">
          <cell r="A642">
            <v>635</v>
          </cell>
          <cell r="I642" t="str">
            <v>N/E</v>
          </cell>
        </row>
        <row r="643">
          <cell r="A643">
            <v>636</v>
          </cell>
          <cell r="I643" t="str">
            <v>N/E</v>
          </cell>
        </row>
        <row r="644">
          <cell r="A644">
            <v>637</v>
          </cell>
          <cell r="I644" t="str">
            <v>N/E</v>
          </cell>
        </row>
        <row r="645">
          <cell r="A645">
            <v>638</v>
          </cell>
          <cell r="I645" t="str">
            <v>N/E</v>
          </cell>
        </row>
        <row r="646">
          <cell r="A646">
            <v>639</v>
          </cell>
          <cell r="I646" t="str">
            <v>N/E</v>
          </cell>
        </row>
        <row r="647">
          <cell r="A647">
            <v>640</v>
          </cell>
          <cell r="I647" t="str">
            <v>I 0436 / 0437</v>
          </cell>
        </row>
        <row r="648">
          <cell r="A648">
            <v>641</v>
          </cell>
          <cell r="I648" t="str">
            <v>I 0436 / 0437</v>
          </cell>
        </row>
        <row r="649">
          <cell r="A649">
            <v>642</v>
          </cell>
          <cell r="I649" t="str">
            <v>I 0436 / 0437</v>
          </cell>
        </row>
        <row r="650">
          <cell r="A650">
            <v>643</v>
          </cell>
          <cell r="I650" t="str">
            <v>I 0354 / 0355</v>
          </cell>
        </row>
        <row r="651">
          <cell r="A651">
            <v>644</v>
          </cell>
          <cell r="I651" t="str">
            <v>I 0354 / 0355</v>
          </cell>
        </row>
        <row r="652">
          <cell r="A652">
            <v>645</v>
          </cell>
          <cell r="I652" t="str">
            <v>N/E</v>
          </cell>
        </row>
        <row r="653">
          <cell r="A653">
            <v>646</v>
          </cell>
          <cell r="I653" t="str">
            <v>I 0426</v>
          </cell>
        </row>
        <row r="654">
          <cell r="A654">
            <v>647</v>
          </cell>
          <cell r="I654" t="str">
            <v>I 0446</v>
          </cell>
        </row>
        <row r="655">
          <cell r="A655">
            <v>648</v>
          </cell>
          <cell r="I655" t="str">
            <v>I 0406</v>
          </cell>
        </row>
        <row r="656">
          <cell r="A656">
            <v>649</v>
          </cell>
          <cell r="I656" t="str">
            <v>I 0399</v>
          </cell>
        </row>
        <row r="657">
          <cell r="A657">
            <v>650</v>
          </cell>
          <cell r="I657" t="str">
            <v>I 0399</v>
          </cell>
        </row>
        <row r="658">
          <cell r="A658">
            <v>651</v>
          </cell>
          <cell r="I658" t="str">
            <v>I 0398</v>
          </cell>
        </row>
        <row r="659">
          <cell r="A659">
            <v>652</v>
          </cell>
          <cell r="I659" t="str">
            <v>I 0274</v>
          </cell>
        </row>
        <row r="660">
          <cell r="A660">
            <v>653</v>
          </cell>
          <cell r="I660" t="str">
            <v>I 1034</v>
          </cell>
        </row>
        <row r="661">
          <cell r="A661">
            <v>654</v>
          </cell>
          <cell r="I661" t="str">
            <v>I 1034</v>
          </cell>
        </row>
        <row r="662">
          <cell r="A662">
            <v>655</v>
          </cell>
          <cell r="I662" t="str">
            <v>I 1034</v>
          </cell>
        </row>
        <row r="663">
          <cell r="A663">
            <v>656</v>
          </cell>
          <cell r="I663" t="str">
            <v>I 1034</v>
          </cell>
        </row>
        <row r="664">
          <cell r="A664">
            <v>657</v>
          </cell>
          <cell r="I664" t="str">
            <v>I 0559</v>
          </cell>
        </row>
        <row r="665">
          <cell r="A665">
            <v>658</v>
          </cell>
          <cell r="I665" t="str">
            <v>I 0408</v>
          </cell>
        </row>
        <row r="666">
          <cell r="A666">
            <v>659</v>
          </cell>
          <cell r="I666" t="str">
            <v>I 0390</v>
          </cell>
        </row>
        <row r="667">
          <cell r="A667">
            <v>660</v>
          </cell>
          <cell r="I667" t="str">
            <v>N/E</v>
          </cell>
        </row>
        <row r="668">
          <cell r="A668">
            <v>661</v>
          </cell>
          <cell r="I668" t="str">
            <v>N/E</v>
          </cell>
        </row>
        <row r="669">
          <cell r="A669">
            <v>662</v>
          </cell>
          <cell r="I669" t="str">
            <v>N/E</v>
          </cell>
        </row>
        <row r="670">
          <cell r="A670">
            <v>663</v>
          </cell>
          <cell r="I670" t="str">
            <v>I 0488 / 0489</v>
          </cell>
        </row>
        <row r="671">
          <cell r="A671">
            <v>664</v>
          </cell>
          <cell r="I671" t="str">
            <v>I 0488 / 0489</v>
          </cell>
        </row>
        <row r="672">
          <cell r="A672">
            <v>665</v>
          </cell>
          <cell r="I672" t="str">
            <v>N/E</v>
          </cell>
        </row>
        <row r="673">
          <cell r="A673">
            <v>666</v>
          </cell>
          <cell r="I673" t="str">
            <v>I 0396</v>
          </cell>
        </row>
        <row r="674">
          <cell r="A674">
            <v>667</v>
          </cell>
          <cell r="I674" t="str">
            <v>N/E</v>
          </cell>
        </row>
        <row r="675">
          <cell r="A675">
            <v>668</v>
          </cell>
          <cell r="I675" t="str">
            <v>I 0425</v>
          </cell>
        </row>
        <row r="676">
          <cell r="A676">
            <v>669</v>
          </cell>
          <cell r="I676" t="str">
            <v>I 0423 / 0424</v>
          </cell>
        </row>
        <row r="677">
          <cell r="A677">
            <v>670</v>
          </cell>
          <cell r="I677" t="str">
            <v>I 0423 / 0424</v>
          </cell>
        </row>
        <row r="678">
          <cell r="A678">
            <v>671</v>
          </cell>
          <cell r="I678" t="str">
            <v>I 0425</v>
          </cell>
        </row>
        <row r="679">
          <cell r="A679">
            <v>672</v>
          </cell>
          <cell r="I679" t="str">
            <v>N/E</v>
          </cell>
        </row>
        <row r="680">
          <cell r="A680">
            <v>673</v>
          </cell>
          <cell r="I680" t="str">
            <v>N/E</v>
          </cell>
        </row>
        <row r="681">
          <cell r="A681">
            <v>674</v>
          </cell>
          <cell r="I681" t="str">
            <v>N/E</v>
          </cell>
        </row>
        <row r="682">
          <cell r="A682">
            <v>675</v>
          </cell>
          <cell r="I682" t="str">
            <v>N/E</v>
          </cell>
        </row>
        <row r="683">
          <cell r="A683">
            <v>676</v>
          </cell>
          <cell r="I683" t="str">
            <v>N/E</v>
          </cell>
        </row>
        <row r="684">
          <cell r="A684">
            <v>677</v>
          </cell>
          <cell r="I684" t="str">
            <v>N/E</v>
          </cell>
        </row>
        <row r="685">
          <cell r="A685">
            <v>678</v>
          </cell>
          <cell r="I685" t="str">
            <v>I 0453 / 0454</v>
          </cell>
        </row>
        <row r="686">
          <cell r="A686">
            <v>679</v>
          </cell>
          <cell r="I686" t="str">
            <v>I 0455 / 0456</v>
          </cell>
        </row>
        <row r="687">
          <cell r="A687">
            <v>680</v>
          </cell>
          <cell r="I687" t="str">
            <v>I 0455 / 0456</v>
          </cell>
        </row>
        <row r="688">
          <cell r="A688">
            <v>681</v>
          </cell>
          <cell r="I688"/>
        </row>
        <row r="689">
          <cell r="A689">
            <v>682</v>
          </cell>
          <cell r="I689" t="str">
            <v>N/E</v>
          </cell>
        </row>
        <row r="690">
          <cell r="A690">
            <v>683</v>
          </cell>
          <cell r="I690" t="str">
            <v>I 0459 / 0460</v>
          </cell>
        </row>
        <row r="691">
          <cell r="A691">
            <v>684</v>
          </cell>
          <cell r="I691" t="str">
            <v>I 0455 / 0456</v>
          </cell>
        </row>
        <row r="692">
          <cell r="A692">
            <v>685</v>
          </cell>
          <cell r="I692" t="str">
            <v>I 0453 / 0454</v>
          </cell>
        </row>
        <row r="693">
          <cell r="A693">
            <v>686</v>
          </cell>
          <cell r="I693" t="str">
            <v>I 0453 / 0454</v>
          </cell>
        </row>
        <row r="694">
          <cell r="A694">
            <v>687</v>
          </cell>
          <cell r="I694" t="str">
            <v>I 0457 / 0458</v>
          </cell>
        </row>
        <row r="695">
          <cell r="A695">
            <v>688</v>
          </cell>
          <cell r="I695" t="str">
            <v>I 0400</v>
          </cell>
        </row>
        <row r="696">
          <cell r="A696">
            <v>689</v>
          </cell>
          <cell r="I696" t="str">
            <v>I 0400</v>
          </cell>
        </row>
        <row r="697">
          <cell r="A697">
            <v>690</v>
          </cell>
          <cell r="I697" t="str">
            <v>I 0402</v>
          </cell>
        </row>
        <row r="698">
          <cell r="A698">
            <v>691</v>
          </cell>
          <cell r="I698" t="str">
            <v>I 0402</v>
          </cell>
        </row>
        <row r="699">
          <cell r="A699">
            <v>692</v>
          </cell>
          <cell r="I699" t="str">
            <v>I 0365</v>
          </cell>
        </row>
        <row r="700">
          <cell r="A700">
            <v>693</v>
          </cell>
          <cell r="I700" t="str">
            <v>I 0365</v>
          </cell>
        </row>
        <row r="701">
          <cell r="A701">
            <v>694</v>
          </cell>
          <cell r="I701" t="str">
            <v>I 0365</v>
          </cell>
        </row>
        <row r="702">
          <cell r="A702">
            <v>695</v>
          </cell>
          <cell r="I702" t="str">
            <v>I 0365</v>
          </cell>
        </row>
        <row r="703">
          <cell r="A703">
            <v>696</v>
          </cell>
          <cell r="I703" t="str">
            <v>I 0369</v>
          </cell>
        </row>
        <row r="704">
          <cell r="A704">
            <v>697</v>
          </cell>
          <cell r="I704" t="str">
            <v>I 0369</v>
          </cell>
        </row>
        <row r="705">
          <cell r="A705">
            <v>698</v>
          </cell>
          <cell r="I705" t="str">
            <v>I 0369</v>
          </cell>
        </row>
        <row r="706">
          <cell r="A706">
            <v>699</v>
          </cell>
          <cell r="I706" t="str">
            <v>N/E</v>
          </cell>
        </row>
        <row r="707">
          <cell r="A707">
            <v>700</v>
          </cell>
          <cell r="I707" t="str">
            <v>N/E</v>
          </cell>
        </row>
        <row r="708">
          <cell r="A708">
            <v>701</v>
          </cell>
          <cell r="I708" t="str">
            <v>N/E</v>
          </cell>
        </row>
        <row r="709">
          <cell r="A709">
            <v>702</v>
          </cell>
          <cell r="I709" t="str">
            <v>I 0276</v>
          </cell>
        </row>
        <row r="710">
          <cell r="A710">
            <v>703</v>
          </cell>
          <cell r="I710" t="str">
            <v>I 0404</v>
          </cell>
        </row>
        <row r="711">
          <cell r="A711">
            <v>704</v>
          </cell>
          <cell r="I711" t="str">
            <v>I 0405</v>
          </cell>
        </row>
        <row r="712">
          <cell r="A712">
            <v>705</v>
          </cell>
          <cell r="I712" t="str">
            <v>I 0593</v>
          </cell>
        </row>
        <row r="713">
          <cell r="A713">
            <v>706</v>
          </cell>
          <cell r="I713" t="str">
            <v>I 0403</v>
          </cell>
        </row>
        <row r="714">
          <cell r="A714">
            <v>707</v>
          </cell>
          <cell r="I714" t="str">
            <v>I 0370/0465</v>
          </cell>
        </row>
        <row r="715">
          <cell r="A715">
            <v>708</v>
          </cell>
          <cell r="I715" t="str">
            <v>I 0371 / 0372</v>
          </cell>
        </row>
        <row r="716">
          <cell r="A716">
            <v>709</v>
          </cell>
          <cell r="I716" t="str">
            <v>N/E</v>
          </cell>
        </row>
        <row r="717">
          <cell r="A717">
            <v>710</v>
          </cell>
          <cell r="I717" t="str">
            <v>N/E</v>
          </cell>
        </row>
        <row r="718">
          <cell r="A718">
            <v>711</v>
          </cell>
          <cell r="I718" t="str">
            <v>N/E</v>
          </cell>
        </row>
        <row r="719">
          <cell r="A719">
            <v>712</v>
          </cell>
          <cell r="I719" t="str">
            <v>N/E</v>
          </cell>
        </row>
        <row r="720">
          <cell r="A720">
            <v>713</v>
          </cell>
          <cell r="I720" t="str">
            <v>N/E</v>
          </cell>
        </row>
        <row r="721">
          <cell r="A721">
            <v>714</v>
          </cell>
          <cell r="I721" t="str">
            <v>N/E</v>
          </cell>
        </row>
        <row r="722">
          <cell r="A722">
            <v>715</v>
          </cell>
          <cell r="I722" t="str">
            <v>I 0401</v>
          </cell>
        </row>
        <row r="723">
          <cell r="A723">
            <v>716</v>
          </cell>
          <cell r="I723" t="str">
            <v>I 0486 / 0487</v>
          </cell>
        </row>
        <row r="724">
          <cell r="A724">
            <v>717</v>
          </cell>
          <cell r="I724" t="str">
            <v>I 0486 / 0487</v>
          </cell>
        </row>
        <row r="725">
          <cell r="A725">
            <v>718</v>
          </cell>
          <cell r="I725" t="str">
            <v>I 0413</v>
          </cell>
        </row>
        <row r="726">
          <cell r="A726">
            <v>719</v>
          </cell>
          <cell r="I726" t="str">
            <v>I 0413</v>
          </cell>
        </row>
        <row r="727">
          <cell r="A727">
            <v>720</v>
          </cell>
          <cell r="I727" t="str">
            <v>I 0413</v>
          </cell>
        </row>
        <row r="728">
          <cell r="A728">
            <v>721</v>
          </cell>
          <cell r="I728" t="str">
            <v>I 0413</v>
          </cell>
        </row>
        <row r="729">
          <cell r="A729">
            <v>722</v>
          </cell>
          <cell r="I729" t="str">
            <v>I 0413</v>
          </cell>
        </row>
        <row r="730">
          <cell r="A730">
            <v>723</v>
          </cell>
          <cell r="I730" t="str">
            <v>N/E</v>
          </cell>
        </row>
        <row r="731">
          <cell r="A731">
            <v>724</v>
          </cell>
          <cell r="I731" t="str">
            <v>I 0490 / 0496 / 0499</v>
          </cell>
        </row>
        <row r="732">
          <cell r="A732">
            <v>725</v>
          </cell>
          <cell r="I732" t="str">
            <v>N/E</v>
          </cell>
        </row>
        <row r="733">
          <cell r="A733">
            <v>726</v>
          </cell>
          <cell r="I733" t="str">
            <v>N/E</v>
          </cell>
        </row>
        <row r="734">
          <cell r="A734">
            <v>727</v>
          </cell>
          <cell r="I734" t="str">
            <v>I 0412</v>
          </cell>
        </row>
        <row r="735">
          <cell r="A735">
            <v>728</v>
          </cell>
          <cell r="I735" t="str">
            <v>I 0412</v>
          </cell>
        </row>
        <row r="736">
          <cell r="A736">
            <v>729</v>
          </cell>
          <cell r="I736" t="str">
            <v>N/E</v>
          </cell>
        </row>
        <row r="737">
          <cell r="A737">
            <v>730</v>
          </cell>
          <cell r="I737" t="str">
            <v>I 0473</v>
          </cell>
        </row>
        <row r="738">
          <cell r="A738">
            <v>731</v>
          </cell>
          <cell r="I738" t="str">
            <v>I 0473</v>
          </cell>
        </row>
        <row r="739">
          <cell r="A739">
            <v>732</v>
          </cell>
          <cell r="I739" t="str">
            <v>I 0473</v>
          </cell>
        </row>
        <row r="740">
          <cell r="A740">
            <v>733</v>
          </cell>
          <cell r="I740" t="str">
            <v>I 0473</v>
          </cell>
        </row>
        <row r="741">
          <cell r="A741">
            <v>734</v>
          </cell>
          <cell r="I741" t="str">
            <v>I 0473</v>
          </cell>
        </row>
        <row r="742">
          <cell r="A742">
            <v>735</v>
          </cell>
          <cell r="I742" t="str">
            <v>N/E</v>
          </cell>
        </row>
        <row r="743">
          <cell r="A743">
            <v>736</v>
          </cell>
          <cell r="I743" t="str">
            <v>N/E</v>
          </cell>
        </row>
        <row r="744">
          <cell r="A744">
            <v>737</v>
          </cell>
          <cell r="I744" t="str">
            <v>I 0301</v>
          </cell>
        </row>
        <row r="745">
          <cell r="A745">
            <v>738</v>
          </cell>
          <cell r="I745" t="str">
            <v>I 0438</v>
          </cell>
        </row>
        <row r="746">
          <cell r="A746">
            <v>739</v>
          </cell>
          <cell r="I746" t="str">
            <v>I 0301</v>
          </cell>
        </row>
        <row r="747">
          <cell r="A747">
            <v>740</v>
          </cell>
          <cell r="I747" t="str">
            <v>N/E</v>
          </cell>
        </row>
        <row r="748">
          <cell r="A748">
            <v>741</v>
          </cell>
          <cell r="I748" t="str">
            <v>N/E</v>
          </cell>
        </row>
        <row r="749">
          <cell r="A749">
            <v>742</v>
          </cell>
          <cell r="I749" t="str">
            <v>N/E</v>
          </cell>
        </row>
        <row r="750">
          <cell r="A750">
            <v>743</v>
          </cell>
          <cell r="I750" t="str">
            <v>I 0422</v>
          </cell>
        </row>
        <row r="751">
          <cell r="A751">
            <v>744</v>
          </cell>
          <cell r="I751" t="str">
            <v>I 0449</v>
          </cell>
        </row>
        <row r="752">
          <cell r="A752">
            <v>745</v>
          </cell>
          <cell r="I752" t="str">
            <v>I 0449</v>
          </cell>
        </row>
        <row r="753">
          <cell r="A753">
            <v>746</v>
          </cell>
          <cell r="I753" t="str">
            <v>I 0448</v>
          </cell>
        </row>
        <row r="754">
          <cell r="A754">
            <v>747</v>
          </cell>
          <cell r="I754" t="str">
            <v>I 0346</v>
          </cell>
        </row>
        <row r="755">
          <cell r="A755">
            <v>748</v>
          </cell>
          <cell r="I755" t="str">
            <v>I 0346</v>
          </cell>
        </row>
        <row r="756">
          <cell r="A756">
            <v>749</v>
          </cell>
          <cell r="I756" t="str">
            <v>N/E</v>
          </cell>
        </row>
        <row r="757">
          <cell r="A757">
            <v>750</v>
          </cell>
          <cell r="I757" t="str">
            <v>I 0444</v>
          </cell>
        </row>
        <row r="758">
          <cell r="A758">
            <v>751</v>
          </cell>
          <cell r="I758" t="str">
            <v>N/E</v>
          </cell>
        </row>
        <row r="759">
          <cell r="A759">
            <v>752</v>
          </cell>
          <cell r="I759" t="str">
            <v>I 0484 / 0485 /0578</v>
          </cell>
        </row>
        <row r="760">
          <cell r="A760">
            <v>753</v>
          </cell>
          <cell r="I760" t="str">
            <v>I 0507</v>
          </cell>
        </row>
        <row r="761">
          <cell r="A761">
            <v>754</v>
          </cell>
          <cell r="I761" t="str">
            <v>I 0507</v>
          </cell>
        </row>
        <row r="762">
          <cell r="A762">
            <v>755</v>
          </cell>
          <cell r="I762" t="str">
            <v>I 0507</v>
          </cell>
        </row>
        <row r="763">
          <cell r="A763">
            <v>756</v>
          </cell>
          <cell r="I763" t="str">
            <v>I 0395</v>
          </cell>
        </row>
        <row r="764">
          <cell r="A764">
            <v>757</v>
          </cell>
          <cell r="I764" t="str">
            <v>N/E</v>
          </cell>
        </row>
        <row r="765">
          <cell r="A765">
            <v>758</v>
          </cell>
          <cell r="I765" t="str">
            <v>I 0461</v>
          </cell>
        </row>
        <row r="766">
          <cell r="A766">
            <v>759</v>
          </cell>
          <cell r="I766" t="str">
            <v>I 0441 / 0442</v>
          </cell>
        </row>
        <row r="767">
          <cell r="A767">
            <v>760</v>
          </cell>
          <cell r="I767" t="str">
            <v>I 0445</v>
          </cell>
        </row>
        <row r="768">
          <cell r="A768">
            <v>761</v>
          </cell>
          <cell r="I768" t="str">
            <v>I 1054</v>
          </cell>
        </row>
        <row r="769">
          <cell r="A769">
            <v>762</v>
          </cell>
          <cell r="I769" t="str">
            <v>I 1054</v>
          </cell>
        </row>
        <row r="770">
          <cell r="A770">
            <v>763</v>
          </cell>
          <cell r="I770" t="str">
            <v>I 1054</v>
          </cell>
        </row>
        <row r="771">
          <cell r="A771">
            <v>764</v>
          </cell>
          <cell r="I771" t="str">
            <v>I 1054</v>
          </cell>
        </row>
        <row r="772">
          <cell r="A772">
            <v>765</v>
          </cell>
          <cell r="I772" t="str">
            <v>N/E</v>
          </cell>
        </row>
        <row r="773">
          <cell r="A773">
            <v>766</v>
          </cell>
          <cell r="I773" t="str">
            <v>N/E</v>
          </cell>
        </row>
        <row r="774">
          <cell r="A774">
            <v>767</v>
          </cell>
          <cell r="I774" t="str">
            <v>N/E</v>
          </cell>
        </row>
        <row r="775">
          <cell r="A775">
            <v>768</v>
          </cell>
          <cell r="I775" t="str">
            <v>N/E</v>
          </cell>
        </row>
        <row r="776">
          <cell r="A776">
            <v>769</v>
          </cell>
          <cell r="I776" t="str">
            <v>I 0455 / 0456</v>
          </cell>
        </row>
        <row r="777">
          <cell r="A777">
            <v>770</v>
          </cell>
          <cell r="I777" t="str">
            <v>I 0466</v>
          </cell>
        </row>
        <row r="778">
          <cell r="A778">
            <v>771</v>
          </cell>
          <cell r="I778" t="str">
            <v>I 0421</v>
          </cell>
        </row>
        <row r="779">
          <cell r="A779">
            <v>772</v>
          </cell>
          <cell r="I779" t="str">
            <v>N/E</v>
          </cell>
        </row>
        <row r="780">
          <cell r="A780">
            <v>773</v>
          </cell>
          <cell r="I780" t="str">
            <v>I 0447</v>
          </cell>
        </row>
        <row r="781">
          <cell r="A781">
            <v>774</v>
          </cell>
          <cell r="I781" t="str">
            <v>N/E</v>
          </cell>
        </row>
        <row r="782">
          <cell r="A782">
            <v>775</v>
          </cell>
          <cell r="I782" t="str">
            <v>N/E</v>
          </cell>
        </row>
        <row r="783">
          <cell r="A783">
            <v>776</v>
          </cell>
          <cell r="I783" t="str">
            <v>I 0476</v>
          </cell>
        </row>
        <row r="784">
          <cell r="A784">
            <v>777</v>
          </cell>
          <cell r="I784" t="str">
            <v>N/E</v>
          </cell>
        </row>
        <row r="785">
          <cell r="A785">
            <v>778</v>
          </cell>
          <cell r="I785" t="str">
            <v>I 0469</v>
          </cell>
        </row>
        <row r="786">
          <cell r="A786">
            <v>779</v>
          </cell>
          <cell r="I786" t="str">
            <v>I 0469</v>
          </cell>
        </row>
        <row r="787">
          <cell r="A787">
            <v>780</v>
          </cell>
          <cell r="I787" t="str">
            <v>I 0469</v>
          </cell>
        </row>
        <row r="788">
          <cell r="A788">
            <v>781</v>
          </cell>
          <cell r="I788" t="str">
            <v>I 0436 / 0437</v>
          </cell>
        </row>
        <row r="789">
          <cell r="A789">
            <v>782</v>
          </cell>
          <cell r="I789" t="str">
            <v>I 0436 / 0437</v>
          </cell>
        </row>
        <row r="790">
          <cell r="A790">
            <v>783</v>
          </cell>
          <cell r="I790" t="str">
            <v>I 0436 / 0437</v>
          </cell>
        </row>
        <row r="791">
          <cell r="A791">
            <v>784</v>
          </cell>
          <cell r="I791" t="str">
            <v>I 0498 / 0502</v>
          </cell>
        </row>
        <row r="792">
          <cell r="A792">
            <v>785</v>
          </cell>
          <cell r="I792" t="str">
            <v>I 0498 / 0502</v>
          </cell>
        </row>
        <row r="793">
          <cell r="A793">
            <v>786</v>
          </cell>
          <cell r="I793" t="str">
            <v>I 0481 / 0482</v>
          </cell>
        </row>
        <row r="794">
          <cell r="A794">
            <v>787</v>
          </cell>
          <cell r="I794" t="str">
            <v>I 0481 / 0482</v>
          </cell>
        </row>
        <row r="795">
          <cell r="A795">
            <v>788</v>
          </cell>
          <cell r="I795" t="str">
            <v>I 0481 / 0482</v>
          </cell>
        </row>
        <row r="796">
          <cell r="A796">
            <v>789</v>
          </cell>
          <cell r="I796" t="str">
            <v>I 0481 / 0482</v>
          </cell>
        </row>
        <row r="797">
          <cell r="A797">
            <v>790</v>
          </cell>
          <cell r="I797" t="str">
            <v>I 0481 / 0482</v>
          </cell>
        </row>
        <row r="798">
          <cell r="A798">
            <v>791</v>
          </cell>
          <cell r="I798" t="str">
            <v>I 1157</v>
          </cell>
        </row>
        <row r="799">
          <cell r="A799">
            <v>792</v>
          </cell>
          <cell r="I799" t="str">
            <v>I 0478</v>
          </cell>
        </row>
        <row r="800">
          <cell r="A800">
            <v>793</v>
          </cell>
          <cell r="I800" t="str">
            <v>I 0478</v>
          </cell>
        </row>
        <row r="801">
          <cell r="A801">
            <v>794</v>
          </cell>
          <cell r="I801" t="str">
            <v>I 0478</v>
          </cell>
        </row>
        <row r="802">
          <cell r="A802">
            <v>795</v>
          </cell>
          <cell r="I802" t="str">
            <v>I 0478</v>
          </cell>
        </row>
        <row r="803">
          <cell r="A803">
            <v>796</v>
          </cell>
          <cell r="I803" t="str">
            <v>N/E</v>
          </cell>
        </row>
        <row r="804">
          <cell r="A804">
            <v>797</v>
          </cell>
          <cell r="I804" t="str">
            <v>N/E</v>
          </cell>
        </row>
        <row r="805">
          <cell r="A805">
            <v>798</v>
          </cell>
          <cell r="I805" t="str">
            <v>N/E</v>
          </cell>
        </row>
        <row r="806">
          <cell r="A806">
            <v>799</v>
          </cell>
          <cell r="I806" t="str">
            <v>I 0516 / 0517</v>
          </cell>
        </row>
        <row r="807">
          <cell r="A807">
            <v>800</v>
          </cell>
          <cell r="I807" t="str">
            <v>I 0516 / 0517</v>
          </cell>
        </row>
        <row r="808">
          <cell r="A808">
            <v>801</v>
          </cell>
          <cell r="I808" t="str">
            <v>I 0516 / 0517</v>
          </cell>
        </row>
        <row r="809">
          <cell r="A809">
            <v>802</v>
          </cell>
          <cell r="I809" t="str">
            <v>I 0516 / 0517</v>
          </cell>
        </row>
        <row r="810">
          <cell r="A810">
            <v>803</v>
          </cell>
          <cell r="I810" t="str">
            <v>I 0491 / 0492 / 0493 / 0494 / 0495</v>
          </cell>
        </row>
        <row r="811">
          <cell r="A811">
            <v>804</v>
          </cell>
          <cell r="I811" t="str">
            <v>N/E</v>
          </cell>
        </row>
        <row r="812">
          <cell r="A812">
            <v>805</v>
          </cell>
          <cell r="I812" t="str">
            <v>N/E</v>
          </cell>
        </row>
        <row r="813">
          <cell r="A813">
            <v>806</v>
          </cell>
          <cell r="I813" t="str">
            <v>N/E</v>
          </cell>
        </row>
        <row r="814">
          <cell r="A814">
            <v>807</v>
          </cell>
          <cell r="I814" t="str">
            <v>N/E</v>
          </cell>
        </row>
        <row r="815">
          <cell r="A815">
            <v>808</v>
          </cell>
          <cell r="I815" t="str">
            <v>N/E</v>
          </cell>
        </row>
        <row r="816">
          <cell r="A816">
            <v>809</v>
          </cell>
          <cell r="I816" t="str">
            <v>N/E</v>
          </cell>
        </row>
        <row r="817">
          <cell r="A817">
            <v>810</v>
          </cell>
          <cell r="I817" t="str">
            <v>N/E</v>
          </cell>
        </row>
        <row r="818">
          <cell r="A818">
            <v>811</v>
          </cell>
          <cell r="I818" t="str">
            <v>N/E</v>
          </cell>
        </row>
        <row r="819">
          <cell r="A819">
            <v>812</v>
          </cell>
          <cell r="I819" t="str">
            <v>N/E</v>
          </cell>
        </row>
        <row r="820">
          <cell r="A820">
            <v>813</v>
          </cell>
          <cell r="I820" t="str">
            <v>N/E</v>
          </cell>
        </row>
        <row r="821">
          <cell r="A821">
            <v>814</v>
          </cell>
          <cell r="I821" t="str">
            <v>N/E</v>
          </cell>
        </row>
        <row r="822">
          <cell r="A822">
            <v>815</v>
          </cell>
          <cell r="I822" t="str">
            <v>N/E</v>
          </cell>
        </row>
        <row r="823">
          <cell r="A823">
            <v>816</v>
          </cell>
          <cell r="I823" t="str">
            <v>N/E</v>
          </cell>
        </row>
        <row r="824">
          <cell r="A824">
            <v>817</v>
          </cell>
          <cell r="I824" t="str">
            <v>N/E</v>
          </cell>
        </row>
        <row r="825">
          <cell r="A825">
            <v>818</v>
          </cell>
          <cell r="I825" t="str">
            <v>N/E</v>
          </cell>
        </row>
        <row r="826">
          <cell r="A826">
            <v>819</v>
          </cell>
          <cell r="I826" t="str">
            <v>N/E</v>
          </cell>
        </row>
        <row r="827">
          <cell r="A827">
            <v>820</v>
          </cell>
          <cell r="I827" t="str">
            <v>N/E</v>
          </cell>
        </row>
        <row r="828">
          <cell r="A828">
            <v>821</v>
          </cell>
          <cell r="I828" t="str">
            <v>N/E</v>
          </cell>
        </row>
        <row r="829">
          <cell r="A829">
            <v>822</v>
          </cell>
          <cell r="I829" t="str">
            <v>N/E</v>
          </cell>
        </row>
        <row r="830">
          <cell r="A830">
            <v>823</v>
          </cell>
          <cell r="I830" t="str">
            <v>N/E</v>
          </cell>
        </row>
        <row r="831">
          <cell r="A831">
            <v>824</v>
          </cell>
          <cell r="I831" t="str">
            <v>N/E</v>
          </cell>
        </row>
        <row r="832">
          <cell r="A832">
            <v>825</v>
          </cell>
          <cell r="I832" t="str">
            <v>N/E</v>
          </cell>
        </row>
        <row r="833">
          <cell r="A833">
            <v>826</v>
          </cell>
          <cell r="I833" t="str">
            <v>N/E</v>
          </cell>
        </row>
        <row r="834">
          <cell r="A834">
            <v>827</v>
          </cell>
          <cell r="I834" t="str">
            <v>N/E</v>
          </cell>
        </row>
        <row r="835">
          <cell r="A835">
            <v>828</v>
          </cell>
          <cell r="I835" t="str">
            <v>N/E</v>
          </cell>
        </row>
        <row r="836">
          <cell r="A836">
            <v>829</v>
          </cell>
          <cell r="I836" t="str">
            <v>N/E</v>
          </cell>
        </row>
        <row r="837">
          <cell r="A837">
            <v>830</v>
          </cell>
          <cell r="I837" t="str">
            <v>N/E</v>
          </cell>
        </row>
        <row r="838">
          <cell r="A838">
            <v>831</v>
          </cell>
          <cell r="I838" t="str">
            <v>N/E</v>
          </cell>
        </row>
        <row r="839">
          <cell r="A839">
            <v>832</v>
          </cell>
          <cell r="I839" t="str">
            <v>N/E</v>
          </cell>
        </row>
        <row r="840">
          <cell r="A840">
            <v>833</v>
          </cell>
          <cell r="I840" t="str">
            <v>N/E</v>
          </cell>
        </row>
        <row r="841">
          <cell r="A841">
            <v>834</v>
          </cell>
          <cell r="I841" t="str">
            <v>N/E</v>
          </cell>
        </row>
        <row r="842">
          <cell r="A842">
            <v>835</v>
          </cell>
          <cell r="I842" t="str">
            <v>N/E</v>
          </cell>
        </row>
        <row r="843">
          <cell r="A843">
            <v>836</v>
          </cell>
          <cell r="I843" t="str">
            <v>N/E</v>
          </cell>
        </row>
        <row r="844">
          <cell r="A844">
            <v>837</v>
          </cell>
          <cell r="I844" t="str">
            <v>N/E</v>
          </cell>
        </row>
        <row r="845">
          <cell r="A845">
            <v>838</v>
          </cell>
          <cell r="I845" t="str">
            <v>N/E</v>
          </cell>
        </row>
        <row r="846">
          <cell r="A846">
            <v>839</v>
          </cell>
          <cell r="I846" t="str">
            <v>N/E</v>
          </cell>
        </row>
        <row r="847">
          <cell r="A847">
            <v>840</v>
          </cell>
          <cell r="I847" t="str">
            <v>N/E</v>
          </cell>
        </row>
        <row r="848">
          <cell r="A848">
            <v>841</v>
          </cell>
          <cell r="I848" t="str">
            <v>N/E</v>
          </cell>
        </row>
        <row r="849">
          <cell r="A849">
            <v>842</v>
          </cell>
          <cell r="I849" t="str">
            <v>N/E</v>
          </cell>
        </row>
        <row r="850">
          <cell r="A850">
            <v>843</v>
          </cell>
          <cell r="I850" t="str">
            <v>N/E</v>
          </cell>
        </row>
        <row r="851">
          <cell r="A851">
            <v>844</v>
          </cell>
          <cell r="I851" t="str">
            <v>N/E</v>
          </cell>
        </row>
        <row r="852">
          <cell r="A852">
            <v>845</v>
          </cell>
          <cell r="I852" t="str">
            <v>N/E</v>
          </cell>
        </row>
        <row r="853">
          <cell r="A853">
            <v>846</v>
          </cell>
          <cell r="I853" t="str">
            <v>N/E</v>
          </cell>
        </row>
        <row r="854">
          <cell r="A854">
            <v>847</v>
          </cell>
          <cell r="I854" t="str">
            <v>I 0477</v>
          </cell>
        </row>
        <row r="855">
          <cell r="A855">
            <v>848</v>
          </cell>
          <cell r="I855" t="str">
            <v>I 0477</v>
          </cell>
        </row>
        <row r="856">
          <cell r="A856">
            <v>849</v>
          </cell>
          <cell r="I856" t="str">
            <v xml:space="preserve">I </v>
          </cell>
        </row>
        <row r="857">
          <cell r="A857">
            <v>850</v>
          </cell>
          <cell r="I857" t="str">
            <v>I 0433 / 0434</v>
          </cell>
        </row>
        <row r="858">
          <cell r="A858">
            <v>851</v>
          </cell>
          <cell r="I858" t="str">
            <v>N/E</v>
          </cell>
        </row>
        <row r="859">
          <cell r="A859">
            <v>852</v>
          </cell>
          <cell r="I859" t="str">
            <v>N/E</v>
          </cell>
        </row>
        <row r="860">
          <cell r="A860">
            <v>853</v>
          </cell>
          <cell r="I860" t="str">
            <v>N/E</v>
          </cell>
        </row>
        <row r="861">
          <cell r="A861">
            <v>854</v>
          </cell>
          <cell r="I861" t="str">
            <v>I 0512 / 0514</v>
          </cell>
        </row>
        <row r="862">
          <cell r="A862">
            <v>855</v>
          </cell>
          <cell r="I862" t="str">
            <v>I 0503 / 0504</v>
          </cell>
        </row>
        <row r="863">
          <cell r="A863">
            <v>856</v>
          </cell>
          <cell r="I863" t="str">
            <v>N/E</v>
          </cell>
        </row>
        <row r="864">
          <cell r="A864">
            <v>857</v>
          </cell>
          <cell r="I864" t="str">
            <v>I 0463 / 0464</v>
          </cell>
        </row>
        <row r="865">
          <cell r="A865">
            <v>858</v>
          </cell>
          <cell r="I865" t="str">
            <v>N/E</v>
          </cell>
        </row>
        <row r="866">
          <cell r="A866">
            <v>859</v>
          </cell>
          <cell r="I866" t="str">
            <v>I 0439</v>
          </cell>
        </row>
        <row r="867">
          <cell r="A867">
            <v>860</v>
          </cell>
          <cell r="I867" t="str">
            <v>N/E</v>
          </cell>
        </row>
        <row r="868">
          <cell r="A868">
            <v>861</v>
          </cell>
          <cell r="I868" t="str">
            <v>I 0488</v>
          </cell>
        </row>
        <row r="869">
          <cell r="A869">
            <v>862</v>
          </cell>
          <cell r="I869" t="str">
            <v>N/E</v>
          </cell>
        </row>
        <row r="870">
          <cell r="A870">
            <v>863</v>
          </cell>
          <cell r="I870" t="str">
            <v>N/E</v>
          </cell>
        </row>
        <row r="871">
          <cell r="A871">
            <v>864</v>
          </cell>
          <cell r="I871" t="str">
            <v>N/E</v>
          </cell>
        </row>
        <row r="872">
          <cell r="A872">
            <v>865</v>
          </cell>
          <cell r="I872" t="str">
            <v>I 0511</v>
          </cell>
        </row>
        <row r="873">
          <cell r="A873">
            <v>866</v>
          </cell>
          <cell r="I873" t="str">
            <v>I 0511</v>
          </cell>
        </row>
        <row r="874">
          <cell r="A874">
            <v>867</v>
          </cell>
          <cell r="I874" t="str">
            <v>I 0518 / 0519 / 0520 / 0521</v>
          </cell>
        </row>
        <row r="875">
          <cell r="A875">
            <v>868</v>
          </cell>
          <cell r="I875" t="str">
            <v>I 0518 / 0519 / 0520 / 0521</v>
          </cell>
        </row>
        <row r="876">
          <cell r="A876">
            <v>869</v>
          </cell>
          <cell r="I876" t="str">
            <v>I 0518 / 0519 / 0520 / 0521</v>
          </cell>
        </row>
        <row r="877">
          <cell r="A877">
            <v>870</v>
          </cell>
          <cell r="I877" t="str">
            <v>I 0518 / 0519 / 0520 / 0521</v>
          </cell>
        </row>
        <row r="878">
          <cell r="A878">
            <v>871</v>
          </cell>
          <cell r="I878" t="str">
            <v>I 0522 / 0528 / 0529</v>
          </cell>
        </row>
        <row r="879">
          <cell r="A879">
            <v>872</v>
          </cell>
          <cell r="I879" t="str">
            <v>I 0522 / 0528 / 0529</v>
          </cell>
        </row>
        <row r="880">
          <cell r="A880">
            <v>873</v>
          </cell>
          <cell r="I880" t="str">
            <v>I 0592</v>
          </cell>
        </row>
        <row r="881">
          <cell r="A881">
            <v>874</v>
          </cell>
          <cell r="I881" t="str">
            <v>I 0592</v>
          </cell>
        </row>
        <row r="882">
          <cell r="A882">
            <v>875</v>
          </cell>
          <cell r="I882" t="str">
            <v>N/E</v>
          </cell>
        </row>
        <row r="883">
          <cell r="A883">
            <v>876</v>
          </cell>
          <cell r="I883" t="str">
            <v>N/E</v>
          </cell>
        </row>
        <row r="884">
          <cell r="A884">
            <v>877</v>
          </cell>
          <cell r="I884" t="str">
            <v>I 1138</v>
          </cell>
        </row>
        <row r="885">
          <cell r="A885">
            <v>878</v>
          </cell>
          <cell r="I885" t="str">
            <v>I 0530 / 0557</v>
          </cell>
        </row>
        <row r="886">
          <cell r="A886">
            <v>879</v>
          </cell>
          <cell r="I886" t="str">
            <v>I 0506</v>
          </cell>
        </row>
        <row r="887">
          <cell r="A887">
            <v>880</v>
          </cell>
          <cell r="I887" t="str">
            <v>I 0506</v>
          </cell>
        </row>
        <row r="888">
          <cell r="A888">
            <v>881</v>
          </cell>
          <cell r="I888" t="str">
            <v>I 0513</v>
          </cell>
        </row>
        <row r="889">
          <cell r="A889">
            <v>882</v>
          </cell>
          <cell r="I889" t="str">
            <v>N/E</v>
          </cell>
        </row>
        <row r="890">
          <cell r="A890">
            <v>883</v>
          </cell>
          <cell r="I890" t="str">
            <v xml:space="preserve">I 0579 / 0580 </v>
          </cell>
        </row>
        <row r="891">
          <cell r="A891">
            <v>884</v>
          </cell>
          <cell r="I891" t="str">
            <v>N/E</v>
          </cell>
        </row>
        <row r="892">
          <cell r="A892">
            <v>885</v>
          </cell>
          <cell r="I892" t="str">
            <v>I 0532</v>
          </cell>
        </row>
        <row r="893">
          <cell r="A893">
            <v>886</v>
          </cell>
          <cell r="I893" t="str">
            <v>N/E</v>
          </cell>
        </row>
        <row r="894">
          <cell r="A894">
            <v>887</v>
          </cell>
          <cell r="I894" t="str">
            <v>N/E</v>
          </cell>
        </row>
        <row r="895">
          <cell r="A895">
            <v>888</v>
          </cell>
          <cell r="I895" t="str">
            <v>N/E</v>
          </cell>
        </row>
        <row r="896">
          <cell r="A896">
            <v>889</v>
          </cell>
          <cell r="I896" t="str">
            <v>U</v>
          </cell>
        </row>
        <row r="897">
          <cell r="A897">
            <v>890</v>
          </cell>
          <cell r="I897" t="str">
            <v>N/E</v>
          </cell>
        </row>
        <row r="898">
          <cell r="A898">
            <v>891</v>
          </cell>
          <cell r="I898" t="str">
            <v>N/E</v>
          </cell>
        </row>
        <row r="899">
          <cell r="A899">
            <v>892</v>
          </cell>
          <cell r="I899" t="str">
            <v>I 0440</v>
          </cell>
        </row>
        <row r="900">
          <cell r="A900">
            <v>893</v>
          </cell>
          <cell r="I900" t="str">
            <v>I 0470 / 0471</v>
          </cell>
        </row>
        <row r="901">
          <cell r="A901">
            <v>894</v>
          </cell>
          <cell r="I901" t="str">
            <v>I 0472</v>
          </cell>
        </row>
        <row r="902">
          <cell r="A902">
            <v>895</v>
          </cell>
          <cell r="I902" t="str">
            <v>I 0512 / 0514</v>
          </cell>
        </row>
        <row r="903">
          <cell r="A903">
            <v>896</v>
          </cell>
          <cell r="I903" t="str">
            <v>I 0554 - 0555 - 0556</v>
          </cell>
        </row>
        <row r="904">
          <cell r="A904">
            <v>897</v>
          </cell>
          <cell r="I904" t="str">
            <v>I 0346</v>
          </cell>
        </row>
        <row r="905">
          <cell r="A905">
            <v>898</v>
          </cell>
          <cell r="I905" t="str">
            <v>N/E</v>
          </cell>
        </row>
        <row r="906">
          <cell r="A906">
            <v>899</v>
          </cell>
          <cell r="I906" t="str">
            <v>I 0547</v>
          </cell>
        </row>
        <row r="907">
          <cell r="A907">
            <v>900</v>
          </cell>
          <cell r="I907" t="str">
            <v>I 0547</v>
          </cell>
        </row>
        <row r="908">
          <cell r="A908">
            <v>901</v>
          </cell>
          <cell r="I908" t="str">
            <v>I 0547</v>
          </cell>
        </row>
        <row r="909">
          <cell r="A909">
            <v>902</v>
          </cell>
          <cell r="I909" t="str">
            <v>I 0547</v>
          </cell>
        </row>
        <row r="910">
          <cell r="A910">
            <v>903</v>
          </cell>
          <cell r="I910" t="str">
            <v>I 0549</v>
          </cell>
        </row>
        <row r="911">
          <cell r="A911">
            <v>904</v>
          </cell>
          <cell r="I911" t="str">
            <v>I 0411</v>
          </cell>
        </row>
        <row r="912">
          <cell r="A912">
            <v>905</v>
          </cell>
          <cell r="I912" t="str">
            <v>I 0411</v>
          </cell>
        </row>
        <row r="913">
          <cell r="A913">
            <v>906</v>
          </cell>
          <cell r="I913" t="str">
            <v>N/E</v>
          </cell>
        </row>
        <row r="914">
          <cell r="A914">
            <v>907</v>
          </cell>
          <cell r="I914" t="str">
            <v>I 0601</v>
          </cell>
        </row>
        <row r="915">
          <cell r="A915">
            <v>908</v>
          </cell>
          <cell r="I915" t="str">
            <v>I 0608/0609</v>
          </cell>
        </row>
        <row r="916">
          <cell r="A916">
            <v>909</v>
          </cell>
          <cell r="I916" t="str">
            <v>I 0553</v>
          </cell>
        </row>
        <row r="917">
          <cell r="A917">
            <v>910</v>
          </cell>
          <cell r="I917" t="str">
            <v>N/E</v>
          </cell>
        </row>
        <row r="918">
          <cell r="A918">
            <v>911</v>
          </cell>
          <cell r="I918" t="str">
            <v>I 0587 / 0588</v>
          </cell>
        </row>
        <row r="919">
          <cell r="A919">
            <v>912</v>
          </cell>
          <cell r="I919" t="str">
            <v>I 0468</v>
          </cell>
        </row>
        <row r="920">
          <cell r="A920">
            <v>913</v>
          </cell>
          <cell r="I920" t="str">
            <v>I 0468</v>
          </cell>
        </row>
        <row r="921">
          <cell r="A921">
            <v>914</v>
          </cell>
          <cell r="I921" t="str">
            <v>I 0468</v>
          </cell>
        </row>
        <row r="922">
          <cell r="A922">
            <v>915</v>
          </cell>
          <cell r="I922" t="str">
            <v>I 0468</v>
          </cell>
        </row>
        <row r="923">
          <cell r="A923">
            <v>916</v>
          </cell>
          <cell r="I923" t="str">
            <v>N/E</v>
          </cell>
        </row>
        <row r="924">
          <cell r="A924">
            <v>917</v>
          </cell>
          <cell r="I924" t="str">
            <v>N/E</v>
          </cell>
        </row>
        <row r="925">
          <cell r="A925">
            <v>918</v>
          </cell>
          <cell r="I925" t="str">
            <v>I 0567</v>
          </cell>
        </row>
        <row r="926">
          <cell r="A926">
            <v>919</v>
          </cell>
          <cell r="I926" t="str">
            <v>N/E</v>
          </cell>
        </row>
        <row r="927">
          <cell r="A927">
            <v>920</v>
          </cell>
          <cell r="I927" t="str">
            <v>I 0659 / 0660</v>
          </cell>
        </row>
        <row r="928">
          <cell r="A928">
            <v>921</v>
          </cell>
          <cell r="I928" t="str">
            <v>I 0558</v>
          </cell>
        </row>
        <row r="929">
          <cell r="A929">
            <v>922</v>
          </cell>
          <cell r="I929" t="str">
            <v>I 0561</v>
          </cell>
        </row>
        <row r="930">
          <cell r="A930">
            <v>923</v>
          </cell>
          <cell r="I930" t="str">
            <v>I 0548</v>
          </cell>
        </row>
        <row r="931">
          <cell r="A931">
            <v>924</v>
          </cell>
          <cell r="I931" t="str">
            <v>I 0392 / 0393 / 0569</v>
          </cell>
        </row>
        <row r="932">
          <cell r="A932">
            <v>925</v>
          </cell>
          <cell r="I932" t="str">
            <v>I 0392 / 0393 / 0569</v>
          </cell>
        </row>
        <row r="933">
          <cell r="A933">
            <v>926</v>
          </cell>
          <cell r="I933" t="str">
            <v>N/E</v>
          </cell>
        </row>
        <row r="934">
          <cell r="A934">
            <v>927</v>
          </cell>
          <cell r="I934" t="str">
            <v>N/E</v>
          </cell>
        </row>
        <row r="935">
          <cell r="A935">
            <v>928</v>
          </cell>
          <cell r="I935" t="str">
            <v>N/E</v>
          </cell>
        </row>
        <row r="936">
          <cell r="A936">
            <v>929</v>
          </cell>
          <cell r="I936" t="str">
            <v>N/E</v>
          </cell>
        </row>
        <row r="937">
          <cell r="A937">
            <v>930</v>
          </cell>
          <cell r="I937" t="str">
            <v>I 0573</v>
          </cell>
        </row>
        <row r="938">
          <cell r="A938">
            <v>931</v>
          </cell>
          <cell r="I938" t="str">
            <v>N/E</v>
          </cell>
        </row>
        <row r="939">
          <cell r="A939">
            <v>932</v>
          </cell>
          <cell r="I939" t="str">
            <v>I 0524 / 0525 / 0526</v>
          </cell>
        </row>
        <row r="940">
          <cell r="A940">
            <v>933</v>
          </cell>
          <cell r="I940" t="str">
            <v>I 0524 / 0525 / 0526</v>
          </cell>
        </row>
        <row r="941">
          <cell r="A941">
            <v>934</v>
          </cell>
          <cell r="I941" t="str">
            <v>I 0524 / 0525 / 0526</v>
          </cell>
        </row>
        <row r="942">
          <cell r="A942">
            <v>935</v>
          </cell>
          <cell r="I942" t="str">
            <v>I 0712</v>
          </cell>
        </row>
        <row r="943">
          <cell r="A943">
            <v>936</v>
          </cell>
          <cell r="I943" t="str">
            <v>I 0584</v>
          </cell>
        </row>
        <row r="944">
          <cell r="A944">
            <v>937</v>
          </cell>
          <cell r="I944" t="str">
            <v>I 0584</v>
          </cell>
        </row>
        <row r="945">
          <cell r="A945">
            <v>938</v>
          </cell>
          <cell r="I945" t="str">
            <v>I 0584</v>
          </cell>
        </row>
        <row r="946">
          <cell r="A946">
            <v>939</v>
          </cell>
          <cell r="I946" t="str">
            <v>I 0642</v>
          </cell>
        </row>
        <row r="947">
          <cell r="A947">
            <v>940</v>
          </cell>
          <cell r="I947" t="str">
            <v>N/E</v>
          </cell>
        </row>
        <row r="948">
          <cell r="A948">
            <v>941</v>
          </cell>
          <cell r="I948" t="str">
            <v>N/E</v>
          </cell>
        </row>
        <row r="949">
          <cell r="A949">
            <v>942</v>
          </cell>
          <cell r="I949" t="str">
            <v>I 0576 / 0577</v>
          </cell>
        </row>
        <row r="950">
          <cell r="A950">
            <v>943</v>
          </cell>
          <cell r="I950" t="str">
            <v>I 0576 / 0577</v>
          </cell>
        </row>
        <row r="951">
          <cell r="A951">
            <v>944</v>
          </cell>
          <cell r="I951" t="str">
            <v>I 0576 / 0577</v>
          </cell>
        </row>
        <row r="952">
          <cell r="A952">
            <v>945</v>
          </cell>
          <cell r="I952" t="str">
            <v>I 0576 / 0577</v>
          </cell>
        </row>
        <row r="953">
          <cell r="A953">
            <v>946</v>
          </cell>
          <cell r="I953" t="str">
            <v>I 0419 / 0420</v>
          </cell>
        </row>
        <row r="954">
          <cell r="A954">
            <v>947</v>
          </cell>
          <cell r="I954" t="str">
            <v>I 0589</v>
          </cell>
        </row>
        <row r="955">
          <cell r="A955">
            <v>948</v>
          </cell>
          <cell r="I955" t="str">
            <v>N/E</v>
          </cell>
        </row>
        <row r="956">
          <cell r="A956">
            <v>949</v>
          </cell>
          <cell r="I956" t="str">
            <v>I 0615</v>
          </cell>
        </row>
        <row r="957">
          <cell r="A957">
            <v>950</v>
          </cell>
          <cell r="I957" t="str">
            <v>I 0479</v>
          </cell>
        </row>
        <row r="958">
          <cell r="A958">
            <v>951</v>
          </cell>
          <cell r="I958" t="str">
            <v>I 0479</v>
          </cell>
        </row>
        <row r="959">
          <cell r="A959">
            <v>952</v>
          </cell>
          <cell r="I959" t="str">
            <v>I 0479</v>
          </cell>
        </row>
        <row r="960">
          <cell r="A960">
            <v>953</v>
          </cell>
          <cell r="I960" t="str">
            <v>I 0582</v>
          </cell>
        </row>
        <row r="961">
          <cell r="A961">
            <v>954</v>
          </cell>
          <cell r="I961" t="str">
            <v>N/E</v>
          </cell>
        </row>
        <row r="962">
          <cell r="A962">
            <v>955</v>
          </cell>
          <cell r="I962" t="str">
            <v>N/E</v>
          </cell>
        </row>
        <row r="963">
          <cell r="A963">
            <v>956</v>
          </cell>
          <cell r="I963" t="str">
            <v>I 0895 / 0896</v>
          </cell>
        </row>
        <row r="964">
          <cell r="A964">
            <v>957</v>
          </cell>
          <cell r="I964" t="str">
            <v>N/E</v>
          </cell>
        </row>
        <row r="965">
          <cell r="A965">
            <v>958</v>
          </cell>
          <cell r="I965" t="str">
            <v>N/E</v>
          </cell>
        </row>
        <row r="966">
          <cell r="A966">
            <v>959</v>
          </cell>
          <cell r="I966" t="str">
            <v>N/E</v>
          </cell>
        </row>
        <row r="967">
          <cell r="A967">
            <v>960</v>
          </cell>
          <cell r="I967" t="str">
            <v>N/E</v>
          </cell>
        </row>
        <row r="968">
          <cell r="A968">
            <v>961</v>
          </cell>
          <cell r="I968" t="str">
            <v>N/E</v>
          </cell>
        </row>
        <row r="969">
          <cell r="A969">
            <v>962</v>
          </cell>
          <cell r="I969" t="str">
            <v>I 0602 - 0603</v>
          </cell>
        </row>
        <row r="970">
          <cell r="A970">
            <v>963</v>
          </cell>
          <cell r="I970" t="str">
            <v>I 0585 / 0586</v>
          </cell>
        </row>
        <row r="971">
          <cell r="A971">
            <v>964</v>
          </cell>
          <cell r="I971" t="str">
            <v>I 0606</v>
          </cell>
        </row>
        <row r="972">
          <cell r="A972">
            <v>965</v>
          </cell>
          <cell r="I972" t="str">
            <v>I 0617 / 0618</v>
          </cell>
        </row>
        <row r="973">
          <cell r="A973">
            <v>966</v>
          </cell>
          <cell r="I973" t="str">
            <v>N/E</v>
          </cell>
        </row>
        <row r="974">
          <cell r="A974">
            <v>967</v>
          </cell>
          <cell r="I974" t="str">
            <v>I 0467 / 0623</v>
          </cell>
        </row>
        <row r="975">
          <cell r="A975">
            <v>968</v>
          </cell>
          <cell r="I975" t="str">
            <v>I 0467 / 0623</v>
          </cell>
        </row>
        <row r="976">
          <cell r="A976">
            <v>969</v>
          </cell>
          <cell r="I976" t="str">
            <v>I 0467 / 0623</v>
          </cell>
        </row>
        <row r="977">
          <cell r="A977">
            <v>970</v>
          </cell>
          <cell r="I977" t="str">
            <v>I 0467 / 0623</v>
          </cell>
        </row>
        <row r="978">
          <cell r="A978">
            <v>971</v>
          </cell>
          <cell r="I978" t="str">
            <v>I 0607</v>
          </cell>
        </row>
        <row r="979">
          <cell r="A979">
            <v>972</v>
          </cell>
          <cell r="I979" t="str">
            <v>I 0607</v>
          </cell>
        </row>
        <row r="980">
          <cell r="A980">
            <v>973</v>
          </cell>
          <cell r="I980" t="str">
            <v xml:space="preserve">I 0728 </v>
          </cell>
        </row>
        <row r="981">
          <cell r="A981">
            <v>974</v>
          </cell>
          <cell r="I981" t="str">
            <v>I 0656</v>
          </cell>
        </row>
        <row r="982">
          <cell r="A982">
            <v>975</v>
          </cell>
          <cell r="I982" t="str">
            <v>I 0656</v>
          </cell>
        </row>
        <row r="983">
          <cell r="A983">
            <v>976</v>
          </cell>
          <cell r="I983" t="str">
            <v>N/E</v>
          </cell>
        </row>
        <row r="984">
          <cell r="A984">
            <v>977</v>
          </cell>
          <cell r="I984" t="str">
            <v>N/E</v>
          </cell>
        </row>
        <row r="985">
          <cell r="A985">
            <v>978</v>
          </cell>
          <cell r="I985" t="str">
            <v>I 0546</v>
          </cell>
        </row>
        <row r="986">
          <cell r="A986">
            <v>979</v>
          </cell>
          <cell r="I986" t="str">
            <v>I 0619</v>
          </cell>
        </row>
        <row r="987">
          <cell r="A987">
            <v>980</v>
          </cell>
          <cell r="I987" t="str">
            <v>I 0611</v>
          </cell>
        </row>
        <row r="988">
          <cell r="A988">
            <v>981</v>
          </cell>
          <cell r="I988" t="str">
            <v>I 0611</v>
          </cell>
        </row>
        <row r="989">
          <cell r="A989">
            <v>982</v>
          </cell>
          <cell r="I989" t="str">
            <v>I 0611</v>
          </cell>
        </row>
        <row r="990">
          <cell r="A990">
            <v>983</v>
          </cell>
          <cell r="I990" t="str">
            <v>I 0611</v>
          </cell>
        </row>
        <row r="991">
          <cell r="A991">
            <v>984</v>
          </cell>
          <cell r="I991" t="str">
            <v>N/E</v>
          </cell>
        </row>
        <row r="992">
          <cell r="A992">
            <v>985</v>
          </cell>
          <cell r="I992" t="str">
            <v>I 0802</v>
          </cell>
        </row>
        <row r="993">
          <cell r="A993">
            <v>986</v>
          </cell>
          <cell r="I993" t="str">
            <v>N/E</v>
          </cell>
        </row>
        <row r="994">
          <cell r="A994">
            <v>987</v>
          </cell>
          <cell r="I994" t="str">
            <v>I 0666</v>
          </cell>
        </row>
        <row r="995">
          <cell r="A995">
            <v>988</v>
          </cell>
          <cell r="I995" t="str">
            <v>I 0516 / 0517</v>
          </cell>
        </row>
        <row r="996">
          <cell r="A996">
            <v>989</v>
          </cell>
          <cell r="I996" t="str">
            <v>N/E</v>
          </cell>
        </row>
        <row r="997">
          <cell r="A997">
            <v>990</v>
          </cell>
          <cell r="I997" t="str">
            <v>I 0616</v>
          </cell>
        </row>
        <row r="998">
          <cell r="A998">
            <v>991</v>
          </cell>
          <cell r="I998" t="str">
            <v>I 0616</v>
          </cell>
        </row>
        <row r="999">
          <cell r="A999">
            <v>992</v>
          </cell>
          <cell r="I999" t="str">
            <v>I 0616</v>
          </cell>
        </row>
        <row r="1000">
          <cell r="A1000">
            <v>993</v>
          </cell>
          <cell r="I1000" t="str">
            <v>I 0639 / 0640</v>
          </cell>
        </row>
        <row r="1001">
          <cell r="A1001">
            <v>994</v>
          </cell>
          <cell r="I1001" t="str">
            <v>N/E</v>
          </cell>
        </row>
        <row r="1002">
          <cell r="A1002">
            <v>995</v>
          </cell>
          <cell r="I1002" t="str">
            <v>I 0639 / 0640</v>
          </cell>
        </row>
        <row r="1003">
          <cell r="A1003">
            <v>996</v>
          </cell>
          <cell r="I1003" t="str">
            <v>I 0639 / 0640</v>
          </cell>
        </row>
        <row r="1004">
          <cell r="A1004">
            <v>997</v>
          </cell>
          <cell r="I1004" t="str">
            <v>N/E</v>
          </cell>
        </row>
        <row r="1005">
          <cell r="A1005">
            <v>998</v>
          </cell>
          <cell r="I1005" t="str">
            <v>N/E</v>
          </cell>
        </row>
        <row r="1006">
          <cell r="A1006">
            <v>999</v>
          </cell>
          <cell r="I1006" t="str">
            <v>I 0639 / 0640</v>
          </cell>
        </row>
        <row r="1007">
          <cell r="A1007">
            <v>1000</v>
          </cell>
          <cell r="I1007" t="str">
            <v>I 0639 / 0640</v>
          </cell>
        </row>
        <row r="1008">
          <cell r="A1008">
            <v>1001</v>
          </cell>
          <cell r="I1008" t="str">
            <v>I 0639 / 0640</v>
          </cell>
        </row>
        <row r="1009">
          <cell r="A1009">
            <v>1002</v>
          </cell>
          <cell r="I1009" t="str">
            <v>N/E</v>
          </cell>
        </row>
        <row r="1010">
          <cell r="A1010">
            <v>1003</v>
          </cell>
          <cell r="I1010" t="str">
            <v>I 0614</v>
          </cell>
        </row>
        <row r="1011">
          <cell r="A1011">
            <v>1004</v>
          </cell>
          <cell r="I1011" t="str">
            <v>I 0614</v>
          </cell>
        </row>
        <row r="1012">
          <cell r="A1012">
            <v>1005</v>
          </cell>
          <cell r="I1012" t="str">
            <v>I 0613</v>
          </cell>
        </row>
        <row r="1013">
          <cell r="A1013">
            <v>1006</v>
          </cell>
          <cell r="I1013" t="str">
            <v>I 0614</v>
          </cell>
        </row>
        <row r="1014">
          <cell r="A1014">
            <v>1007</v>
          </cell>
          <cell r="I1014" t="str">
            <v>N/E</v>
          </cell>
        </row>
        <row r="1015">
          <cell r="A1015">
            <v>1008</v>
          </cell>
          <cell r="I1015" t="str">
            <v>N/E</v>
          </cell>
        </row>
        <row r="1016">
          <cell r="A1016">
            <v>1009</v>
          </cell>
          <cell r="I1016" t="str">
            <v>I 0635 / 0636</v>
          </cell>
        </row>
        <row r="1017">
          <cell r="A1017">
            <v>1010</v>
          </cell>
          <cell r="I1017" t="str">
            <v>I 0635 / 0636</v>
          </cell>
        </row>
        <row r="1018">
          <cell r="A1018">
            <v>1011</v>
          </cell>
          <cell r="I1018" t="str">
            <v>I 0646 / 0647</v>
          </cell>
        </row>
        <row r="1019">
          <cell r="A1019">
            <v>1012</v>
          </cell>
          <cell r="I1019" t="str">
            <v>I 0646 / 0647</v>
          </cell>
        </row>
        <row r="1020">
          <cell r="A1020">
            <v>1013</v>
          </cell>
          <cell r="I1020" t="str">
            <v>I 0650</v>
          </cell>
        </row>
        <row r="1021">
          <cell r="A1021">
            <v>1014</v>
          </cell>
          <cell r="I1021" t="str">
            <v>I 0650</v>
          </cell>
        </row>
        <row r="1022">
          <cell r="A1022">
            <v>1015</v>
          </cell>
          <cell r="I1022" t="str">
            <v>I 0634</v>
          </cell>
        </row>
        <row r="1023">
          <cell r="A1023">
            <v>1016</v>
          </cell>
          <cell r="I1023" t="str">
            <v>I 0634</v>
          </cell>
        </row>
        <row r="1024">
          <cell r="A1024">
            <v>1017</v>
          </cell>
          <cell r="I1024" t="str">
            <v>I 0634</v>
          </cell>
        </row>
        <row r="1025">
          <cell r="A1025">
            <v>1018</v>
          </cell>
          <cell r="I1025" t="str">
            <v>I 0634</v>
          </cell>
        </row>
        <row r="1026">
          <cell r="A1026">
            <v>1019</v>
          </cell>
          <cell r="I1026" t="str">
            <v>I 0634</v>
          </cell>
        </row>
        <row r="1027">
          <cell r="A1027">
            <v>1020</v>
          </cell>
          <cell r="I1027" t="str">
            <v>I 0650</v>
          </cell>
        </row>
        <row r="1028">
          <cell r="A1028">
            <v>1021</v>
          </cell>
          <cell r="I1028" t="str">
            <v>I 0650</v>
          </cell>
        </row>
        <row r="1029">
          <cell r="A1029">
            <v>1022</v>
          </cell>
          <cell r="I1029" t="str">
            <v>N/E</v>
          </cell>
        </row>
        <row r="1030">
          <cell r="A1030">
            <v>1023</v>
          </cell>
          <cell r="I1030" t="str">
            <v>N/E</v>
          </cell>
        </row>
        <row r="1031">
          <cell r="A1031">
            <v>1024</v>
          </cell>
          <cell r="I1031" t="str">
            <v>N/E</v>
          </cell>
        </row>
        <row r="1032">
          <cell r="A1032">
            <v>1025</v>
          </cell>
          <cell r="I1032" t="str">
            <v>I 0427 / 0428</v>
          </cell>
        </row>
        <row r="1033">
          <cell r="A1033">
            <v>1026</v>
          </cell>
          <cell r="I1033" t="str">
            <v>I 0427 / 0428</v>
          </cell>
        </row>
        <row r="1034">
          <cell r="A1034">
            <v>1027</v>
          </cell>
          <cell r="I1034" t="str">
            <v>I 0427 / 0428</v>
          </cell>
        </row>
        <row r="1035">
          <cell r="A1035">
            <v>1028</v>
          </cell>
          <cell r="I1035" t="str">
            <v>I 0660</v>
          </cell>
        </row>
        <row r="1036">
          <cell r="A1036">
            <v>1029</v>
          </cell>
          <cell r="I1036" t="str">
            <v>I 0660</v>
          </cell>
        </row>
        <row r="1037">
          <cell r="A1037">
            <v>1030</v>
          </cell>
          <cell r="I1037" t="str">
            <v>I 0653</v>
          </cell>
        </row>
        <row r="1038">
          <cell r="A1038">
            <v>1031</v>
          </cell>
          <cell r="I1038" t="str">
            <v>I 0657 / 0658</v>
          </cell>
        </row>
        <row r="1039">
          <cell r="A1039">
            <v>1032</v>
          </cell>
          <cell r="I1039" t="str">
            <v>I 0657 / 0658</v>
          </cell>
        </row>
        <row r="1040">
          <cell r="A1040">
            <v>1033</v>
          </cell>
          <cell r="I1040" t="str">
            <v>I 0657 / 0658</v>
          </cell>
        </row>
        <row r="1041">
          <cell r="A1041">
            <v>1034</v>
          </cell>
          <cell r="I1041" t="str">
            <v>I 0657 / 0658</v>
          </cell>
        </row>
        <row r="1042">
          <cell r="A1042">
            <v>1035</v>
          </cell>
          <cell r="I1042" t="str">
            <v>I 0657 / 0658</v>
          </cell>
        </row>
        <row r="1043">
          <cell r="A1043">
            <v>1036</v>
          </cell>
          <cell r="I1043" t="str">
            <v>I 0661</v>
          </cell>
        </row>
        <row r="1044">
          <cell r="A1044">
            <v>1037</v>
          </cell>
          <cell r="I1044" t="str">
            <v>I 0661</v>
          </cell>
        </row>
        <row r="1045">
          <cell r="A1045">
            <v>1038</v>
          </cell>
          <cell r="I1045" t="str">
            <v>I 0691 / 0692</v>
          </cell>
        </row>
        <row r="1046">
          <cell r="A1046">
            <v>1039</v>
          </cell>
          <cell r="I1046" t="str">
            <v>I 0397</v>
          </cell>
        </row>
        <row r="1047">
          <cell r="A1047">
            <v>1040</v>
          </cell>
          <cell r="I1047" t="str">
            <v>I 0453 / 0454</v>
          </cell>
        </row>
        <row r="1048">
          <cell r="A1048">
            <v>1041</v>
          </cell>
          <cell r="I1048" t="str">
            <v>N/E</v>
          </cell>
        </row>
        <row r="1049">
          <cell r="A1049">
            <v>1042</v>
          </cell>
          <cell r="I1049" t="str">
            <v>N/E</v>
          </cell>
        </row>
        <row r="1050">
          <cell r="A1050">
            <v>1043</v>
          </cell>
          <cell r="I1050" t="str">
            <v>I 0648</v>
          </cell>
        </row>
        <row r="1051">
          <cell r="A1051">
            <v>1044</v>
          </cell>
          <cell r="I1051" t="str">
            <v>I 0483</v>
          </cell>
        </row>
        <row r="1052">
          <cell r="A1052">
            <v>1045</v>
          </cell>
          <cell r="I1052" t="str">
            <v>I 0782/ I 0783/I 0780</v>
          </cell>
        </row>
        <row r="1053">
          <cell r="A1053">
            <v>1046</v>
          </cell>
          <cell r="I1053" t="str">
            <v>I 0782/ I 0783/ I 0780</v>
          </cell>
        </row>
        <row r="1054">
          <cell r="A1054">
            <v>1047</v>
          </cell>
          <cell r="I1054" t="str">
            <v>I 0780</v>
          </cell>
        </row>
        <row r="1055">
          <cell r="A1055">
            <v>1048</v>
          </cell>
          <cell r="I1055" t="str">
            <v>I 0780</v>
          </cell>
        </row>
        <row r="1056">
          <cell r="A1056">
            <v>1049</v>
          </cell>
          <cell r="I1056" t="str">
            <v>I 0782/ I 0783/I 0780</v>
          </cell>
        </row>
        <row r="1057">
          <cell r="A1057">
            <v>1050</v>
          </cell>
          <cell r="I1057" t="str">
            <v>I 0782/ I 0783</v>
          </cell>
        </row>
        <row r="1058">
          <cell r="A1058">
            <v>1051</v>
          </cell>
          <cell r="I1058" t="str">
            <v>I 0782/ I 0783</v>
          </cell>
        </row>
        <row r="1059">
          <cell r="A1059">
            <v>1052</v>
          </cell>
          <cell r="I1059" t="str">
            <v>I 0784/ I 0785</v>
          </cell>
        </row>
        <row r="1060">
          <cell r="A1060">
            <v>1053</v>
          </cell>
          <cell r="I1060" t="str">
            <v>N/E</v>
          </cell>
        </row>
        <row r="1061">
          <cell r="A1061">
            <v>1054</v>
          </cell>
          <cell r="I1061" t="str">
            <v>N/E</v>
          </cell>
        </row>
        <row r="1062">
          <cell r="A1062">
            <v>1055</v>
          </cell>
          <cell r="I1062" t="str">
            <v>N/E</v>
          </cell>
        </row>
        <row r="1063">
          <cell r="A1063">
            <v>1056</v>
          </cell>
          <cell r="I1063" t="str">
            <v>I 0786 / 0787</v>
          </cell>
        </row>
        <row r="1064">
          <cell r="A1064">
            <v>1057</v>
          </cell>
          <cell r="I1064" t="str">
            <v>N/E</v>
          </cell>
        </row>
        <row r="1065">
          <cell r="A1065">
            <v>1058</v>
          </cell>
          <cell r="I1065" t="str">
            <v>N/E</v>
          </cell>
        </row>
        <row r="1066">
          <cell r="A1066">
            <v>1059</v>
          </cell>
          <cell r="I1066" t="str">
            <v>N/E</v>
          </cell>
        </row>
        <row r="1067">
          <cell r="A1067">
            <v>1060</v>
          </cell>
          <cell r="I1067" t="str">
            <v>N/E</v>
          </cell>
        </row>
        <row r="1068">
          <cell r="A1068">
            <v>1061</v>
          </cell>
          <cell r="I1068" t="str">
            <v>N/E</v>
          </cell>
        </row>
        <row r="1069">
          <cell r="A1069">
            <v>1062</v>
          </cell>
          <cell r="I1069" t="str">
            <v>N/E</v>
          </cell>
        </row>
        <row r="1070">
          <cell r="A1070">
            <v>1063</v>
          </cell>
          <cell r="I1070" t="str">
            <v>I 0671</v>
          </cell>
        </row>
        <row r="1071">
          <cell r="A1071">
            <v>1064</v>
          </cell>
          <cell r="I1071" t="str">
            <v>N/E</v>
          </cell>
        </row>
        <row r="1072">
          <cell r="A1072">
            <v>1065</v>
          </cell>
          <cell r="I1072" t="str">
            <v>I 0727 / 0980</v>
          </cell>
        </row>
        <row r="1073">
          <cell r="A1073">
            <v>1066</v>
          </cell>
          <cell r="I1073" t="str">
            <v>I 0967</v>
          </cell>
        </row>
        <row r="1074">
          <cell r="A1074">
            <v>1067</v>
          </cell>
          <cell r="I1074" t="str">
            <v>I 0967</v>
          </cell>
        </row>
        <row r="1075">
          <cell r="A1075">
            <v>1068</v>
          </cell>
          <cell r="I1075" t="str">
            <v>I 0727</v>
          </cell>
        </row>
        <row r="1076">
          <cell r="A1076">
            <v>1069</v>
          </cell>
          <cell r="I1076" t="str">
            <v>N/E</v>
          </cell>
        </row>
        <row r="1077">
          <cell r="A1077">
            <v>1070</v>
          </cell>
          <cell r="I1077" t="str">
            <v>N/E</v>
          </cell>
        </row>
        <row r="1078">
          <cell r="A1078">
            <v>1071</v>
          </cell>
          <cell r="I1078" t="str">
            <v>N/E</v>
          </cell>
        </row>
        <row r="1079">
          <cell r="A1079">
            <v>1072</v>
          </cell>
          <cell r="I1079" t="str">
            <v>N/E</v>
          </cell>
        </row>
        <row r="1080">
          <cell r="A1080">
            <v>1073</v>
          </cell>
          <cell r="I1080" t="str">
            <v>I 0649</v>
          </cell>
        </row>
        <row r="1081">
          <cell r="A1081">
            <v>1074</v>
          </cell>
          <cell r="I1081" t="str">
            <v>I 0443</v>
          </cell>
        </row>
        <row r="1082">
          <cell r="A1082">
            <v>1075</v>
          </cell>
          <cell r="I1082" t="str">
            <v>N/E</v>
          </cell>
        </row>
        <row r="1083">
          <cell r="A1083">
            <v>1076</v>
          </cell>
          <cell r="I1083" t="str">
            <v>N/E</v>
          </cell>
        </row>
        <row r="1084">
          <cell r="A1084">
            <v>1077</v>
          </cell>
          <cell r="I1084" t="str">
            <v>N/E</v>
          </cell>
        </row>
        <row r="1085">
          <cell r="A1085">
            <v>1078</v>
          </cell>
          <cell r="I1085" t="str">
            <v>N/E</v>
          </cell>
        </row>
        <row r="1086">
          <cell r="A1086">
            <v>1079</v>
          </cell>
          <cell r="I1086" t="str">
            <v>N/E</v>
          </cell>
        </row>
        <row r="1087">
          <cell r="A1087">
            <v>1080</v>
          </cell>
          <cell r="I1087" t="str">
            <v>N/E</v>
          </cell>
        </row>
        <row r="1088">
          <cell r="A1088">
            <v>1081</v>
          </cell>
          <cell r="I1088" t="str">
            <v>N/E</v>
          </cell>
        </row>
        <row r="1089">
          <cell r="A1089">
            <v>1082</v>
          </cell>
          <cell r="I1089" t="str">
            <v>I 1106/ I 1107</v>
          </cell>
        </row>
        <row r="1090">
          <cell r="A1090">
            <v>1083</v>
          </cell>
          <cell r="I1090" t="str">
            <v>I 1106/ I 1107</v>
          </cell>
        </row>
        <row r="1091">
          <cell r="A1091">
            <v>1084</v>
          </cell>
          <cell r="I1091" t="str">
            <v>N/E</v>
          </cell>
        </row>
        <row r="1092">
          <cell r="A1092">
            <v>1085</v>
          </cell>
          <cell r="I1092" t="str">
            <v>N/E</v>
          </cell>
        </row>
        <row r="1093">
          <cell r="A1093">
            <v>1086</v>
          </cell>
          <cell r="I1093" t="str">
            <v>N/E</v>
          </cell>
        </row>
        <row r="1094">
          <cell r="A1094">
            <v>1087</v>
          </cell>
          <cell r="I1094" t="str">
            <v>N/E</v>
          </cell>
        </row>
        <row r="1095">
          <cell r="A1095">
            <v>1088</v>
          </cell>
          <cell r="I1095" t="str">
            <v>N/E</v>
          </cell>
        </row>
        <row r="1096">
          <cell r="A1096">
            <v>1089</v>
          </cell>
          <cell r="I1096" t="str">
            <v>N/E</v>
          </cell>
        </row>
        <row r="1097">
          <cell r="A1097">
            <v>1090</v>
          </cell>
          <cell r="I1097" t="str">
            <v>N/E</v>
          </cell>
        </row>
        <row r="1098">
          <cell r="A1098">
            <v>1091</v>
          </cell>
          <cell r="I1098" t="str">
            <v>N/E</v>
          </cell>
        </row>
        <row r="1099">
          <cell r="A1099">
            <v>1092</v>
          </cell>
          <cell r="I1099" t="str">
            <v>N/E</v>
          </cell>
        </row>
        <row r="1100">
          <cell r="A1100">
            <v>1093</v>
          </cell>
          <cell r="I1100" t="str">
            <v>N/E</v>
          </cell>
        </row>
        <row r="1101">
          <cell r="A1101">
            <v>1094</v>
          </cell>
          <cell r="I1101" t="str">
            <v>N/E</v>
          </cell>
        </row>
        <row r="1102">
          <cell r="A1102">
            <v>1095</v>
          </cell>
          <cell r="I1102" t="str">
            <v>I 0775</v>
          </cell>
        </row>
        <row r="1103">
          <cell r="A1103">
            <v>1096</v>
          </cell>
          <cell r="I1103" t="str">
            <v>I 0772</v>
          </cell>
        </row>
        <row r="1104">
          <cell r="A1104">
            <v>1097</v>
          </cell>
          <cell r="I1104" t="str">
            <v>N/E</v>
          </cell>
        </row>
        <row r="1105">
          <cell r="A1105">
            <v>1098</v>
          </cell>
          <cell r="I1105" t="str">
            <v>N/E</v>
          </cell>
        </row>
        <row r="1106">
          <cell r="A1106">
            <v>1099</v>
          </cell>
          <cell r="I1106" t="str">
            <v>N/E</v>
          </cell>
        </row>
        <row r="1107">
          <cell r="A1107">
            <v>1100</v>
          </cell>
          <cell r="I1107" t="str">
            <v>I 0925/ I 0926</v>
          </cell>
        </row>
        <row r="1108">
          <cell r="A1108">
            <v>1101</v>
          </cell>
          <cell r="I1108" t="str">
            <v>N/E</v>
          </cell>
        </row>
        <row r="1109">
          <cell r="A1109">
            <v>1102</v>
          </cell>
          <cell r="I1109" t="str">
            <v>N/E</v>
          </cell>
        </row>
        <row r="1110">
          <cell r="A1110">
            <v>1103</v>
          </cell>
          <cell r="I1110" t="str">
            <v>N/E</v>
          </cell>
        </row>
        <row r="1111">
          <cell r="A1111">
            <v>1104</v>
          </cell>
          <cell r="I1111" t="str">
            <v>I 0927/ I 0928</v>
          </cell>
        </row>
        <row r="1112">
          <cell r="A1112">
            <v>1105</v>
          </cell>
          <cell r="I1112" t="str">
            <v>N/E</v>
          </cell>
        </row>
        <row r="1113">
          <cell r="A1113">
            <v>1106</v>
          </cell>
          <cell r="I1113" t="str">
            <v>N/E</v>
          </cell>
        </row>
        <row r="1114">
          <cell r="A1114">
            <v>1107</v>
          </cell>
          <cell r="I1114" t="str">
            <v>N/E</v>
          </cell>
        </row>
        <row r="1115">
          <cell r="A1115">
            <v>1108</v>
          </cell>
          <cell r="I1115" t="str">
            <v>N/E</v>
          </cell>
        </row>
        <row r="1116">
          <cell r="A1116">
            <v>1109</v>
          </cell>
          <cell r="I1116" t="str">
            <v>N/E</v>
          </cell>
        </row>
        <row r="1117">
          <cell r="A1117">
            <v>1110</v>
          </cell>
          <cell r="I1117" t="str">
            <v>I 0673</v>
          </cell>
        </row>
        <row r="1118">
          <cell r="A1118">
            <v>1111</v>
          </cell>
          <cell r="I1118" t="str">
            <v>N/E</v>
          </cell>
        </row>
        <row r="1119">
          <cell r="A1119">
            <v>1112</v>
          </cell>
          <cell r="I1119" t="str">
            <v>N/E</v>
          </cell>
        </row>
        <row r="1120">
          <cell r="A1120">
            <v>1113</v>
          </cell>
          <cell r="I1120" t="str">
            <v>N/E</v>
          </cell>
        </row>
        <row r="1121">
          <cell r="A1121">
            <v>1114</v>
          </cell>
          <cell r="I1121" t="str">
            <v>N/E</v>
          </cell>
        </row>
        <row r="1122">
          <cell r="A1122">
            <v>1115</v>
          </cell>
          <cell r="I1122" t="str">
            <v>I 0674</v>
          </cell>
        </row>
        <row r="1123">
          <cell r="A1123">
            <v>1116</v>
          </cell>
          <cell r="I1123" t="str">
            <v>N/E</v>
          </cell>
        </row>
        <row r="1124">
          <cell r="A1124">
            <v>1117</v>
          </cell>
          <cell r="I1124" t="str">
            <v>N/E</v>
          </cell>
        </row>
        <row r="1125">
          <cell r="A1125">
            <v>1118</v>
          </cell>
          <cell r="I1125" t="str">
            <v>N/E</v>
          </cell>
        </row>
        <row r="1126">
          <cell r="A1126">
            <v>1119</v>
          </cell>
          <cell r="I1126" t="str">
            <v>N/E</v>
          </cell>
        </row>
        <row r="1127">
          <cell r="A1127">
            <v>1120</v>
          </cell>
          <cell r="I1127" t="str">
            <v>N/E</v>
          </cell>
        </row>
        <row r="1128">
          <cell r="A1128">
            <v>1121</v>
          </cell>
          <cell r="I1128" t="str">
            <v>N/E</v>
          </cell>
        </row>
        <row r="1129">
          <cell r="A1129">
            <v>1122</v>
          </cell>
          <cell r="I1129" t="str">
            <v>N/E</v>
          </cell>
        </row>
        <row r="1130">
          <cell r="A1130">
            <v>1123</v>
          </cell>
          <cell r="I1130" t="str">
            <v>N/E</v>
          </cell>
        </row>
        <row r="1131">
          <cell r="A1131">
            <v>1124</v>
          </cell>
          <cell r="I1131" t="str">
            <v>N/E</v>
          </cell>
        </row>
        <row r="1132">
          <cell r="A1132">
            <v>1125</v>
          </cell>
          <cell r="I1132" t="str">
            <v>N/E</v>
          </cell>
        </row>
        <row r="1133">
          <cell r="A1133">
            <v>1126</v>
          </cell>
          <cell r="I1133" t="str">
            <v>I 0699</v>
          </cell>
        </row>
        <row r="1134">
          <cell r="A1134">
            <v>1127</v>
          </cell>
          <cell r="I1134" t="str">
            <v>N/E</v>
          </cell>
        </row>
        <row r="1135">
          <cell r="A1135">
            <v>1128</v>
          </cell>
          <cell r="I1135" t="str">
            <v xml:space="preserve">I 0696 </v>
          </cell>
        </row>
        <row r="1136">
          <cell r="A1136">
            <v>1129</v>
          </cell>
          <cell r="I1136" t="str">
            <v>N/E</v>
          </cell>
        </row>
        <row r="1137">
          <cell r="A1137">
            <v>1130</v>
          </cell>
          <cell r="I1137" t="str">
            <v>I 0511</v>
          </cell>
        </row>
        <row r="1138">
          <cell r="A1138">
            <v>1131</v>
          </cell>
          <cell r="I1138" t="str">
            <v>I 0511</v>
          </cell>
        </row>
        <row r="1139">
          <cell r="A1139">
            <v>1132</v>
          </cell>
          <cell r="I1139" t="str">
            <v>N/E</v>
          </cell>
        </row>
        <row r="1140">
          <cell r="A1140">
            <v>1133</v>
          </cell>
          <cell r="I1140" t="str">
            <v>I 0675</v>
          </cell>
        </row>
        <row r="1141">
          <cell r="A1141">
            <v>1134</v>
          </cell>
          <cell r="I1141" t="str">
            <v>I 0677</v>
          </cell>
        </row>
        <row r="1142">
          <cell r="A1142">
            <v>1135</v>
          </cell>
          <cell r="I1142" t="str">
            <v>I 0675</v>
          </cell>
        </row>
        <row r="1143">
          <cell r="A1143">
            <v>1136</v>
          </cell>
          <cell r="I1143" t="str">
            <v>I 0698</v>
          </cell>
        </row>
        <row r="1144">
          <cell r="A1144">
            <v>1137</v>
          </cell>
          <cell r="I1144" t="str">
            <v>I 0684 / 0685</v>
          </cell>
        </row>
        <row r="1145">
          <cell r="A1145">
            <v>1138</v>
          </cell>
          <cell r="I1145" t="str">
            <v>I 0805</v>
          </cell>
        </row>
        <row r="1146">
          <cell r="A1146">
            <v>1139</v>
          </cell>
          <cell r="I1146" t="str">
            <v>I 0805</v>
          </cell>
        </row>
        <row r="1147">
          <cell r="A1147">
            <v>1140</v>
          </cell>
          <cell r="I1147" t="str">
            <v>N/E</v>
          </cell>
        </row>
        <row r="1148">
          <cell r="A1148">
            <v>1141</v>
          </cell>
          <cell r="I1148" t="str">
            <v>N/E</v>
          </cell>
        </row>
        <row r="1149">
          <cell r="A1149">
            <v>1142</v>
          </cell>
          <cell r="I1149" t="str">
            <v>I 0734</v>
          </cell>
        </row>
        <row r="1150">
          <cell r="A1150">
            <v>1143</v>
          </cell>
          <cell r="I1150" t="str">
            <v>I 0734</v>
          </cell>
        </row>
        <row r="1151">
          <cell r="A1151">
            <v>1144</v>
          </cell>
          <cell r="I1151" t="str">
            <v>I 0821 / 0822</v>
          </cell>
        </row>
        <row r="1152">
          <cell r="A1152">
            <v>1145</v>
          </cell>
          <cell r="I1152" t="str">
            <v>I 0705 / 0706</v>
          </cell>
        </row>
        <row r="1153">
          <cell r="A1153">
            <v>1146</v>
          </cell>
          <cell r="I1153" t="str">
            <v>I 0705 / 0706</v>
          </cell>
        </row>
        <row r="1154">
          <cell r="A1154">
            <v>1147</v>
          </cell>
          <cell r="I1154" t="str">
            <v>I 0664 / 0665 / 0693</v>
          </cell>
        </row>
        <row r="1155">
          <cell r="A1155">
            <v>1148</v>
          </cell>
          <cell r="I1155" t="str">
            <v>I 0664 / 0665 / 0693</v>
          </cell>
        </row>
        <row r="1156">
          <cell r="A1156">
            <v>1149</v>
          </cell>
          <cell r="I1156" t="str">
            <v>I 0664 / 0665 / 0693</v>
          </cell>
        </row>
        <row r="1157">
          <cell r="A1157">
            <v>1150</v>
          </cell>
          <cell r="I1157" t="str">
            <v>N/E</v>
          </cell>
        </row>
        <row r="1158">
          <cell r="A1158">
            <v>1151</v>
          </cell>
          <cell r="I1158" t="str">
            <v>N/E</v>
          </cell>
        </row>
        <row r="1159">
          <cell r="A1159">
            <v>1152</v>
          </cell>
          <cell r="I1159" t="str">
            <v>N/E</v>
          </cell>
        </row>
        <row r="1160">
          <cell r="A1160">
            <v>1153</v>
          </cell>
          <cell r="I1160" t="str">
            <v>N/E</v>
          </cell>
        </row>
        <row r="1161">
          <cell r="A1161">
            <v>1154</v>
          </cell>
          <cell r="I1161" t="str">
            <v>N/E</v>
          </cell>
        </row>
        <row r="1162">
          <cell r="A1162">
            <v>1155</v>
          </cell>
          <cell r="I1162" t="str">
            <v>N/E</v>
          </cell>
        </row>
        <row r="1163">
          <cell r="A1163">
            <v>1156</v>
          </cell>
          <cell r="I1163" t="str">
            <v>N/E</v>
          </cell>
        </row>
        <row r="1164">
          <cell r="A1164">
            <v>1157</v>
          </cell>
          <cell r="I1164" t="str">
            <v>N/E</v>
          </cell>
        </row>
        <row r="1165">
          <cell r="A1165">
            <v>1158</v>
          </cell>
          <cell r="I1165" t="str">
            <v>I 0531 / 0533</v>
          </cell>
        </row>
        <row r="1166">
          <cell r="A1166">
            <v>1159</v>
          </cell>
          <cell r="I1166" t="str">
            <v>I 0531 / 0533</v>
          </cell>
        </row>
        <row r="1167">
          <cell r="A1167">
            <v>1160</v>
          </cell>
          <cell r="I1167" t="str">
            <v>N/E</v>
          </cell>
        </row>
        <row r="1168">
          <cell r="A1168">
            <v>1161</v>
          </cell>
          <cell r="I1168" t="str">
            <v>I 0822</v>
          </cell>
        </row>
        <row r="1169">
          <cell r="A1169">
            <v>1162</v>
          </cell>
          <cell r="I1169" t="str">
            <v>N/E</v>
          </cell>
        </row>
        <row r="1170">
          <cell r="A1170">
            <v>1163</v>
          </cell>
          <cell r="I1170" t="str">
            <v>I 0709</v>
          </cell>
        </row>
        <row r="1171">
          <cell r="A1171">
            <v>1164</v>
          </cell>
          <cell r="I1171" t="str">
            <v>I 0709</v>
          </cell>
        </row>
        <row r="1172">
          <cell r="A1172">
            <v>1165</v>
          </cell>
          <cell r="I1172" t="str">
            <v>I 0694</v>
          </cell>
        </row>
        <row r="1173">
          <cell r="A1173">
            <v>1166</v>
          </cell>
          <cell r="I1173" t="str">
            <v>N/E</v>
          </cell>
        </row>
        <row r="1174">
          <cell r="A1174">
            <v>1167</v>
          </cell>
          <cell r="I1174" t="str">
            <v>N/E</v>
          </cell>
        </row>
        <row r="1175">
          <cell r="A1175">
            <v>1168</v>
          </cell>
          <cell r="I1175" t="str">
            <v>N/E</v>
          </cell>
        </row>
        <row r="1176">
          <cell r="A1176">
            <v>1169</v>
          </cell>
          <cell r="I1176" t="str">
            <v xml:space="preserve">I 0714 </v>
          </cell>
        </row>
        <row r="1177">
          <cell r="A1177">
            <v>1170</v>
          </cell>
          <cell r="I1177" t="str">
            <v xml:space="preserve">I 0714 </v>
          </cell>
        </row>
        <row r="1178">
          <cell r="A1178">
            <v>1171</v>
          </cell>
          <cell r="I1178" t="str">
            <v>N/E</v>
          </cell>
        </row>
        <row r="1179">
          <cell r="A1179">
            <v>1172</v>
          </cell>
          <cell r="I1179" t="str">
            <v>I 0872</v>
          </cell>
        </row>
        <row r="1180">
          <cell r="A1180">
            <v>1173</v>
          </cell>
          <cell r="I1180" t="str">
            <v>I 0702</v>
          </cell>
        </row>
        <row r="1181">
          <cell r="A1181">
            <v>1174</v>
          </cell>
          <cell r="I1181" t="str">
            <v>I 0621 - I 0622</v>
          </cell>
        </row>
        <row r="1182">
          <cell r="A1182">
            <v>1175</v>
          </cell>
          <cell r="I1182" t="str">
            <v>N/E</v>
          </cell>
        </row>
        <row r="1183">
          <cell r="A1183">
            <v>1176</v>
          </cell>
          <cell r="I1183" t="str">
            <v>N/E</v>
          </cell>
        </row>
        <row r="1184">
          <cell r="A1184">
            <v>1177</v>
          </cell>
          <cell r="I1184" t="str">
            <v>I 0729 / 0730 / 0731 / 0732 / 0733</v>
          </cell>
        </row>
        <row r="1185">
          <cell r="A1185">
            <v>1178</v>
          </cell>
          <cell r="I1185" t="str">
            <v>I 0729 / 0730 / 0731 / 0732 / 0733</v>
          </cell>
        </row>
        <row r="1186">
          <cell r="A1186">
            <v>1179</v>
          </cell>
          <cell r="I1186" t="str">
            <v>I 0831</v>
          </cell>
        </row>
        <row r="1187">
          <cell r="A1187">
            <v>1180</v>
          </cell>
          <cell r="I1187" t="str">
            <v>I 0831</v>
          </cell>
        </row>
        <row r="1188">
          <cell r="A1188">
            <v>1181</v>
          </cell>
          <cell r="I1188" t="str">
            <v>I 0831</v>
          </cell>
        </row>
        <row r="1189">
          <cell r="A1189">
            <v>1182</v>
          </cell>
          <cell r="I1189" t="str">
            <v>N/E</v>
          </cell>
        </row>
        <row r="1190">
          <cell r="A1190">
            <v>1183</v>
          </cell>
          <cell r="I1190" t="str">
            <v>I 0799</v>
          </cell>
        </row>
        <row r="1191">
          <cell r="A1191">
            <v>1184</v>
          </cell>
          <cell r="I1191" t="str">
            <v>I 0497</v>
          </cell>
        </row>
        <row r="1192">
          <cell r="A1192">
            <v>1185</v>
          </cell>
          <cell r="I1192" t="str">
            <v>I 0720</v>
          </cell>
        </row>
        <row r="1193">
          <cell r="A1193">
            <v>1186</v>
          </cell>
          <cell r="I1193" t="str">
            <v>i 0832 / 0833 / 0834 / 0835 / 0989</v>
          </cell>
        </row>
        <row r="1194">
          <cell r="A1194">
            <v>1187</v>
          </cell>
          <cell r="I1194" t="str">
            <v>i 0832 / 0833 / 0834 / 0835 / 0989</v>
          </cell>
        </row>
        <row r="1195">
          <cell r="A1195">
            <v>1188</v>
          </cell>
          <cell r="I1195" t="str">
            <v>i 0832 / 0833 / 0834 / 0835 / 0989</v>
          </cell>
        </row>
        <row r="1196">
          <cell r="A1196">
            <v>1189</v>
          </cell>
          <cell r="I1196" t="str">
            <v>i 0832 / 0833 / 0834 / 0835 / 0989</v>
          </cell>
        </row>
        <row r="1197">
          <cell r="A1197">
            <v>1190</v>
          </cell>
          <cell r="I1197" t="str">
            <v>i 0832 / 0833 / 0834 / 0835 / 0989</v>
          </cell>
        </row>
        <row r="1198">
          <cell r="A1198">
            <v>1191</v>
          </cell>
          <cell r="I1198" t="str">
            <v>i 0832 / 0833 / 0834 / 0835 / 0989</v>
          </cell>
        </row>
        <row r="1199">
          <cell r="A1199">
            <v>1192</v>
          </cell>
          <cell r="I1199" t="str">
            <v>i 0832 / 0833 / 0834 / 0835 / 0989</v>
          </cell>
        </row>
        <row r="1200">
          <cell r="A1200">
            <v>1193</v>
          </cell>
          <cell r="I1200" t="str">
            <v>i 0832 / 0833 / 0834 / 0835 / 0989</v>
          </cell>
        </row>
        <row r="1201">
          <cell r="A1201">
            <v>1194</v>
          </cell>
          <cell r="I1201" t="str">
            <v>i 0832 / 0833 / 0834 / 0835 / 0989</v>
          </cell>
        </row>
        <row r="1202">
          <cell r="A1202">
            <v>1195</v>
          </cell>
          <cell r="I1202" t="str">
            <v>i 0832 / 0833 / 0834 / 0835 / 0989</v>
          </cell>
        </row>
        <row r="1203">
          <cell r="A1203">
            <v>1196</v>
          </cell>
          <cell r="I1203" t="str">
            <v>i 0832 / 0833 / 0834 / 0835 / 0989</v>
          </cell>
        </row>
        <row r="1204">
          <cell r="A1204">
            <v>1197</v>
          </cell>
          <cell r="I1204" t="str">
            <v>i 0832 / 0833 / 0834 / 0835 / 0989</v>
          </cell>
        </row>
        <row r="1205">
          <cell r="A1205">
            <v>1198</v>
          </cell>
          <cell r="I1205" t="str">
            <v>i 0832 / 0833 / 0834 / 0835 / 0989</v>
          </cell>
        </row>
        <row r="1206">
          <cell r="A1206">
            <v>1199</v>
          </cell>
          <cell r="I1206" t="str">
            <v>i 0832 / 0833 / 0834 / 0835 / 0989</v>
          </cell>
        </row>
        <row r="1207">
          <cell r="A1207">
            <v>1200</v>
          </cell>
          <cell r="I1207" t="str">
            <v>i 0832 / 0833 / 0834 / 0835 / 0989</v>
          </cell>
        </row>
        <row r="1208">
          <cell r="A1208">
            <v>1201</v>
          </cell>
          <cell r="I1208" t="str">
            <v>i 0832 / 0833 / 0834 / 0835 / 0989</v>
          </cell>
        </row>
        <row r="1209">
          <cell r="A1209">
            <v>1202</v>
          </cell>
          <cell r="I1209" t="str">
            <v>i 0832 / 0833 / 0834 / 0835 / 0989</v>
          </cell>
        </row>
        <row r="1210">
          <cell r="A1210">
            <v>1203</v>
          </cell>
          <cell r="I1210" t="str">
            <v>i 0832 / 0833 / 0834 / 0835 / 0989</v>
          </cell>
        </row>
        <row r="1211">
          <cell r="A1211">
            <v>1204</v>
          </cell>
          <cell r="I1211" t="str">
            <v>i 0832 / 0833 / 0834 / 0835 / 0989</v>
          </cell>
        </row>
        <row r="1212">
          <cell r="A1212">
            <v>1205</v>
          </cell>
          <cell r="I1212" t="str">
            <v>i 0832 / 0833 / 0834 / 0835 / 0989</v>
          </cell>
        </row>
        <row r="1213">
          <cell r="A1213">
            <v>1206</v>
          </cell>
          <cell r="I1213" t="str">
            <v>i 0832 / 0833 / 0834 / 0835 / 0989</v>
          </cell>
        </row>
        <row r="1214">
          <cell r="A1214">
            <v>1207</v>
          </cell>
          <cell r="I1214" t="str">
            <v>i 0832 / 0833 / 0834 / 0835 / 0989</v>
          </cell>
        </row>
        <row r="1215">
          <cell r="A1215">
            <v>1208</v>
          </cell>
          <cell r="I1215" t="str">
            <v>i 0832 / 0833 / 0834 / 0835 / 0989</v>
          </cell>
        </row>
        <row r="1216">
          <cell r="A1216">
            <v>1209</v>
          </cell>
          <cell r="I1216" t="str">
            <v>i 0832 / 0833 / 0834 / 0835 / 0989</v>
          </cell>
        </row>
        <row r="1217">
          <cell r="A1217">
            <v>1210</v>
          </cell>
          <cell r="I1217" t="str">
            <v>i 0832 / 0833 / 0834 / 0835 / 0989</v>
          </cell>
        </row>
        <row r="1218">
          <cell r="A1218">
            <v>1211</v>
          </cell>
          <cell r="I1218" t="str">
            <v>i 0832 / 0833 / 0834 / 0835 / 0989</v>
          </cell>
        </row>
        <row r="1219">
          <cell r="A1219">
            <v>1212</v>
          </cell>
          <cell r="I1219" t="str">
            <v>i 0832 / 0833 / 0834 / 0835 / 0989</v>
          </cell>
        </row>
        <row r="1220">
          <cell r="A1220">
            <v>1213</v>
          </cell>
          <cell r="I1220" t="str">
            <v>i 0832 / 0833 / 0834 / 0835 / 0989</v>
          </cell>
        </row>
        <row r="1221">
          <cell r="A1221">
            <v>1214</v>
          </cell>
          <cell r="I1221" t="str">
            <v>i 0832 / 0833 / 0834 / 0835 / 0989</v>
          </cell>
        </row>
        <row r="1222">
          <cell r="A1222">
            <v>1215</v>
          </cell>
          <cell r="I1222" t="str">
            <v>i 0832 / 0833 / 0834 / 0835 / 0989</v>
          </cell>
        </row>
        <row r="1223">
          <cell r="A1223">
            <v>1216</v>
          </cell>
          <cell r="I1223" t="str">
            <v>i 0832 / 0833 / 0834 / 0835 / 0989</v>
          </cell>
        </row>
        <row r="1224">
          <cell r="A1224">
            <v>1217</v>
          </cell>
          <cell r="I1224" t="str">
            <v>i 0832 / 0833 / 0834 / 0835 / 0989</v>
          </cell>
        </row>
        <row r="1225">
          <cell r="A1225">
            <v>1218</v>
          </cell>
          <cell r="I1225" t="str">
            <v>i 0832 / 0833 / 0834 / 0835 / 0989</v>
          </cell>
        </row>
        <row r="1226">
          <cell r="A1226">
            <v>1219</v>
          </cell>
          <cell r="I1226" t="str">
            <v>i 0832 / 0833 / 0834 / 0835 / 0989</v>
          </cell>
        </row>
        <row r="1227">
          <cell r="A1227">
            <v>1220</v>
          </cell>
          <cell r="I1227" t="str">
            <v>i 0832 / 0833 / 0834 / 0835 / 0989</v>
          </cell>
        </row>
        <row r="1228">
          <cell r="A1228">
            <v>1221</v>
          </cell>
          <cell r="I1228" t="str">
            <v>i 0832 / 0833 / 0834 / 0835 / 0989</v>
          </cell>
        </row>
        <row r="1229">
          <cell r="A1229">
            <v>1222</v>
          </cell>
          <cell r="I1229" t="str">
            <v>i 0832 / 0833 / 0834 / 0835 / 0989</v>
          </cell>
        </row>
        <row r="1230">
          <cell r="A1230">
            <v>1223</v>
          </cell>
          <cell r="I1230" t="str">
            <v>i 0832 / 0833 / 0834 / 0835 / 0989</v>
          </cell>
        </row>
        <row r="1231">
          <cell r="A1231">
            <v>1224</v>
          </cell>
          <cell r="I1231" t="str">
            <v>i 0832 / 0833 / 0834 / 0835 / 0989</v>
          </cell>
        </row>
        <row r="1232">
          <cell r="A1232">
            <v>1225</v>
          </cell>
          <cell r="I1232" t="str">
            <v>i 0832 / 0833 / 0834 / 0835 / 0989</v>
          </cell>
        </row>
        <row r="1233">
          <cell r="A1233">
            <v>1226</v>
          </cell>
          <cell r="I1233" t="str">
            <v>i 0832 / 0833 / 0834 / 0835 / 0989</v>
          </cell>
        </row>
        <row r="1234">
          <cell r="A1234">
            <v>1227</v>
          </cell>
          <cell r="I1234" t="str">
            <v>i 0832 / 0833 / 0834 / 0835 / 0989</v>
          </cell>
        </row>
        <row r="1235">
          <cell r="A1235">
            <v>1228</v>
          </cell>
          <cell r="I1235" t="str">
            <v>i 0832 / 0833 / 0834 / 0835 / 0989</v>
          </cell>
        </row>
        <row r="1236">
          <cell r="A1236">
            <v>1229</v>
          </cell>
          <cell r="I1236" t="str">
            <v>i 0832 / 0833 / 0834 / 0835 / 0989</v>
          </cell>
        </row>
        <row r="1237">
          <cell r="A1237">
            <v>1230</v>
          </cell>
          <cell r="I1237" t="str">
            <v>i 0832 / 0833 / 0834 / 0835 / 0989</v>
          </cell>
        </row>
        <row r="1238">
          <cell r="A1238">
            <v>1231</v>
          </cell>
          <cell r="I1238" t="str">
            <v>i 0832 / 0833 / 0834 / 0835 / 0989</v>
          </cell>
        </row>
        <row r="1239">
          <cell r="A1239">
            <v>1232</v>
          </cell>
          <cell r="I1239" t="str">
            <v>i 0832 / 0833 / 0834 / 0835 / 0989</v>
          </cell>
        </row>
        <row r="1240">
          <cell r="A1240">
            <v>1233</v>
          </cell>
          <cell r="I1240" t="str">
            <v>i 0832 / 0833 / 0834 / 0835 / 0989</v>
          </cell>
        </row>
        <row r="1241">
          <cell r="A1241">
            <v>1234</v>
          </cell>
          <cell r="I1241" t="str">
            <v>i 0832 / 0833 / 0834 / 0835 / 0989</v>
          </cell>
        </row>
        <row r="1242">
          <cell r="A1242">
            <v>1235</v>
          </cell>
          <cell r="I1242" t="str">
            <v>i 0832 / 0833 / 0834 / 0835 / 0989</v>
          </cell>
        </row>
        <row r="1243">
          <cell r="A1243">
            <v>1236</v>
          </cell>
          <cell r="I1243" t="str">
            <v>i 0832 / 0833 / 0834 / 0835 / 0989</v>
          </cell>
        </row>
        <row r="1244">
          <cell r="A1244">
            <v>1237</v>
          </cell>
          <cell r="I1244" t="str">
            <v>I 0948</v>
          </cell>
        </row>
        <row r="1245">
          <cell r="A1245">
            <v>1238</v>
          </cell>
          <cell r="I1245" t="str">
            <v>i 0832 / 0833 / 0834 / 0835 / 0989</v>
          </cell>
        </row>
        <row r="1246">
          <cell r="A1246">
            <v>1239</v>
          </cell>
          <cell r="I1246" t="str">
            <v>i 0832 / 0833 / 0834 / 0835 / 0989</v>
          </cell>
        </row>
        <row r="1247">
          <cell r="A1247">
            <v>1240</v>
          </cell>
          <cell r="I1247" t="str">
            <v>i 0832 / 0833 / 0834 / 0835 / 0949</v>
          </cell>
        </row>
        <row r="1248">
          <cell r="A1248">
            <v>1241</v>
          </cell>
          <cell r="I1248" t="str">
            <v>I 0832 / 0833 / 0834 / 0835 / 0989</v>
          </cell>
        </row>
        <row r="1249">
          <cell r="A1249">
            <v>1242</v>
          </cell>
          <cell r="I1249" t="str">
            <v>i 0832 / 0833 / 0834 / 0835 / 0989</v>
          </cell>
        </row>
        <row r="1250">
          <cell r="A1250">
            <v>1243</v>
          </cell>
          <cell r="I1250" t="str">
            <v>i 0832 / 0833 / 0834 / 0835 / 0989</v>
          </cell>
        </row>
        <row r="1251">
          <cell r="A1251">
            <v>1244</v>
          </cell>
          <cell r="I1251" t="str">
            <v>i 0832 / 0833 / 0834 / 0835 / 0989</v>
          </cell>
        </row>
        <row r="1252">
          <cell r="A1252">
            <v>1245</v>
          </cell>
          <cell r="I1252" t="str">
            <v>i 0832 / 0833 / 0834 / 0835 / 0989</v>
          </cell>
        </row>
        <row r="1253">
          <cell r="A1253">
            <v>1246</v>
          </cell>
          <cell r="I1253" t="str">
            <v>i 0832 / 0833 / 0834 / 0835 / 0989</v>
          </cell>
        </row>
        <row r="1254">
          <cell r="A1254">
            <v>1247</v>
          </cell>
          <cell r="I1254" t="str">
            <v>i 0832 / 0833 / 0834 / 0835 / 0989</v>
          </cell>
        </row>
        <row r="1255">
          <cell r="A1255">
            <v>1248</v>
          </cell>
          <cell r="I1255" t="str">
            <v>i 0832 / 0833 / 0834 / 0835 / 0989</v>
          </cell>
        </row>
        <row r="1256">
          <cell r="A1256">
            <v>1249</v>
          </cell>
          <cell r="I1256" t="str">
            <v>i 0832 / 0833 / 0834 / 0835 / 0989</v>
          </cell>
        </row>
        <row r="1257">
          <cell r="A1257">
            <v>1250</v>
          </cell>
          <cell r="I1257" t="str">
            <v>i 0832 / 0833 / 0834 / 0835 / 0989</v>
          </cell>
        </row>
        <row r="1258">
          <cell r="A1258">
            <v>1251</v>
          </cell>
          <cell r="I1258" t="str">
            <v>i 0832 / 0833 / 0834 / 0835 / 0989</v>
          </cell>
        </row>
        <row r="1259">
          <cell r="A1259">
            <v>1252</v>
          </cell>
          <cell r="I1259" t="str">
            <v>i 0832 / 0833 / 0834 / 0835 / 0989</v>
          </cell>
        </row>
        <row r="1260">
          <cell r="A1260">
            <v>1253</v>
          </cell>
          <cell r="I1260" t="str">
            <v>i 0832 / 0833 / 0834 / 0835 / 0989</v>
          </cell>
        </row>
        <row r="1261">
          <cell r="A1261">
            <v>1254</v>
          </cell>
          <cell r="I1261" t="str">
            <v>I 0670</v>
          </cell>
        </row>
        <row r="1262">
          <cell r="A1262">
            <v>1255</v>
          </cell>
          <cell r="I1262" t="str">
            <v>i 0832 / 0833 / 0834 / 0835 / 0989</v>
          </cell>
        </row>
        <row r="1263">
          <cell r="A1263">
            <v>1256</v>
          </cell>
          <cell r="I1263" t="str">
            <v>i 0832 / 0833 / 0834 / 0835 / 0989</v>
          </cell>
        </row>
        <row r="1264">
          <cell r="A1264">
            <v>1257</v>
          </cell>
          <cell r="I1264" t="str">
            <v>N/E</v>
          </cell>
        </row>
        <row r="1265">
          <cell r="A1265">
            <v>1258</v>
          </cell>
          <cell r="I1265" t="str">
            <v>N/E</v>
          </cell>
        </row>
        <row r="1266">
          <cell r="A1266">
            <v>1259</v>
          </cell>
          <cell r="I1266" t="str">
            <v>N/E</v>
          </cell>
        </row>
        <row r="1267">
          <cell r="A1267">
            <v>1260</v>
          </cell>
          <cell r="I1267" t="str">
            <v>N/E</v>
          </cell>
        </row>
        <row r="1268">
          <cell r="A1268">
            <v>1261</v>
          </cell>
          <cell r="I1268" t="str">
            <v>I 0871</v>
          </cell>
        </row>
        <row r="1269">
          <cell r="A1269">
            <v>1262</v>
          </cell>
          <cell r="I1269" t="str">
            <v>N/E</v>
          </cell>
        </row>
        <row r="1270">
          <cell r="A1270">
            <v>1263</v>
          </cell>
          <cell r="I1270" t="str">
            <v>N/E</v>
          </cell>
        </row>
        <row r="1271">
          <cell r="A1271">
            <v>1264</v>
          </cell>
          <cell r="I1271" t="str">
            <v>N/E</v>
          </cell>
        </row>
        <row r="1272">
          <cell r="A1272">
            <v>1265</v>
          </cell>
          <cell r="I1272" t="str">
            <v>I 0789</v>
          </cell>
        </row>
        <row r="1273">
          <cell r="A1273">
            <v>1267</v>
          </cell>
          <cell r="I1273" t="str">
            <v>I 0789</v>
          </cell>
        </row>
        <row r="1274">
          <cell r="A1274">
            <v>1268</v>
          </cell>
          <cell r="I1274" t="str">
            <v>N/E</v>
          </cell>
        </row>
        <row r="1275">
          <cell r="A1275">
            <v>1269</v>
          </cell>
          <cell r="I1275" t="str">
            <v>N/E</v>
          </cell>
        </row>
        <row r="1276">
          <cell r="A1276">
            <v>1270</v>
          </cell>
          <cell r="I1276" t="str">
            <v>I 0689</v>
          </cell>
        </row>
        <row r="1277">
          <cell r="A1277">
            <v>1271</v>
          </cell>
          <cell r="I1277" t="str">
            <v>I 0804</v>
          </cell>
        </row>
        <row r="1278">
          <cell r="A1278">
            <v>1272</v>
          </cell>
          <cell r="I1278" t="str">
            <v>I 0804</v>
          </cell>
        </row>
        <row r="1279">
          <cell r="A1279">
            <v>1273</v>
          </cell>
          <cell r="I1279" t="str">
            <v>I 0804</v>
          </cell>
        </row>
        <row r="1280">
          <cell r="A1280">
            <v>1274</v>
          </cell>
          <cell r="I1280" t="str">
            <v>N/E</v>
          </cell>
        </row>
        <row r="1281">
          <cell r="A1281">
            <v>1275</v>
          </cell>
          <cell r="I1281" t="str">
            <v>N/E</v>
          </cell>
        </row>
        <row r="1282">
          <cell r="A1282">
            <v>1276</v>
          </cell>
          <cell r="I1282" t="str">
            <v>N/E</v>
          </cell>
        </row>
        <row r="1283">
          <cell r="A1283">
            <v>1277</v>
          </cell>
          <cell r="I1283" t="str">
            <v>N/E</v>
          </cell>
        </row>
        <row r="1284">
          <cell r="A1284">
            <v>1278</v>
          </cell>
          <cell r="I1284" t="str">
            <v>N/E</v>
          </cell>
        </row>
        <row r="1285">
          <cell r="A1285">
            <v>1279</v>
          </cell>
          <cell r="I1285" t="str">
            <v>I 0708</v>
          </cell>
        </row>
        <row r="1286">
          <cell r="A1286">
            <v>1280</v>
          </cell>
          <cell r="I1286" t="str">
            <v>I 0708</v>
          </cell>
        </row>
        <row r="1287">
          <cell r="A1287">
            <v>1281</v>
          </cell>
          <cell r="I1287" t="str">
            <v>I 0790</v>
          </cell>
        </row>
        <row r="1288">
          <cell r="A1288">
            <v>1282</v>
          </cell>
          <cell r="I1288" t="str">
            <v>I 0806</v>
          </cell>
        </row>
        <row r="1289">
          <cell r="A1289">
            <v>1283</v>
          </cell>
          <cell r="I1289" t="str">
            <v>N/E</v>
          </cell>
        </row>
        <row r="1290">
          <cell r="A1290">
            <v>1284</v>
          </cell>
          <cell r="I1290" t="str">
            <v>N/E</v>
          </cell>
        </row>
        <row r="1291">
          <cell r="A1291">
            <v>1285</v>
          </cell>
          <cell r="I1291" t="str">
            <v>I 1252 A 1255</v>
          </cell>
        </row>
        <row r="1292">
          <cell r="A1292">
            <v>1286</v>
          </cell>
          <cell r="I1292" t="str">
            <v>I 1252 A 1255</v>
          </cell>
        </row>
        <row r="1293">
          <cell r="A1293">
            <v>1287</v>
          </cell>
          <cell r="I1293" t="str">
            <v>I 1252 A 1255</v>
          </cell>
        </row>
        <row r="1294">
          <cell r="A1294">
            <v>1288</v>
          </cell>
          <cell r="I1294" t="str">
            <v>N/E</v>
          </cell>
        </row>
        <row r="1295">
          <cell r="A1295">
            <v>1289</v>
          </cell>
          <cell r="I1295" t="str">
            <v>N/E</v>
          </cell>
        </row>
        <row r="1296">
          <cell r="A1296">
            <v>1290</v>
          </cell>
          <cell r="I1296" t="str">
            <v>N/E</v>
          </cell>
        </row>
        <row r="1297">
          <cell r="A1297">
            <v>1291</v>
          </cell>
          <cell r="I1297" t="str">
            <v>I 0940</v>
          </cell>
        </row>
        <row r="1298">
          <cell r="A1298">
            <v>1292</v>
          </cell>
          <cell r="I1298" t="str">
            <v>N/E</v>
          </cell>
        </row>
        <row r="1299">
          <cell r="A1299">
            <v>1293</v>
          </cell>
          <cell r="I1299" t="str">
            <v>N/E</v>
          </cell>
        </row>
        <row r="1300">
          <cell r="A1300">
            <v>1294</v>
          </cell>
          <cell r="I1300" t="str">
            <v>N/E</v>
          </cell>
        </row>
        <row r="1301">
          <cell r="A1301">
            <v>1295</v>
          </cell>
          <cell r="I1301" t="str">
            <v>N/E</v>
          </cell>
        </row>
        <row r="1302">
          <cell r="A1302">
            <v>1296</v>
          </cell>
          <cell r="I1302" t="str">
            <v>N/E</v>
          </cell>
        </row>
        <row r="1303">
          <cell r="A1303">
            <v>1297</v>
          </cell>
          <cell r="I1303" t="str">
            <v>N/E</v>
          </cell>
        </row>
        <row r="1304">
          <cell r="A1304">
            <v>1298</v>
          </cell>
          <cell r="I1304" t="str">
            <v>N/E</v>
          </cell>
        </row>
        <row r="1305">
          <cell r="A1305">
            <v>1299</v>
          </cell>
          <cell r="I1305" t="str">
            <v>N/E</v>
          </cell>
        </row>
        <row r="1306">
          <cell r="A1306">
            <v>1300</v>
          </cell>
          <cell r="I1306" t="str">
            <v>N/E</v>
          </cell>
        </row>
        <row r="1307">
          <cell r="A1307">
            <v>1301</v>
          </cell>
          <cell r="I1307" t="str">
            <v>N/E</v>
          </cell>
        </row>
        <row r="1308">
          <cell r="A1308">
            <v>1302</v>
          </cell>
          <cell r="I1308" t="str">
            <v>N/E</v>
          </cell>
        </row>
        <row r="1309">
          <cell r="A1309">
            <v>1303</v>
          </cell>
          <cell r="I1309" t="str">
            <v>I 0818 / 0819</v>
          </cell>
        </row>
        <row r="1310">
          <cell r="A1310">
            <v>1304</v>
          </cell>
          <cell r="I1310" t="str">
            <v>N/E</v>
          </cell>
        </row>
        <row r="1311">
          <cell r="A1311">
            <v>1305</v>
          </cell>
          <cell r="I1311" t="str">
            <v>N/E</v>
          </cell>
        </row>
        <row r="1312">
          <cell r="A1312">
            <v>1306</v>
          </cell>
          <cell r="I1312" t="str">
            <v>N/E</v>
          </cell>
        </row>
        <row r="1313">
          <cell r="A1313">
            <v>1307</v>
          </cell>
          <cell r="I1313" t="str">
            <v>N/E</v>
          </cell>
        </row>
        <row r="1314">
          <cell r="A1314">
            <v>1308</v>
          </cell>
          <cell r="I1314" t="str">
            <v>N/E</v>
          </cell>
        </row>
        <row r="1315">
          <cell r="A1315">
            <v>1309</v>
          </cell>
          <cell r="I1315" t="str">
            <v>N/E</v>
          </cell>
        </row>
        <row r="1316">
          <cell r="A1316">
            <v>1310</v>
          </cell>
          <cell r="I1316" t="str">
            <v>I 0812</v>
          </cell>
        </row>
        <row r="1317">
          <cell r="A1317">
            <v>1311</v>
          </cell>
          <cell r="I1317" t="str">
            <v>N/E</v>
          </cell>
        </row>
        <row r="1318">
          <cell r="A1318">
            <v>1312</v>
          </cell>
          <cell r="I1318" t="str">
            <v>I 0826</v>
          </cell>
        </row>
        <row r="1319">
          <cell r="A1319">
            <v>1313</v>
          </cell>
          <cell r="I1319" t="str">
            <v>I 0830</v>
          </cell>
        </row>
        <row r="1320">
          <cell r="A1320">
            <v>1314</v>
          </cell>
          <cell r="I1320" t="str">
            <v>I 0843</v>
          </cell>
        </row>
        <row r="1321">
          <cell r="A1321">
            <v>1315</v>
          </cell>
          <cell r="I1321" t="str">
            <v>N/E</v>
          </cell>
        </row>
        <row r="1322">
          <cell r="A1322">
            <v>1316</v>
          </cell>
          <cell r="I1322" t="str">
            <v>N/E</v>
          </cell>
        </row>
        <row r="1323">
          <cell r="A1323">
            <v>1317</v>
          </cell>
          <cell r="I1323" t="str">
            <v>N/E</v>
          </cell>
        </row>
        <row r="1324">
          <cell r="A1324">
            <v>1318</v>
          </cell>
          <cell r="I1324" t="str">
            <v>N/E</v>
          </cell>
        </row>
        <row r="1325">
          <cell r="A1325">
            <v>1319</v>
          </cell>
          <cell r="I1325" t="str">
            <v>N/E</v>
          </cell>
        </row>
        <row r="1326">
          <cell r="A1326">
            <v>1320</v>
          </cell>
          <cell r="I1326" t="str">
            <v>N/E</v>
          </cell>
        </row>
        <row r="1327">
          <cell r="A1327">
            <v>1321</v>
          </cell>
          <cell r="I1327" t="str">
            <v>N/E</v>
          </cell>
        </row>
        <row r="1328">
          <cell r="A1328">
            <v>1322</v>
          </cell>
          <cell r="I1328" t="str">
            <v>0836/0837/0838/0839</v>
          </cell>
        </row>
        <row r="1329">
          <cell r="A1329">
            <v>1323</v>
          </cell>
          <cell r="I1329" t="str">
            <v>0836/0837/0838/0839</v>
          </cell>
        </row>
        <row r="1330">
          <cell r="A1330">
            <v>1324</v>
          </cell>
          <cell r="I1330" t="str">
            <v>0836/0837/0838/0839</v>
          </cell>
        </row>
        <row r="1331">
          <cell r="A1331">
            <v>1325</v>
          </cell>
          <cell r="I1331" t="str">
            <v>I 0866</v>
          </cell>
        </row>
        <row r="1332">
          <cell r="A1332">
            <v>1326</v>
          </cell>
          <cell r="I1332" t="str">
            <v>I 0869</v>
          </cell>
        </row>
        <row r="1333">
          <cell r="A1333">
            <v>1327</v>
          </cell>
          <cell r="I1333" t="str">
            <v>N/E</v>
          </cell>
        </row>
        <row r="1334">
          <cell r="A1334">
            <v>1328</v>
          </cell>
          <cell r="I1334" t="str">
            <v>I 0865</v>
          </cell>
        </row>
        <row r="1335">
          <cell r="A1335">
            <v>1329</v>
          </cell>
          <cell r="I1335" t="str">
            <v>N/E</v>
          </cell>
        </row>
        <row r="1336">
          <cell r="A1336">
            <v>1330</v>
          </cell>
          <cell r="I1336" t="str">
            <v>N/E</v>
          </cell>
        </row>
        <row r="1337">
          <cell r="A1337">
            <v>1331</v>
          </cell>
          <cell r="I1337" t="str">
            <v>I 0868</v>
          </cell>
        </row>
        <row r="1338">
          <cell r="A1338">
            <v>1332</v>
          </cell>
          <cell r="I1338" t="str">
            <v>N/E</v>
          </cell>
        </row>
        <row r="1339">
          <cell r="A1339">
            <v>1333</v>
          </cell>
          <cell r="I1339" t="str">
            <v>N/E</v>
          </cell>
        </row>
        <row r="1340">
          <cell r="A1340">
            <v>1334</v>
          </cell>
          <cell r="I1340" t="str">
            <v>I 0867</v>
          </cell>
        </row>
        <row r="1341">
          <cell r="A1341">
            <v>1335</v>
          </cell>
          <cell r="I1341" t="str">
            <v>N/E</v>
          </cell>
        </row>
        <row r="1342">
          <cell r="A1342">
            <v>1336</v>
          </cell>
          <cell r="I1342" t="str">
            <v>N/E</v>
          </cell>
        </row>
        <row r="1343">
          <cell r="A1343">
            <v>1337</v>
          </cell>
          <cell r="I1343" t="str">
            <v>N/E</v>
          </cell>
        </row>
        <row r="1344">
          <cell r="A1344">
            <v>1338</v>
          </cell>
          <cell r="I1344" t="str">
            <v>N/E</v>
          </cell>
        </row>
        <row r="1345">
          <cell r="A1345">
            <v>1339</v>
          </cell>
          <cell r="I1345" t="str">
            <v>N/E</v>
          </cell>
        </row>
        <row r="1346">
          <cell r="A1346">
            <v>1340</v>
          </cell>
          <cell r="I1346" t="str">
            <v>N/E</v>
          </cell>
        </row>
        <row r="1347">
          <cell r="A1347">
            <v>1341</v>
          </cell>
          <cell r="I1347" t="str">
            <v>0825</v>
          </cell>
        </row>
        <row r="1348">
          <cell r="A1348">
            <v>1342</v>
          </cell>
          <cell r="I1348" t="str">
            <v>I 0815</v>
          </cell>
        </row>
        <row r="1349">
          <cell r="A1349">
            <v>1343</v>
          </cell>
          <cell r="I1349" t="str">
            <v>I 0840</v>
          </cell>
        </row>
        <row r="1350">
          <cell r="A1350">
            <v>1344</v>
          </cell>
          <cell r="I1350" t="str">
            <v>N/E</v>
          </cell>
        </row>
        <row r="1351">
          <cell r="A1351">
            <v>1345</v>
          </cell>
          <cell r="I1351" t="str">
            <v>N/E</v>
          </cell>
        </row>
        <row r="1352">
          <cell r="A1352">
            <v>1346</v>
          </cell>
          <cell r="I1352" t="str">
            <v>N/E</v>
          </cell>
        </row>
        <row r="1353">
          <cell r="A1353">
            <v>1347</v>
          </cell>
          <cell r="I1353" t="str">
            <v>N/E</v>
          </cell>
        </row>
        <row r="1354">
          <cell r="A1354">
            <v>1348</v>
          </cell>
          <cell r="I1354" t="str">
            <v>I 0855</v>
          </cell>
        </row>
        <row r="1355">
          <cell r="A1355">
            <v>1349</v>
          </cell>
          <cell r="I1355" t="str">
            <v>I 0842 / I 0820</v>
          </cell>
        </row>
        <row r="1356">
          <cell r="A1356">
            <v>1350</v>
          </cell>
          <cell r="I1356" t="str">
            <v>I 0817</v>
          </cell>
        </row>
        <row r="1357">
          <cell r="A1357">
            <v>1351</v>
          </cell>
          <cell r="I1357" t="str">
            <v>I 0829</v>
          </cell>
        </row>
        <row r="1358">
          <cell r="A1358">
            <v>1352</v>
          </cell>
          <cell r="I1358" t="str">
            <v>I 0852</v>
          </cell>
        </row>
        <row r="1359">
          <cell r="A1359">
            <v>1353</v>
          </cell>
          <cell r="I1359" t="str">
            <v>N/E</v>
          </cell>
        </row>
        <row r="1360">
          <cell r="A1360">
            <v>1354</v>
          </cell>
          <cell r="I1360" t="str">
            <v>N/E</v>
          </cell>
        </row>
        <row r="1361">
          <cell r="A1361">
            <v>1355</v>
          </cell>
          <cell r="I1361" t="str">
            <v>N/E</v>
          </cell>
        </row>
        <row r="1362">
          <cell r="A1362">
            <v>1356</v>
          </cell>
          <cell r="I1362" t="str">
            <v>I 0851</v>
          </cell>
        </row>
        <row r="1363">
          <cell r="A1363">
            <v>1357</v>
          </cell>
          <cell r="I1363" t="str">
            <v>I 0851</v>
          </cell>
        </row>
        <row r="1364">
          <cell r="A1364">
            <v>1358</v>
          </cell>
          <cell r="I1364" t="str">
            <v>I 1014</v>
          </cell>
        </row>
        <row r="1365">
          <cell r="A1365">
            <v>1359</v>
          </cell>
          <cell r="I1365" t="str">
            <v>I 0800</v>
          </cell>
        </row>
        <row r="1366">
          <cell r="A1366">
            <v>1360</v>
          </cell>
          <cell r="I1366" t="str">
            <v>I 0878</v>
          </cell>
        </row>
        <row r="1367">
          <cell r="A1367">
            <v>1361</v>
          </cell>
          <cell r="I1367" t="str">
            <v>I 0788</v>
          </cell>
        </row>
        <row r="1368">
          <cell r="A1368">
            <v>1362</v>
          </cell>
          <cell r="I1368" t="str">
            <v>I 0884</v>
          </cell>
        </row>
        <row r="1369">
          <cell r="A1369">
            <v>1363</v>
          </cell>
          <cell r="I1369" t="str">
            <v>N/E</v>
          </cell>
        </row>
        <row r="1370">
          <cell r="A1370">
            <v>1364</v>
          </cell>
          <cell r="I1370" t="str">
            <v>I 1068</v>
          </cell>
        </row>
        <row r="1371">
          <cell r="A1371">
            <v>1365</v>
          </cell>
          <cell r="I1371" t="str">
            <v>I 1077/ I 1078</v>
          </cell>
        </row>
        <row r="1372">
          <cell r="A1372">
            <v>1366</v>
          </cell>
          <cell r="I1372" t="str">
            <v>I 0853</v>
          </cell>
        </row>
        <row r="1373">
          <cell r="A1373">
            <v>1367</v>
          </cell>
          <cell r="I1373" t="str">
            <v>N/E</v>
          </cell>
        </row>
        <row r="1374">
          <cell r="A1374">
            <v>1368</v>
          </cell>
          <cell r="I1374" t="str">
            <v>I 1005</v>
          </cell>
        </row>
        <row r="1375">
          <cell r="A1375">
            <v>1369</v>
          </cell>
          <cell r="I1375" t="str">
            <v>I 0854</v>
          </cell>
        </row>
        <row r="1376">
          <cell r="A1376">
            <v>1370</v>
          </cell>
          <cell r="I1376" t="str">
            <v>I 0731</v>
          </cell>
        </row>
        <row r="1377">
          <cell r="A1377">
            <v>1371</v>
          </cell>
          <cell r="I1377" t="str">
            <v>N/E</v>
          </cell>
        </row>
        <row r="1378">
          <cell r="A1378">
            <v>1372</v>
          </cell>
          <cell r="I1378" t="str">
            <v>I 0829</v>
          </cell>
        </row>
        <row r="1379">
          <cell r="A1379">
            <v>1373</v>
          </cell>
          <cell r="I1379" t="str">
            <v>I 0829</v>
          </cell>
        </row>
        <row r="1380">
          <cell r="A1380">
            <v>1374</v>
          </cell>
          <cell r="I1380" t="str">
            <v>I 0829</v>
          </cell>
        </row>
        <row r="1381">
          <cell r="A1381">
            <v>1375</v>
          </cell>
          <cell r="I1381" t="str">
            <v>I 0829</v>
          </cell>
        </row>
        <row r="1382">
          <cell r="A1382">
            <v>1376</v>
          </cell>
          <cell r="I1382" t="str">
            <v>N/E</v>
          </cell>
        </row>
        <row r="1383">
          <cell r="A1383">
            <v>1377</v>
          </cell>
          <cell r="I1383" t="str">
            <v>N/E</v>
          </cell>
        </row>
        <row r="1384">
          <cell r="A1384">
            <v>1378</v>
          </cell>
          <cell r="I1384" t="str">
            <v>N/E</v>
          </cell>
        </row>
        <row r="1385">
          <cell r="A1385">
            <v>1379</v>
          </cell>
          <cell r="I1385" t="str">
            <v>N/E</v>
          </cell>
        </row>
        <row r="1386">
          <cell r="A1386">
            <v>1380</v>
          </cell>
          <cell r="I1386" t="str">
            <v>N/E</v>
          </cell>
        </row>
        <row r="1387">
          <cell r="A1387">
            <v>1381</v>
          </cell>
          <cell r="I1387" t="str">
            <v>N/E</v>
          </cell>
        </row>
        <row r="1388">
          <cell r="A1388">
            <v>1382</v>
          </cell>
          <cell r="I1388" t="str">
            <v>N/E</v>
          </cell>
        </row>
        <row r="1389">
          <cell r="A1389">
            <v>1383</v>
          </cell>
          <cell r="I1389" t="str">
            <v>N/E</v>
          </cell>
        </row>
        <row r="1390">
          <cell r="A1390">
            <v>1384</v>
          </cell>
          <cell r="I1390" t="str">
            <v>N/E</v>
          </cell>
        </row>
        <row r="1391">
          <cell r="A1391">
            <v>1385</v>
          </cell>
          <cell r="I1391" t="str">
            <v>I 0889</v>
          </cell>
        </row>
        <row r="1392">
          <cell r="A1392">
            <v>1386</v>
          </cell>
          <cell r="I1392" t="str">
            <v>N/E</v>
          </cell>
        </row>
        <row r="1393">
          <cell r="A1393">
            <v>1387</v>
          </cell>
          <cell r="I1393" t="str">
            <v>I 1001 / 1002</v>
          </cell>
        </row>
        <row r="1394">
          <cell r="A1394">
            <v>1388</v>
          </cell>
          <cell r="I1394" t="str">
            <v>I 0850</v>
          </cell>
        </row>
        <row r="1395">
          <cell r="A1395">
            <v>1389</v>
          </cell>
          <cell r="I1395" t="str">
            <v>I 0850</v>
          </cell>
        </row>
        <row r="1396">
          <cell r="A1396">
            <v>1390</v>
          </cell>
          <cell r="I1396" t="str">
            <v>I 0991</v>
          </cell>
        </row>
        <row r="1397">
          <cell r="A1397">
            <v>1391</v>
          </cell>
          <cell r="I1397" t="str">
            <v>I 0991</v>
          </cell>
        </row>
        <row r="1398">
          <cell r="A1398">
            <v>1392</v>
          </cell>
          <cell r="I1398" t="str">
            <v>I 0991</v>
          </cell>
        </row>
        <row r="1399">
          <cell r="A1399">
            <v>1393</v>
          </cell>
          <cell r="I1399" t="str">
            <v>I 0892</v>
          </cell>
        </row>
        <row r="1400">
          <cell r="A1400">
            <v>1394</v>
          </cell>
          <cell r="I1400" t="str">
            <v>I 0891</v>
          </cell>
        </row>
        <row r="1401">
          <cell r="A1401">
            <v>1395</v>
          </cell>
          <cell r="I1401" t="str">
            <v>I 1061 / 1062</v>
          </cell>
        </row>
        <row r="1402">
          <cell r="A1402">
            <v>1396</v>
          </cell>
          <cell r="I1402" t="str">
            <v>I 0894</v>
          </cell>
        </row>
        <row r="1403">
          <cell r="A1403">
            <v>1397</v>
          </cell>
          <cell r="I1403" t="str">
            <v>I 0894</v>
          </cell>
        </row>
        <row r="1404">
          <cell r="A1404">
            <v>1398</v>
          </cell>
          <cell r="I1404" t="str">
            <v>N/E</v>
          </cell>
        </row>
        <row r="1405">
          <cell r="A1405">
            <v>1399</v>
          </cell>
          <cell r="I1405" t="str">
            <v>I 1034/ I 1035</v>
          </cell>
        </row>
        <row r="1406">
          <cell r="A1406">
            <v>1400</v>
          </cell>
          <cell r="I1406" t="str">
            <v>I 0935</v>
          </cell>
        </row>
        <row r="1407">
          <cell r="A1407">
            <v>1401</v>
          </cell>
          <cell r="I1407" t="str">
            <v>N/E</v>
          </cell>
        </row>
        <row r="1408">
          <cell r="A1408">
            <v>1402</v>
          </cell>
          <cell r="I1408" t="str">
            <v>I 0919</v>
          </cell>
        </row>
        <row r="1409">
          <cell r="A1409">
            <v>1403</v>
          </cell>
          <cell r="I1409" t="str">
            <v>I 1007</v>
          </cell>
        </row>
        <row r="1410">
          <cell r="A1410">
            <v>1404</v>
          </cell>
          <cell r="I1410" t="str">
            <v>I 0725</v>
          </cell>
        </row>
        <row r="1411">
          <cell r="A1411">
            <v>1405</v>
          </cell>
          <cell r="I1411" t="str">
            <v>I 0916 / I 0174</v>
          </cell>
        </row>
        <row r="1412">
          <cell r="A1412">
            <v>1406</v>
          </cell>
          <cell r="I1412" t="str">
            <v>I 0916 / I 0174</v>
          </cell>
        </row>
        <row r="1413">
          <cell r="A1413">
            <v>1407</v>
          </cell>
          <cell r="I1413" t="str">
            <v>I 0922 / 0923</v>
          </cell>
        </row>
        <row r="1414">
          <cell r="A1414">
            <v>1408</v>
          </cell>
          <cell r="I1414" t="str">
            <v>I 0849</v>
          </cell>
        </row>
        <row r="1415">
          <cell r="A1415">
            <v>1409</v>
          </cell>
          <cell r="I1415" t="str">
            <v>I 0964 / 0965</v>
          </cell>
        </row>
        <row r="1416">
          <cell r="A1416">
            <v>1410</v>
          </cell>
          <cell r="I1416" t="str">
            <v>I 0964 / 0965</v>
          </cell>
        </row>
        <row r="1417">
          <cell r="A1417">
            <v>1411</v>
          </cell>
          <cell r="I1417" t="str">
            <v>I 0964 / 0965</v>
          </cell>
        </row>
        <row r="1418">
          <cell r="A1418">
            <v>1412</v>
          </cell>
          <cell r="I1418" t="str">
            <v>I 0964 / 0965</v>
          </cell>
        </row>
        <row r="1419">
          <cell r="A1419">
            <v>1413</v>
          </cell>
          <cell r="I1419" t="str">
            <v>I 0964 / 0965</v>
          </cell>
        </row>
        <row r="1420">
          <cell r="A1420">
            <v>1414</v>
          </cell>
          <cell r="I1420" t="str">
            <v>I 0964 / 0965</v>
          </cell>
        </row>
        <row r="1421">
          <cell r="A1421">
            <v>1415</v>
          </cell>
          <cell r="I1421" t="str">
            <v>I 0964 / 0965</v>
          </cell>
        </row>
        <row r="1422">
          <cell r="A1422">
            <v>1416</v>
          </cell>
          <cell r="I1422" t="str">
            <v>I 0964 / 0965</v>
          </cell>
        </row>
        <row r="1423">
          <cell r="A1423">
            <v>1417</v>
          </cell>
          <cell r="I1423" t="str">
            <v>I 0964 / 0965</v>
          </cell>
        </row>
        <row r="1424">
          <cell r="A1424">
            <v>1418</v>
          </cell>
          <cell r="I1424" t="str">
            <v>N/E</v>
          </cell>
        </row>
        <row r="1425">
          <cell r="A1425">
            <v>1419</v>
          </cell>
          <cell r="I1425" t="str">
            <v>N/E</v>
          </cell>
        </row>
        <row r="1426">
          <cell r="A1426">
            <v>1420</v>
          </cell>
          <cell r="I1426" t="str">
            <v>N/E</v>
          </cell>
        </row>
        <row r="1427">
          <cell r="A1427">
            <v>1421</v>
          </cell>
          <cell r="I1427" t="str">
            <v>N/E</v>
          </cell>
        </row>
        <row r="1428">
          <cell r="A1428">
            <v>1422</v>
          </cell>
          <cell r="I1428" t="str">
            <v>N/E</v>
          </cell>
        </row>
        <row r="1429">
          <cell r="A1429">
            <v>1423</v>
          </cell>
          <cell r="I1429" t="str">
            <v>N/E</v>
          </cell>
        </row>
        <row r="1430">
          <cell r="A1430">
            <v>1424</v>
          </cell>
          <cell r="I1430" t="str">
            <v>N/E</v>
          </cell>
        </row>
        <row r="1431">
          <cell r="A1431">
            <v>1425</v>
          </cell>
          <cell r="I1431" t="str">
            <v>I 0950</v>
          </cell>
        </row>
        <row r="1432">
          <cell r="A1432">
            <v>1426</v>
          </cell>
          <cell r="I1432" t="str">
            <v>I 0950</v>
          </cell>
        </row>
        <row r="1433">
          <cell r="A1433">
            <v>1427</v>
          </cell>
          <cell r="I1433" t="str">
            <v>I 0933</v>
          </cell>
        </row>
        <row r="1434">
          <cell r="A1434">
            <v>1428</v>
          </cell>
          <cell r="I1434" t="str">
            <v>I 0978</v>
          </cell>
        </row>
        <row r="1435">
          <cell r="A1435">
            <v>1429</v>
          </cell>
          <cell r="I1435" t="str">
            <v>I 0970</v>
          </cell>
        </row>
        <row r="1436">
          <cell r="A1436">
            <v>1430</v>
          </cell>
          <cell r="I1436" t="str">
            <v>I 0726</v>
          </cell>
        </row>
        <row r="1437">
          <cell r="A1437">
            <v>1431</v>
          </cell>
          <cell r="I1437" t="str">
            <v>I 0726</v>
          </cell>
        </row>
        <row r="1438">
          <cell r="A1438">
            <v>1432</v>
          </cell>
          <cell r="I1438" t="str">
            <v>I 0726</v>
          </cell>
        </row>
        <row r="1439">
          <cell r="A1439">
            <v>1433</v>
          </cell>
          <cell r="I1439" t="str">
            <v>I 0951</v>
          </cell>
        </row>
        <row r="1440">
          <cell r="A1440">
            <v>1434</v>
          </cell>
          <cell r="I1440" t="str">
            <v>I 0951</v>
          </cell>
        </row>
        <row r="1441">
          <cell r="A1441">
            <v>1435</v>
          </cell>
          <cell r="I1441" t="str">
            <v>I 0968</v>
          </cell>
        </row>
        <row r="1442">
          <cell r="A1442">
            <v>1436</v>
          </cell>
          <cell r="I1442" t="str">
            <v>I 0968</v>
          </cell>
        </row>
        <row r="1443">
          <cell r="A1443">
            <v>1437</v>
          </cell>
          <cell r="I1443" t="str">
            <v>I 0968</v>
          </cell>
        </row>
        <row r="1444">
          <cell r="A1444">
            <v>1438</v>
          </cell>
          <cell r="I1444" t="str">
            <v>I 0969</v>
          </cell>
        </row>
        <row r="1445">
          <cell r="A1445">
            <v>1439</v>
          </cell>
          <cell r="I1445" t="str">
            <v>I 0969</v>
          </cell>
        </row>
        <row r="1446">
          <cell r="A1446">
            <v>1440</v>
          </cell>
          <cell r="I1446" t="str">
            <v>I 0968</v>
          </cell>
        </row>
        <row r="1447">
          <cell r="A1447">
            <v>1441</v>
          </cell>
          <cell r="I1447" t="str">
            <v>I 0918</v>
          </cell>
        </row>
        <row r="1448">
          <cell r="A1448">
            <v>1442</v>
          </cell>
          <cell r="I1448" t="str">
            <v>I 0918</v>
          </cell>
        </row>
        <row r="1449">
          <cell r="A1449">
            <v>1443</v>
          </cell>
          <cell r="I1449" t="str">
            <v>I 0918</v>
          </cell>
        </row>
        <row r="1450">
          <cell r="A1450">
            <v>1444</v>
          </cell>
          <cell r="I1450" t="str">
            <v>I 0937</v>
          </cell>
        </row>
        <row r="1451">
          <cell r="A1451">
            <v>1445</v>
          </cell>
          <cell r="I1451" t="str">
            <v>I 0974</v>
          </cell>
        </row>
        <row r="1452">
          <cell r="A1452">
            <v>1446</v>
          </cell>
          <cell r="I1452" t="str">
            <v>I 0912 / 0913</v>
          </cell>
        </row>
        <row r="1453">
          <cell r="A1453">
            <v>1447</v>
          </cell>
          <cell r="I1453" t="str">
            <v>I 0912 / 0913</v>
          </cell>
        </row>
        <row r="1454">
          <cell r="A1454">
            <v>1448</v>
          </cell>
          <cell r="I1454" t="str">
            <v>I 0951 / 0952</v>
          </cell>
        </row>
        <row r="1455">
          <cell r="A1455">
            <v>1449</v>
          </cell>
          <cell r="I1455" t="str">
            <v>I 0951 / 0952</v>
          </cell>
        </row>
        <row r="1456">
          <cell r="A1456">
            <v>1450</v>
          </cell>
          <cell r="I1456" t="str">
            <v>N/E</v>
          </cell>
        </row>
        <row r="1457">
          <cell r="A1457">
            <v>1451</v>
          </cell>
          <cell r="I1457" t="str">
            <v>N/E</v>
          </cell>
        </row>
        <row r="1458">
          <cell r="A1458">
            <v>1452</v>
          </cell>
          <cell r="I1458" t="str">
            <v>N/E</v>
          </cell>
        </row>
        <row r="1459">
          <cell r="A1459">
            <v>1453</v>
          </cell>
          <cell r="I1459" t="str">
            <v>I 1008</v>
          </cell>
        </row>
        <row r="1460">
          <cell r="A1460">
            <v>1454</v>
          </cell>
          <cell r="I1460" t="str">
            <v>I 1008</v>
          </cell>
        </row>
        <row r="1461">
          <cell r="A1461">
            <v>1455</v>
          </cell>
          <cell r="I1461" t="str">
            <v>I 1008</v>
          </cell>
        </row>
        <row r="1462">
          <cell r="A1462">
            <v>1456</v>
          </cell>
          <cell r="I1462" t="str">
            <v>I 1008</v>
          </cell>
        </row>
        <row r="1463">
          <cell r="A1463">
            <v>1457</v>
          </cell>
          <cell r="I1463" t="str">
            <v>I 1008</v>
          </cell>
        </row>
        <row r="1464">
          <cell r="A1464">
            <v>1458</v>
          </cell>
          <cell r="I1464" t="str">
            <v>I 1008</v>
          </cell>
        </row>
        <row r="1465">
          <cell r="A1465">
            <v>1459</v>
          </cell>
          <cell r="I1465" t="str">
            <v>I 1008</v>
          </cell>
        </row>
        <row r="1466">
          <cell r="A1466">
            <v>1460</v>
          </cell>
          <cell r="I1466" t="str">
            <v>I 1008</v>
          </cell>
        </row>
        <row r="1467">
          <cell r="A1467">
            <v>1461</v>
          </cell>
          <cell r="I1467" t="str">
            <v>I 1008</v>
          </cell>
        </row>
        <row r="1468">
          <cell r="A1468">
            <v>1462</v>
          </cell>
          <cell r="I1468" t="str">
            <v>I 1008</v>
          </cell>
        </row>
        <row r="1469">
          <cell r="A1469">
            <v>1463</v>
          </cell>
          <cell r="I1469" t="str">
            <v>I 1008</v>
          </cell>
        </row>
        <row r="1470">
          <cell r="A1470">
            <v>1464</v>
          </cell>
          <cell r="I1470" t="str">
            <v>I 1008</v>
          </cell>
        </row>
        <row r="1471">
          <cell r="A1471">
            <v>1465</v>
          </cell>
          <cell r="I1471">
            <v>972</v>
          </cell>
        </row>
        <row r="1472">
          <cell r="A1472">
            <v>1466</v>
          </cell>
          <cell r="I1472" t="str">
            <v>N/E</v>
          </cell>
        </row>
        <row r="1473">
          <cell r="A1473">
            <v>1467</v>
          </cell>
          <cell r="I1473" t="str">
            <v>I 0972</v>
          </cell>
        </row>
        <row r="1474">
          <cell r="A1474">
            <v>1468</v>
          </cell>
          <cell r="I1474" t="str">
            <v>I 0977</v>
          </cell>
        </row>
        <row r="1475">
          <cell r="A1475">
            <v>1469</v>
          </cell>
          <cell r="I1475" t="str">
            <v>N/E</v>
          </cell>
        </row>
        <row r="1476">
          <cell r="A1476">
            <v>1470</v>
          </cell>
          <cell r="I1476" t="str">
            <v>N/E</v>
          </cell>
        </row>
        <row r="1477">
          <cell r="A1477">
            <v>1471</v>
          </cell>
          <cell r="I1477" t="str">
            <v>N/E</v>
          </cell>
        </row>
        <row r="1478">
          <cell r="A1478">
            <v>1472</v>
          </cell>
          <cell r="I1478" t="str">
            <v>N/E</v>
          </cell>
        </row>
        <row r="1479">
          <cell r="A1479">
            <v>1473</v>
          </cell>
          <cell r="I1479" t="str">
            <v>N/E</v>
          </cell>
        </row>
        <row r="1480">
          <cell r="A1480">
            <v>1474</v>
          </cell>
          <cell r="I1480" t="str">
            <v>N/E</v>
          </cell>
        </row>
        <row r="1481">
          <cell r="A1481">
            <v>1475</v>
          </cell>
          <cell r="I1481" t="str">
            <v>N/E</v>
          </cell>
        </row>
        <row r="1482">
          <cell r="A1482">
            <v>1476</v>
          </cell>
          <cell r="I1482" t="str">
            <v>N/E</v>
          </cell>
        </row>
        <row r="1483">
          <cell r="A1483">
            <v>1477</v>
          </cell>
          <cell r="I1483" t="str">
            <v>I 1071/ I1072/ I 1073</v>
          </cell>
        </row>
        <row r="1484">
          <cell r="A1484">
            <v>1478</v>
          </cell>
          <cell r="I1484" t="str">
            <v>N/E</v>
          </cell>
        </row>
        <row r="1485">
          <cell r="A1485">
            <v>1479</v>
          </cell>
          <cell r="I1485" t="str">
            <v>I 1026</v>
          </cell>
        </row>
        <row r="1486">
          <cell r="A1486">
            <v>1480</v>
          </cell>
          <cell r="I1486" t="str">
            <v>I 0975</v>
          </cell>
        </row>
        <row r="1487">
          <cell r="A1487">
            <v>1481</v>
          </cell>
          <cell r="I1487" t="str">
            <v>I 0975</v>
          </cell>
        </row>
        <row r="1488">
          <cell r="A1488">
            <v>1482</v>
          </cell>
          <cell r="I1488" t="str">
            <v>N/E</v>
          </cell>
        </row>
        <row r="1489">
          <cell r="A1489">
            <v>1483</v>
          </cell>
          <cell r="I1489" t="str">
            <v>I 0975</v>
          </cell>
        </row>
        <row r="1490">
          <cell r="A1490">
            <v>1484</v>
          </cell>
          <cell r="I1490" t="str">
            <v>N/E</v>
          </cell>
        </row>
        <row r="1491">
          <cell r="A1491">
            <v>1485</v>
          </cell>
          <cell r="I1491" t="str">
            <v>N/E</v>
          </cell>
        </row>
        <row r="1492">
          <cell r="A1492">
            <v>1486</v>
          </cell>
          <cell r="I1492" t="str">
            <v>I 1053</v>
          </cell>
        </row>
        <row r="1493">
          <cell r="A1493">
            <v>1487</v>
          </cell>
          <cell r="I1493" t="str">
            <v>I 1006</v>
          </cell>
        </row>
        <row r="1494">
          <cell r="A1494">
            <v>1488</v>
          </cell>
          <cell r="I1494" t="str">
            <v>N/E</v>
          </cell>
        </row>
        <row r="1495">
          <cell r="A1495">
            <v>1489</v>
          </cell>
          <cell r="I1495" t="str">
            <v>I 0998</v>
          </cell>
        </row>
        <row r="1496">
          <cell r="A1496">
            <v>1490</v>
          </cell>
          <cell r="I1496" t="str">
            <v>I 1020</v>
          </cell>
        </row>
        <row r="1497">
          <cell r="A1497">
            <v>1491</v>
          </cell>
          <cell r="I1497" t="str">
            <v>I 1020</v>
          </cell>
        </row>
        <row r="1498">
          <cell r="A1498">
            <v>1492</v>
          </cell>
          <cell r="I1498" t="str">
            <v>I 0963</v>
          </cell>
        </row>
        <row r="1499">
          <cell r="A1499">
            <v>1493</v>
          </cell>
          <cell r="I1499" t="str">
            <v>I 0997</v>
          </cell>
        </row>
        <row r="1500">
          <cell r="A1500">
            <v>1494</v>
          </cell>
          <cell r="I1500" t="str">
            <v>I 1069/ I 1070</v>
          </cell>
        </row>
        <row r="1501">
          <cell r="A1501">
            <v>1495</v>
          </cell>
          <cell r="I1501" t="str">
            <v>I 1052</v>
          </cell>
        </row>
        <row r="1502">
          <cell r="A1502">
            <v>1496</v>
          </cell>
          <cell r="I1502" t="str">
            <v>I 1004 / 1005</v>
          </cell>
        </row>
        <row r="1503">
          <cell r="A1503">
            <v>1497</v>
          </cell>
          <cell r="I1503" t="str">
            <v>N/E</v>
          </cell>
        </row>
        <row r="1504">
          <cell r="A1504">
            <v>1498</v>
          </cell>
          <cell r="I1504" t="str">
            <v>N/E</v>
          </cell>
        </row>
        <row r="1505">
          <cell r="A1505">
            <v>1499</v>
          </cell>
          <cell r="I1505" t="str">
            <v>I 1076</v>
          </cell>
        </row>
        <row r="1506">
          <cell r="A1506">
            <v>1500</v>
          </cell>
          <cell r="I1506" t="str">
            <v>N/E</v>
          </cell>
        </row>
        <row r="1507">
          <cell r="A1507">
            <v>1501</v>
          </cell>
          <cell r="I1507" t="str">
            <v>N/E</v>
          </cell>
        </row>
        <row r="1508">
          <cell r="A1508">
            <v>1502</v>
          </cell>
          <cell r="I1508" t="str">
            <v>I 1122 / 1242</v>
          </cell>
        </row>
        <row r="1509">
          <cell r="A1509">
            <v>1503</v>
          </cell>
          <cell r="I1509" t="str">
            <v>N/E</v>
          </cell>
        </row>
        <row r="1510">
          <cell r="A1510">
            <v>1504</v>
          </cell>
          <cell r="I1510" t="str">
            <v>N/E</v>
          </cell>
        </row>
        <row r="1511">
          <cell r="A1511">
            <v>1505</v>
          </cell>
          <cell r="I1511" t="str">
            <v>I 0846</v>
          </cell>
        </row>
        <row r="1512">
          <cell r="A1512">
            <v>1506</v>
          </cell>
          <cell r="I1512" t="str">
            <v>I 0846</v>
          </cell>
        </row>
        <row r="1513">
          <cell r="A1513">
            <v>1507</v>
          </cell>
          <cell r="I1513" t="str">
            <v>I 0846</v>
          </cell>
        </row>
        <row r="1514">
          <cell r="A1514">
            <v>1508</v>
          </cell>
          <cell r="I1514" t="str">
            <v>N/E</v>
          </cell>
        </row>
        <row r="1515">
          <cell r="A1515">
            <v>1509</v>
          </cell>
          <cell r="I1515" t="str">
            <v>N/E</v>
          </cell>
        </row>
        <row r="1516">
          <cell r="A1516">
            <v>1510</v>
          </cell>
          <cell r="I1516" t="str">
            <v>N/E</v>
          </cell>
        </row>
        <row r="1517">
          <cell r="A1517">
            <v>1511</v>
          </cell>
          <cell r="I1517" t="str">
            <v>N/E</v>
          </cell>
        </row>
        <row r="1518">
          <cell r="A1518">
            <v>1512</v>
          </cell>
          <cell r="I1518" t="str">
            <v>N/E</v>
          </cell>
        </row>
        <row r="1519">
          <cell r="A1519">
            <v>1513</v>
          </cell>
          <cell r="I1519" t="str">
            <v>N/E</v>
          </cell>
        </row>
        <row r="1520">
          <cell r="A1520">
            <v>1514</v>
          </cell>
          <cell r="I1520" t="str">
            <v>N/E</v>
          </cell>
        </row>
        <row r="1521">
          <cell r="A1521">
            <v>1515</v>
          </cell>
          <cell r="I1521" t="str">
            <v>N/E</v>
          </cell>
        </row>
        <row r="1522">
          <cell r="A1522">
            <v>1516</v>
          </cell>
          <cell r="I1522" t="str">
            <v>N/E</v>
          </cell>
        </row>
        <row r="1523">
          <cell r="A1523">
            <v>1517</v>
          </cell>
          <cell r="I1523" t="str">
            <v>I 1018</v>
          </cell>
        </row>
        <row r="1524">
          <cell r="A1524">
            <v>1518</v>
          </cell>
          <cell r="I1524" t="str">
            <v>I 0973</v>
          </cell>
        </row>
        <row r="1525">
          <cell r="A1525">
            <v>1519</v>
          </cell>
          <cell r="I1525" t="str">
            <v>N/E</v>
          </cell>
        </row>
        <row r="1526">
          <cell r="A1526">
            <v>1520</v>
          </cell>
          <cell r="I1526" t="str">
            <v>N/E</v>
          </cell>
        </row>
        <row r="1527">
          <cell r="A1527">
            <v>1521</v>
          </cell>
          <cell r="I1527" t="str">
            <v>N/E</v>
          </cell>
        </row>
        <row r="1528">
          <cell r="A1528">
            <v>1522</v>
          </cell>
          <cell r="I1528">
            <v>966</v>
          </cell>
        </row>
        <row r="1529">
          <cell r="A1529">
            <v>1523</v>
          </cell>
          <cell r="I1529" t="str">
            <v>N/E</v>
          </cell>
        </row>
        <row r="1530">
          <cell r="A1530">
            <v>1524</v>
          </cell>
          <cell r="I1530" t="str">
            <v>N/E</v>
          </cell>
        </row>
        <row r="1531">
          <cell r="A1531">
            <v>1525</v>
          </cell>
          <cell r="I1531" t="str">
            <v>I 0999</v>
          </cell>
        </row>
        <row r="1532">
          <cell r="A1532">
            <v>1526</v>
          </cell>
          <cell r="I1532" t="str">
            <v>N/E</v>
          </cell>
        </row>
        <row r="1533">
          <cell r="A1533">
            <v>1527</v>
          </cell>
          <cell r="I1533" t="str">
            <v>N/E</v>
          </cell>
        </row>
        <row r="1534">
          <cell r="A1534">
            <v>1528</v>
          </cell>
          <cell r="I1534" t="str">
            <v>N/E</v>
          </cell>
        </row>
        <row r="1535">
          <cell r="A1535">
            <v>1529</v>
          </cell>
          <cell r="I1535" t="str">
            <v>N/E</v>
          </cell>
        </row>
        <row r="1536">
          <cell r="A1536">
            <v>1530</v>
          </cell>
          <cell r="I1536" t="str">
            <v>I 0252 / 0254</v>
          </cell>
        </row>
        <row r="1537">
          <cell r="A1537">
            <v>1531</v>
          </cell>
          <cell r="I1537" t="str">
            <v>I 1098</v>
          </cell>
        </row>
        <row r="1538">
          <cell r="A1538">
            <v>1532</v>
          </cell>
          <cell r="I1538" t="str">
            <v>N/E</v>
          </cell>
        </row>
        <row r="1539">
          <cell r="A1539">
            <v>1533</v>
          </cell>
          <cell r="I1539" t="str">
            <v>N/E</v>
          </cell>
        </row>
        <row r="1540">
          <cell r="A1540">
            <v>1534</v>
          </cell>
          <cell r="I1540" t="str">
            <v xml:space="preserve"> I 0996</v>
          </cell>
        </row>
        <row r="1541">
          <cell r="A1541">
            <v>1535</v>
          </cell>
          <cell r="I1541" t="str">
            <v>I 0692</v>
          </cell>
        </row>
        <row r="1542">
          <cell r="A1542">
            <v>1536</v>
          </cell>
          <cell r="I1542" t="str">
            <v>I 0954/0961/0956/0959</v>
          </cell>
        </row>
        <row r="1543">
          <cell r="A1543">
            <v>1537</v>
          </cell>
          <cell r="I1543" t="str">
            <v>I 0954/0961/0956/0959</v>
          </cell>
        </row>
        <row r="1544">
          <cell r="A1544">
            <v>1538</v>
          </cell>
          <cell r="I1544" t="str">
            <v>I 0954/0961/0956/0959</v>
          </cell>
        </row>
        <row r="1545">
          <cell r="A1545">
            <v>1539</v>
          </cell>
          <cell r="I1545" t="str">
            <v>I 0954/0961/0956/0959</v>
          </cell>
        </row>
        <row r="1546">
          <cell r="A1546">
            <v>1540</v>
          </cell>
          <cell r="I1546" t="str">
            <v>I 0954/0961/0956/0959</v>
          </cell>
        </row>
        <row r="1547">
          <cell r="A1547">
            <v>1541</v>
          </cell>
          <cell r="I1547" t="str">
            <v>I 0954/0961/0956/0959</v>
          </cell>
        </row>
        <row r="1548">
          <cell r="A1548">
            <v>1542</v>
          </cell>
          <cell r="I1548" t="str">
            <v>I 0954/0961/0956/0959</v>
          </cell>
        </row>
        <row r="1549">
          <cell r="A1549">
            <v>1543</v>
          </cell>
          <cell r="I1549" t="str">
            <v>I 0954/0961/0956/0959</v>
          </cell>
        </row>
        <row r="1550">
          <cell r="A1550">
            <v>1544</v>
          </cell>
          <cell r="I1550" t="str">
            <v>I 0500 - 0488- 0401</v>
          </cell>
        </row>
        <row r="1551">
          <cell r="A1551">
            <v>1545</v>
          </cell>
          <cell r="I1551" t="str">
            <v>N/E</v>
          </cell>
        </row>
        <row r="1552">
          <cell r="A1552">
            <v>1546</v>
          </cell>
          <cell r="I1552" t="str">
            <v>I 0900/I 0801/I 0874</v>
          </cell>
        </row>
        <row r="1553">
          <cell r="A1553">
            <v>1547</v>
          </cell>
          <cell r="I1553" t="str">
            <v>N/E</v>
          </cell>
        </row>
        <row r="1554">
          <cell r="A1554">
            <v>1548</v>
          </cell>
          <cell r="I1554" t="str">
            <v>N/E</v>
          </cell>
        </row>
        <row r="1555">
          <cell r="A1555">
            <v>1549</v>
          </cell>
          <cell r="I1555" t="str">
            <v>I 0772/I 0773</v>
          </cell>
        </row>
        <row r="1556">
          <cell r="A1556">
            <v>1550</v>
          </cell>
          <cell r="I1556" t="str">
            <v>I 0944</v>
          </cell>
        </row>
        <row r="1557">
          <cell r="A1557">
            <v>1551</v>
          </cell>
          <cell r="I1557" t="str">
            <v>I 0944</v>
          </cell>
        </row>
        <row r="1558">
          <cell r="A1558">
            <v>1552</v>
          </cell>
          <cell r="I1558" t="str">
            <v>N/E</v>
          </cell>
        </row>
        <row r="1559">
          <cell r="A1559">
            <v>1553</v>
          </cell>
          <cell r="I1559" t="str">
            <v>N/E</v>
          </cell>
        </row>
        <row r="1560">
          <cell r="A1560">
            <v>1554</v>
          </cell>
          <cell r="I1560" t="str">
            <v>I 0814</v>
          </cell>
        </row>
        <row r="1561">
          <cell r="A1561">
            <v>1555</v>
          </cell>
          <cell r="I1561" t="str">
            <v>I 1022</v>
          </cell>
        </row>
        <row r="1562">
          <cell r="A1562">
            <v>1556</v>
          </cell>
          <cell r="I1562" t="str">
            <v>N/E</v>
          </cell>
        </row>
        <row r="1563">
          <cell r="A1563">
            <v>1557</v>
          </cell>
          <cell r="I1563" t="str">
            <v>N/E</v>
          </cell>
        </row>
        <row r="1564">
          <cell r="A1564">
            <v>1558</v>
          </cell>
          <cell r="I1564" t="str">
            <v>N/E</v>
          </cell>
        </row>
        <row r="1565">
          <cell r="A1565">
            <v>1559</v>
          </cell>
          <cell r="I1565" t="str">
            <v>N/E</v>
          </cell>
        </row>
        <row r="1566">
          <cell r="A1566">
            <v>1560</v>
          </cell>
          <cell r="I1566" t="str">
            <v>N/E</v>
          </cell>
        </row>
        <row r="1567">
          <cell r="A1567">
            <v>1561</v>
          </cell>
          <cell r="I1567" t="str">
            <v>N/E</v>
          </cell>
        </row>
        <row r="1568">
          <cell r="A1568">
            <v>1562</v>
          </cell>
          <cell r="I1568" t="str">
            <v>N/E</v>
          </cell>
        </row>
        <row r="1569">
          <cell r="A1569">
            <v>1563</v>
          </cell>
          <cell r="I1569" t="str">
            <v>N/E</v>
          </cell>
        </row>
        <row r="1570">
          <cell r="A1570">
            <v>1564</v>
          </cell>
          <cell r="I1570" t="str">
            <v>N/E</v>
          </cell>
        </row>
        <row r="1571">
          <cell r="A1571">
            <v>1565</v>
          </cell>
          <cell r="I1571" t="str">
            <v>N/E</v>
          </cell>
        </row>
        <row r="1572">
          <cell r="A1572">
            <v>1566</v>
          </cell>
          <cell r="I1572" t="str">
            <v>N/E</v>
          </cell>
        </row>
        <row r="1573">
          <cell r="A1573">
            <v>1567</v>
          </cell>
          <cell r="I1573" t="str">
            <v>N/E</v>
          </cell>
        </row>
        <row r="1574">
          <cell r="A1574">
            <v>1568</v>
          </cell>
          <cell r="I1574" t="str">
            <v>N/E</v>
          </cell>
        </row>
        <row r="1575">
          <cell r="A1575">
            <v>1569</v>
          </cell>
          <cell r="I1575" t="str">
            <v>N/E</v>
          </cell>
        </row>
        <row r="1576">
          <cell r="A1576">
            <v>1570</v>
          </cell>
          <cell r="I1576" t="str">
            <v>N/E</v>
          </cell>
        </row>
        <row r="1577">
          <cell r="A1577">
            <v>1571</v>
          </cell>
          <cell r="I1577" t="str">
            <v>N/E</v>
          </cell>
        </row>
        <row r="1578">
          <cell r="A1578">
            <v>1572</v>
          </cell>
          <cell r="I1578" t="str">
            <v>N/E</v>
          </cell>
        </row>
        <row r="1579">
          <cell r="A1579">
            <v>1573</v>
          </cell>
          <cell r="I1579" t="str">
            <v>N/E</v>
          </cell>
        </row>
        <row r="1580">
          <cell r="A1580">
            <v>1574</v>
          </cell>
          <cell r="I1580" t="str">
            <v>N/E</v>
          </cell>
        </row>
        <row r="1581">
          <cell r="A1581">
            <v>1575</v>
          </cell>
          <cell r="I1581" t="str">
            <v>N/E</v>
          </cell>
        </row>
        <row r="1582">
          <cell r="A1582">
            <v>1576</v>
          </cell>
          <cell r="I1582" t="str">
            <v>I 0254 / 0255 / 1083</v>
          </cell>
        </row>
        <row r="1583">
          <cell r="A1583">
            <v>1577</v>
          </cell>
          <cell r="I1583" t="str">
            <v>I 1032 / 1033</v>
          </cell>
        </row>
        <row r="1584">
          <cell r="A1584">
            <v>1578</v>
          </cell>
          <cell r="I1584" t="str">
            <v>I 0680</v>
          </cell>
        </row>
        <row r="1585">
          <cell r="A1585">
            <v>1579</v>
          </cell>
          <cell r="I1585" t="str">
            <v>I 0769</v>
          </cell>
        </row>
        <row r="1586">
          <cell r="A1586">
            <v>1580</v>
          </cell>
          <cell r="I1586" t="str">
            <v>I 0769</v>
          </cell>
        </row>
        <row r="1587">
          <cell r="A1587">
            <v>1581</v>
          </cell>
          <cell r="I1587" t="str">
            <v>I 0769</v>
          </cell>
        </row>
        <row r="1588">
          <cell r="A1588">
            <v>1582</v>
          </cell>
          <cell r="I1588" t="str">
            <v>I 1058 / 1059 / 1060</v>
          </cell>
        </row>
        <row r="1589">
          <cell r="A1589">
            <v>1583</v>
          </cell>
          <cell r="I1589" t="str">
            <v>I 1045 / 1046 / 1012</v>
          </cell>
        </row>
        <row r="1590">
          <cell r="A1590">
            <v>1584</v>
          </cell>
          <cell r="I1590" t="str">
            <v>N/E</v>
          </cell>
        </row>
        <row r="1591">
          <cell r="A1591">
            <v>1585</v>
          </cell>
          <cell r="I1591" t="str">
            <v>N/E</v>
          </cell>
        </row>
        <row r="1592">
          <cell r="A1592">
            <v>1586</v>
          </cell>
          <cell r="I1592" t="str">
            <v>I 0824</v>
          </cell>
        </row>
        <row r="1593">
          <cell r="A1593">
            <v>1587</v>
          </cell>
          <cell r="I1593" t="str">
            <v>I 0901/ I 1000/ I 0914</v>
          </cell>
        </row>
        <row r="1594">
          <cell r="A1594">
            <v>1588</v>
          </cell>
          <cell r="I1594" t="str">
            <v>I 0857 / I 0858</v>
          </cell>
        </row>
        <row r="1595">
          <cell r="A1595">
            <v>1589</v>
          </cell>
          <cell r="I1595" t="str">
            <v xml:space="preserve"> I 1003</v>
          </cell>
        </row>
        <row r="1596">
          <cell r="A1596">
            <v>1590</v>
          </cell>
          <cell r="I1596" t="str">
            <v>I 1022</v>
          </cell>
        </row>
        <row r="1597">
          <cell r="A1597">
            <v>1591</v>
          </cell>
          <cell r="I1597" t="str">
            <v>I 1139</v>
          </cell>
        </row>
        <row r="1598">
          <cell r="A1598">
            <v>1592</v>
          </cell>
          <cell r="I1598" t="str">
            <v>I 1139</v>
          </cell>
        </row>
        <row r="1599">
          <cell r="A1599">
            <v>1593</v>
          </cell>
          <cell r="I1599" t="str">
            <v>I 1139</v>
          </cell>
        </row>
        <row r="1600">
          <cell r="A1600">
            <v>1594</v>
          </cell>
          <cell r="I1600" t="str">
            <v>I 1139</v>
          </cell>
        </row>
        <row r="1601">
          <cell r="A1601">
            <v>1595</v>
          </cell>
          <cell r="I1601" t="str">
            <v>I 1139</v>
          </cell>
        </row>
        <row r="1602">
          <cell r="A1602">
            <v>1596</v>
          </cell>
          <cell r="I1602" t="str">
            <v>N/E</v>
          </cell>
        </row>
        <row r="1603">
          <cell r="A1603">
            <v>1597</v>
          </cell>
          <cell r="I1603" t="str">
            <v>N/E</v>
          </cell>
        </row>
        <row r="1604">
          <cell r="A1604">
            <v>1598</v>
          </cell>
          <cell r="I1604" t="str">
            <v>N/E</v>
          </cell>
        </row>
        <row r="1605">
          <cell r="A1605">
            <v>1599</v>
          </cell>
          <cell r="I1605" t="str">
            <v>N/E</v>
          </cell>
        </row>
        <row r="1606">
          <cell r="A1606">
            <v>1600</v>
          </cell>
          <cell r="I1606" t="str">
            <v>N/E</v>
          </cell>
        </row>
        <row r="1607">
          <cell r="A1607">
            <v>1601</v>
          </cell>
          <cell r="I1607" t="str">
            <v>N/E</v>
          </cell>
        </row>
        <row r="1608">
          <cell r="A1608">
            <v>1602</v>
          </cell>
          <cell r="I1608" t="str">
            <v>N/E</v>
          </cell>
        </row>
        <row r="1609">
          <cell r="A1609">
            <v>1603</v>
          </cell>
          <cell r="I1609" t="str">
            <v>N/E</v>
          </cell>
        </row>
        <row r="1610">
          <cell r="A1610">
            <v>1604</v>
          </cell>
          <cell r="I1610" t="str">
            <v>N/E</v>
          </cell>
        </row>
        <row r="1611">
          <cell r="A1611">
            <v>1605</v>
          </cell>
          <cell r="I1611" t="str">
            <v>N/E</v>
          </cell>
        </row>
        <row r="1612">
          <cell r="A1612">
            <v>1606</v>
          </cell>
          <cell r="I1612" t="str">
            <v>N/E</v>
          </cell>
        </row>
        <row r="1613">
          <cell r="A1613">
            <v>1607</v>
          </cell>
          <cell r="I1613" t="str">
            <v>N/E</v>
          </cell>
        </row>
        <row r="1614">
          <cell r="A1614">
            <v>1608</v>
          </cell>
          <cell r="I1614" t="str">
            <v>I 0903</v>
          </cell>
        </row>
        <row r="1615">
          <cell r="A1615">
            <v>1609</v>
          </cell>
          <cell r="I1615" t="str">
            <v>N/E</v>
          </cell>
        </row>
        <row r="1616">
          <cell r="A1616">
            <v>1610</v>
          </cell>
          <cell r="I1616" t="str">
            <v>N/E</v>
          </cell>
        </row>
        <row r="1617">
          <cell r="A1617">
            <v>1611</v>
          </cell>
          <cell r="I1617" t="str">
            <v>N/E</v>
          </cell>
        </row>
        <row r="1618">
          <cell r="A1618">
            <v>1612</v>
          </cell>
          <cell r="I1618" t="str">
            <v>N/E</v>
          </cell>
        </row>
        <row r="1619">
          <cell r="A1619">
            <v>1613</v>
          </cell>
          <cell r="I1619" t="str">
            <v>N/E</v>
          </cell>
        </row>
        <row r="1620">
          <cell r="A1620">
            <v>1614</v>
          </cell>
          <cell r="I1620" t="str">
            <v>N/E</v>
          </cell>
        </row>
        <row r="1621">
          <cell r="A1621">
            <v>1615</v>
          </cell>
          <cell r="I1621" t="str">
            <v>N/E</v>
          </cell>
        </row>
        <row r="1622">
          <cell r="A1622">
            <v>1616</v>
          </cell>
          <cell r="I1622" t="str">
            <v>N/E</v>
          </cell>
        </row>
        <row r="1623">
          <cell r="A1623">
            <v>1617</v>
          </cell>
          <cell r="I1623" t="str">
            <v>I 1183</v>
          </cell>
        </row>
        <row r="1624">
          <cell r="A1624">
            <v>1618</v>
          </cell>
          <cell r="I1624" t="str">
            <v>I 1082</v>
          </cell>
        </row>
        <row r="1625">
          <cell r="A1625">
            <v>1619</v>
          </cell>
          <cell r="I1625" t="str">
            <v>I 1081</v>
          </cell>
        </row>
        <row r="1626">
          <cell r="A1626">
            <v>1620</v>
          </cell>
          <cell r="I1626" t="str">
            <v>N/E</v>
          </cell>
        </row>
        <row r="1627">
          <cell r="A1627">
            <v>1621</v>
          </cell>
          <cell r="I1627" t="str">
            <v>N/E</v>
          </cell>
        </row>
        <row r="1628">
          <cell r="A1628">
            <v>1622</v>
          </cell>
          <cell r="I1628" t="str">
            <v>N/E</v>
          </cell>
        </row>
        <row r="1629">
          <cell r="A1629">
            <v>1623</v>
          </cell>
          <cell r="I1629" t="str">
            <v>N/E</v>
          </cell>
        </row>
        <row r="1630">
          <cell r="A1630">
            <v>1624</v>
          </cell>
          <cell r="I1630" t="str">
            <v>N/E</v>
          </cell>
        </row>
        <row r="1631">
          <cell r="A1631">
            <v>1625</v>
          </cell>
          <cell r="I1631" t="str">
            <v>N/E</v>
          </cell>
        </row>
        <row r="1632">
          <cell r="A1632">
            <v>1626</v>
          </cell>
          <cell r="I1632" t="str">
            <v>I 1202 / 1203</v>
          </cell>
        </row>
        <row r="1633">
          <cell r="A1633">
            <v>1627</v>
          </cell>
          <cell r="I1633" t="str">
            <v>N/E</v>
          </cell>
        </row>
        <row r="1634">
          <cell r="A1634">
            <v>1629</v>
          </cell>
          <cell r="I1634" t="str">
            <v>N/E</v>
          </cell>
        </row>
        <row r="1635">
          <cell r="A1635">
            <v>1630</v>
          </cell>
          <cell r="I1635" t="str">
            <v>I 1031</v>
          </cell>
        </row>
        <row r="1636">
          <cell r="A1636">
            <v>1631</v>
          </cell>
          <cell r="I1636" t="str">
            <v>I 1129</v>
          </cell>
        </row>
        <row r="1637">
          <cell r="A1637">
            <v>1632</v>
          </cell>
          <cell r="I1637" t="str">
            <v>N/E</v>
          </cell>
        </row>
        <row r="1638">
          <cell r="A1638">
            <v>1633</v>
          </cell>
          <cell r="I1638" t="str">
            <v>N/E</v>
          </cell>
        </row>
        <row r="1639">
          <cell r="A1639">
            <v>1634</v>
          </cell>
          <cell r="I1639" t="str">
            <v>N/E</v>
          </cell>
        </row>
        <row r="1640">
          <cell r="A1640">
            <v>1635</v>
          </cell>
          <cell r="I1640" t="str">
            <v>N/E</v>
          </cell>
        </row>
        <row r="1641">
          <cell r="A1641">
            <v>1636</v>
          </cell>
          <cell r="I1641" t="str">
            <v>N/E</v>
          </cell>
        </row>
        <row r="1642">
          <cell r="A1642">
            <v>1637</v>
          </cell>
          <cell r="I1642" t="str">
            <v>N/E</v>
          </cell>
        </row>
        <row r="1643">
          <cell r="A1643">
            <v>1638</v>
          </cell>
          <cell r="I1643" t="str">
            <v>I 1084</v>
          </cell>
        </row>
        <row r="1644">
          <cell r="A1644">
            <v>1639</v>
          </cell>
          <cell r="I1644" t="str">
            <v>I 1084</v>
          </cell>
        </row>
        <row r="1645">
          <cell r="A1645">
            <v>1640</v>
          </cell>
          <cell r="I1645" t="str">
            <v>N/E</v>
          </cell>
        </row>
        <row r="1646">
          <cell r="A1646">
            <v>1641</v>
          </cell>
          <cell r="I1646" t="str">
            <v>N/E</v>
          </cell>
        </row>
        <row r="1647">
          <cell r="A1647">
            <v>1642</v>
          </cell>
          <cell r="I1647" t="str">
            <v>N/E</v>
          </cell>
        </row>
        <row r="1648">
          <cell r="A1648">
            <v>1643</v>
          </cell>
          <cell r="I1648" t="str">
            <v>N/E</v>
          </cell>
        </row>
        <row r="1649">
          <cell r="A1649">
            <v>1644</v>
          </cell>
          <cell r="I1649" t="str">
            <v>N/E</v>
          </cell>
        </row>
        <row r="1650">
          <cell r="A1650">
            <v>1645</v>
          </cell>
          <cell r="I1650" t="str">
            <v>N/E</v>
          </cell>
        </row>
        <row r="1651">
          <cell r="A1651">
            <v>1646</v>
          </cell>
          <cell r="I1651" t="str">
            <v>N/E</v>
          </cell>
        </row>
        <row r="1652">
          <cell r="A1652">
            <v>1647</v>
          </cell>
          <cell r="I1652" t="str">
            <v>N/E</v>
          </cell>
        </row>
        <row r="1653">
          <cell r="A1653">
            <v>1648</v>
          </cell>
          <cell r="I1653" t="str">
            <v>I 0827 / 0828</v>
          </cell>
        </row>
        <row r="1654">
          <cell r="A1654">
            <v>1649</v>
          </cell>
          <cell r="I1654" t="str">
            <v>I 1080</v>
          </cell>
        </row>
        <row r="1655">
          <cell r="A1655">
            <v>1650</v>
          </cell>
          <cell r="I1655" t="str">
            <v>I 1068</v>
          </cell>
        </row>
        <row r="1656">
          <cell r="A1656">
            <v>1651</v>
          </cell>
          <cell r="I1656" t="str">
            <v>N/E</v>
          </cell>
        </row>
        <row r="1657">
          <cell r="A1657">
            <v>1652</v>
          </cell>
          <cell r="I1657" t="str">
            <v>N/E</v>
          </cell>
        </row>
        <row r="1658">
          <cell r="A1658">
            <v>1653</v>
          </cell>
          <cell r="I1658" t="str">
            <v>N/E</v>
          </cell>
        </row>
        <row r="1659">
          <cell r="A1659">
            <v>1654</v>
          </cell>
          <cell r="I1659" t="str">
            <v>N/E</v>
          </cell>
        </row>
        <row r="1660">
          <cell r="A1660">
            <v>1655</v>
          </cell>
          <cell r="I1660" t="str">
            <v>I 0890</v>
          </cell>
        </row>
        <row r="1661">
          <cell r="A1661">
            <v>1656</v>
          </cell>
          <cell r="I1661" t="str">
            <v>I 0848</v>
          </cell>
        </row>
        <row r="1662">
          <cell r="A1662">
            <v>1657</v>
          </cell>
          <cell r="I1662" t="str">
            <v>I 0975</v>
          </cell>
        </row>
        <row r="1663">
          <cell r="A1663">
            <v>1658</v>
          </cell>
          <cell r="I1663" t="str">
            <v>I 976</v>
          </cell>
        </row>
        <row r="1664">
          <cell r="A1664">
            <v>1659</v>
          </cell>
          <cell r="I1664" t="str">
            <v>I 1056/ I 1057</v>
          </cell>
        </row>
        <row r="1665">
          <cell r="A1665">
            <v>1660</v>
          </cell>
          <cell r="I1665" t="str">
            <v>I 1056/ I 1057</v>
          </cell>
        </row>
        <row r="1666">
          <cell r="A1666">
            <v>1661</v>
          </cell>
          <cell r="I1666" t="str">
            <v>I 1056/ I 1057</v>
          </cell>
        </row>
        <row r="1667">
          <cell r="A1667">
            <v>1662</v>
          </cell>
          <cell r="I1667" t="str">
            <v>N/E</v>
          </cell>
        </row>
        <row r="1668">
          <cell r="A1668">
            <v>1663</v>
          </cell>
          <cell r="I1668" t="str">
            <v>N/E</v>
          </cell>
        </row>
        <row r="1669">
          <cell r="A1669">
            <v>1664</v>
          </cell>
          <cell r="I1669" t="str">
            <v>N/E</v>
          </cell>
        </row>
        <row r="1670">
          <cell r="A1670">
            <v>1665</v>
          </cell>
          <cell r="I1670" t="str">
            <v>N/E</v>
          </cell>
        </row>
        <row r="1671">
          <cell r="A1671">
            <v>1666</v>
          </cell>
          <cell r="I1671" t="str">
            <v>N/E</v>
          </cell>
        </row>
        <row r="1672">
          <cell r="A1672">
            <v>1667</v>
          </cell>
          <cell r="I1672" t="str">
            <v>N/E</v>
          </cell>
        </row>
        <row r="1673">
          <cell r="A1673">
            <v>1668</v>
          </cell>
          <cell r="I1673" t="str">
            <v>N/E</v>
          </cell>
        </row>
        <row r="1674">
          <cell r="A1674">
            <v>1669</v>
          </cell>
          <cell r="I1674" t="str">
            <v>N/E</v>
          </cell>
        </row>
        <row r="1675">
          <cell r="A1675">
            <v>1670</v>
          </cell>
          <cell r="I1675" t="str">
            <v>N/E</v>
          </cell>
        </row>
        <row r="1676">
          <cell r="A1676">
            <v>1671</v>
          </cell>
          <cell r="I1676" t="str">
            <v>N/E</v>
          </cell>
        </row>
        <row r="1677">
          <cell r="A1677">
            <v>1672</v>
          </cell>
          <cell r="I1677" t="str">
            <v>N/E</v>
          </cell>
        </row>
        <row r="1678">
          <cell r="A1678">
            <v>1673</v>
          </cell>
          <cell r="I1678" t="str">
            <v>N/E</v>
          </cell>
        </row>
        <row r="1679">
          <cell r="A1679">
            <v>1674</v>
          </cell>
          <cell r="I1679" t="str">
            <v>N/E</v>
          </cell>
        </row>
        <row r="1680">
          <cell r="A1680">
            <v>1675</v>
          </cell>
          <cell r="I1680" t="str">
            <v>I 1245 / 1246</v>
          </cell>
        </row>
        <row r="1681">
          <cell r="A1681">
            <v>1676</v>
          </cell>
          <cell r="I1681" t="str">
            <v>N/E</v>
          </cell>
        </row>
        <row r="1682">
          <cell r="A1682">
            <v>1677</v>
          </cell>
          <cell r="I1682" t="str">
            <v>N/E</v>
          </cell>
        </row>
        <row r="1683">
          <cell r="A1683">
            <v>1678</v>
          </cell>
          <cell r="I1683" t="str">
            <v>N/E</v>
          </cell>
        </row>
        <row r="1684">
          <cell r="A1684">
            <v>1679</v>
          </cell>
          <cell r="I1684" t="str">
            <v>N/E</v>
          </cell>
        </row>
        <row r="1685">
          <cell r="A1685">
            <v>1680</v>
          </cell>
          <cell r="I1685" t="str">
            <v>N/E</v>
          </cell>
        </row>
        <row r="1686">
          <cell r="A1686">
            <v>1681</v>
          </cell>
          <cell r="I1686" t="str">
            <v>N/E</v>
          </cell>
        </row>
        <row r="1687">
          <cell r="A1687">
            <v>1682</v>
          </cell>
          <cell r="I1687" t="str">
            <v>N/E</v>
          </cell>
        </row>
        <row r="1688">
          <cell r="A1688">
            <v>1683</v>
          </cell>
          <cell r="I1688" t="str">
            <v>I 1235</v>
          </cell>
        </row>
        <row r="1689">
          <cell r="A1689">
            <v>1684</v>
          </cell>
          <cell r="I1689" t="str">
            <v>N/E</v>
          </cell>
        </row>
        <row r="1690">
          <cell r="A1690">
            <v>1685</v>
          </cell>
          <cell r="I1690" t="str">
            <v>N/E</v>
          </cell>
        </row>
        <row r="1691">
          <cell r="A1691">
            <v>1686</v>
          </cell>
          <cell r="I1691" t="str">
            <v>N/E</v>
          </cell>
        </row>
        <row r="1692">
          <cell r="A1692">
            <v>1687</v>
          </cell>
          <cell r="I1692" t="str">
            <v>N/E</v>
          </cell>
        </row>
        <row r="1693">
          <cell r="A1693">
            <v>1688</v>
          </cell>
          <cell r="I1693" t="str">
            <v>I 0132</v>
          </cell>
        </row>
        <row r="1694">
          <cell r="A1694">
            <v>1689</v>
          </cell>
          <cell r="I1694" t="str">
            <v>N/E</v>
          </cell>
        </row>
        <row r="1695">
          <cell r="A1695">
            <v>1690</v>
          </cell>
          <cell r="I1695" t="str">
            <v>N/E</v>
          </cell>
        </row>
        <row r="1696">
          <cell r="A1696">
            <v>1691</v>
          </cell>
          <cell r="I1696" t="str">
            <v>N/E</v>
          </cell>
        </row>
        <row r="1697">
          <cell r="A1697">
            <v>1692</v>
          </cell>
          <cell r="I1697" t="str">
            <v>N/E</v>
          </cell>
        </row>
        <row r="1698">
          <cell r="A1698">
            <v>1693</v>
          </cell>
          <cell r="I1698" t="str">
            <v>I 1121</v>
          </cell>
        </row>
        <row r="1699">
          <cell r="A1699">
            <v>1694</v>
          </cell>
          <cell r="I1699" t="str">
            <v>N/E</v>
          </cell>
        </row>
        <row r="1700">
          <cell r="A1700">
            <v>1695</v>
          </cell>
          <cell r="I1700" t="str">
            <v>N/E</v>
          </cell>
        </row>
        <row r="1701">
          <cell r="A1701">
            <v>1696</v>
          </cell>
          <cell r="I1701" t="str">
            <v>N/E</v>
          </cell>
        </row>
        <row r="1702">
          <cell r="A1702">
            <v>1697</v>
          </cell>
          <cell r="I1702" t="str">
            <v>N/E</v>
          </cell>
        </row>
        <row r="1703">
          <cell r="A1703">
            <v>1698</v>
          </cell>
          <cell r="I1703" t="str">
            <v>N/E</v>
          </cell>
        </row>
        <row r="1704">
          <cell r="A1704">
            <v>1699</v>
          </cell>
          <cell r="I1704" t="str">
            <v>I 1238 / 1230</v>
          </cell>
        </row>
        <row r="1705">
          <cell r="A1705">
            <v>1700</v>
          </cell>
          <cell r="I1705" t="str">
            <v>N/E</v>
          </cell>
        </row>
        <row r="1706">
          <cell r="A1706">
            <v>1701</v>
          </cell>
          <cell r="I1706" t="str">
            <v>N/E</v>
          </cell>
        </row>
        <row r="1707">
          <cell r="A1707">
            <v>1702</v>
          </cell>
          <cell r="I1707" t="str">
            <v>N/E</v>
          </cell>
        </row>
        <row r="1708">
          <cell r="A1708">
            <v>1703</v>
          </cell>
          <cell r="I1708" t="str">
            <v>N/E</v>
          </cell>
        </row>
        <row r="1709">
          <cell r="A1709">
            <v>1704</v>
          </cell>
          <cell r="I1709" t="str">
            <v>N/E</v>
          </cell>
        </row>
        <row r="1710">
          <cell r="A1710">
            <v>1705</v>
          </cell>
          <cell r="I1710" t="str">
            <v>N/E</v>
          </cell>
        </row>
        <row r="1711">
          <cell r="A1711">
            <v>1706</v>
          </cell>
          <cell r="I1711" t="str">
            <v>0971/1004</v>
          </cell>
        </row>
        <row r="1712">
          <cell r="A1712">
            <v>1707</v>
          </cell>
          <cell r="I1712" t="str">
            <v>I 1112</v>
          </cell>
        </row>
        <row r="1713">
          <cell r="A1713">
            <v>1708</v>
          </cell>
          <cell r="I1713" t="str">
            <v>N/E</v>
          </cell>
        </row>
        <row r="1714">
          <cell r="A1714">
            <v>1709</v>
          </cell>
          <cell r="I1714" t="str">
            <v>I 1136</v>
          </cell>
        </row>
        <row r="1715">
          <cell r="A1715">
            <v>1710</v>
          </cell>
          <cell r="I1715" t="str">
            <v>I 1136</v>
          </cell>
        </row>
        <row r="1716">
          <cell r="A1716">
            <v>1711</v>
          </cell>
          <cell r="I1716" t="str">
            <v>I 1136</v>
          </cell>
        </row>
        <row r="1717">
          <cell r="A1717">
            <v>1712</v>
          </cell>
          <cell r="I1717" t="str">
            <v>I 1136</v>
          </cell>
        </row>
        <row r="1718">
          <cell r="A1718">
            <v>1713</v>
          </cell>
          <cell r="I1718" t="str">
            <v>I 1136</v>
          </cell>
        </row>
        <row r="1719">
          <cell r="A1719">
            <v>1714</v>
          </cell>
          <cell r="I1719" t="str">
            <v>N/E</v>
          </cell>
        </row>
        <row r="1720">
          <cell r="A1720">
            <v>1715</v>
          </cell>
          <cell r="I1720" t="str">
            <v>N/E</v>
          </cell>
        </row>
        <row r="1721">
          <cell r="A1721">
            <v>1716</v>
          </cell>
          <cell r="I1721" t="str">
            <v>N/E</v>
          </cell>
        </row>
        <row r="1722">
          <cell r="A1722">
            <v>1717</v>
          </cell>
          <cell r="I1722" t="str">
            <v>N/E</v>
          </cell>
        </row>
        <row r="1723">
          <cell r="A1723">
            <v>1718</v>
          </cell>
          <cell r="I1723" t="str">
            <v>N/E</v>
          </cell>
        </row>
        <row r="1724">
          <cell r="A1724">
            <v>1719</v>
          </cell>
          <cell r="I1724" t="str">
            <v>N/E</v>
          </cell>
        </row>
        <row r="1725">
          <cell r="A1725">
            <v>1720</v>
          </cell>
          <cell r="I1725" t="str">
            <v>I 1113</v>
          </cell>
        </row>
        <row r="1726">
          <cell r="A1726">
            <v>1721</v>
          </cell>
          <cell r="I1726" t="str">
            <v>I 1056/ I 1057</v>
          </cell>
        </row>
        <row r="1727">
          <cell r="A1727">
            <v>1722</v>
          </cell>
          <cell r="I1727" t="str">
            <v>I 1096</v>
          </cell>
        </row>
        <row r="1728">
          <cell r="A1728">
            <v>1723</v>
          </cell>
          <cell r="I1728" t="str">
            <v>I 0897</v>
          </cell>
        </row>
        <row r="1729">
          <cell r="A1729">
            <v>1724</v>
          </cell>
          <cell r="I1729" t="str">
            <v>I 0897</v>
          </cell>
        </row>
        <row r="1730">
          <cell r="A1730">
            <v>1725</v>
          </cell>
          <cell r="I1730" t="str">
            <v>I 0909/ I 0910</v>
          </cell>
        </row>
        <row r="1731">
          <cell r="A1731">
            <v>1726</v>
          </cell>
          <cell r="I1731" t="str">
            <v>I 0897</v>
          </cell>
        </row>
        <row r="1732">
          <cell r="A1732">
            <v>1727</v>
          </cell>
          <cell r="I1732" t="str">
            <v>I 0681</v>
          </cell>
        </row>
        <row r="1733">
          <cell r="A1733">
            <v>1728</v>
          </cell>
          <cell r="I1733" t="str">
            <v>I 0681</v>
          </cell>
        </row>
        <row r="1734">
          <cell r="A1734">
            <v>1729</v>
          </cell>
          <cell r="I1734" t="str">
            <v>I 0681</v>
          </cell>
        </row>
        <row r="1735">
          <cell r="A1735">
            <v>1730</v>
          </cell>
          <cell r="I1735" t="str">
            <v>N/E</v>
          </cell>
        </row>
        <row r="1736">
          <cell r="A1736">
            <v>1731</v>
          </cell>
          <cell r="I1736" t="str">
            <v>I 1150 / 1151 / 1152</v>
          </cell>
        </row>
        <row r="1737">
          <cell r="A1737">
            <v>1732</v>
          </cell>
          <cell r="I1737" t="str">
            <v>I 1150 / 1151 / 1152</v>
          </cell>
        </row>
        <row r="1738">
          <cell r="A1738">
            <v>1733</v>
          </cell>
          <cell r="I1738" t="str">
            <v>I 1150 / 1151 / 1152</v>
          </cell>
        </row>
        <row r="1739">
          <cell r="A1739">
            <v>1734</v>
          </cell>
          <cell r="I1739" t="str">
            <v>I 1150 / 1151 / 1152</v>
          </cell>
        </row>
        <row r="1740">
          <cell r="A1740">
            <v>1735</v>
          </cell>
          <cell r="I1740" t="str">
            <v>I 1150 / 1151 / 1152</v>
          </cell>
        </row>
        <row r="1741">
          <cell r="A1741">
            <v>1736</v>
          </cell>
          <cell r="I1741" t="str">
            <v>I 1150 / 1151 / 1152</v>
          </cell>
        </row>
        <row r="1742">
          <cell r="A1742">
            <v>1737</v>
          </cell>
          <cell r="I1742" t="str">
            <v>I 1150 / 1151 / 1152</v>
          </cell>
        </row>
        <row r="1743">
          <cell r="A1743">
            <v>1738</v>
          </cell>
          <cell r="I1743" t="str">
            <v>I 1150 / 1151 / 1152</v>
          </cell>
        </row>
        <row r="1744">
          <cell r="A1744">
            <v>1739</v>
          </cell>
          <cell r="I1744" t="str">
            <v>1125/1126/1127/1128</v>
          </cell>
        </row>
        <row r="1745">
          <cell r="A1745">
            <v>1740</v>
          </cell>
          <cell r="I1745" t="str">
            <v>1125/1126/1127/1128</v>
          </cell>
        </row>
        <row r="1746">
          <cell r="A1746">
            <v>1741</v>
          </cell>
          <cell r="I1746" t="str">
            <v>N/E</v>
          </cell>
        </row>
        <row r="1747">
          <cell r="A1747">
            <v>1742</v>
          </cell>
          <cell r="I1747" t="str">
            <v>N/E</v>
          </cell>
        </row>
        <row r="1748">
          <cell r="A1748">
            <v>1743</v>
          </cell>
          <cell r="I1748" t="str">
            <v>N/E</v>
          </cell>
        </row>
        <row r="1749">
          <cell r="A1749">
            <v>1744</v>
          </cell>
          <cell r="I1749" t="str">
            <v>N/E</v>
          </cell>
        </row>
        <row r="1750">
          <cell r="A1750">
            <v>1745</v>
          </cell>
          <cell r="I1750" t="str">
            <v>N/E</v>
          </cell>
        </row>
        <row r="1751">
          <cell r="A1751">
            <v>1746</v>
          </cell>
          <cell r="I1751" t="str">
            <v>N/E</v>
          </cell>
        </row>
        <row r="1752">
          <cell r="A1752">
            <v>1747</v>
          </cell>
          <cell r="I1752" t="str">
            <v>I 0369</v>
          </cell>
        </row>
        <row r="1753">
          <cell r="A1753">
            <v>1748</v>
          </cell>
          <cell r="I1753" t="str">
            <v>I 0738</v>
          </cell>
        </row>
        <row r="1754">
          <cell r="A1754">
            <v>1749</v>
          </cell>
          <cell r="I1754" t="str">
            <v>I 1024</v>
          </cell>
        </row>
        <row r="1755">
          <cell r="A1755">
            <v>1750</v>
          </cell>
          <cell r="I1755" t="str">
            <v>I 1024</v>
          </cell>
        </row>
        <row r="1756">
          <cell r="A1756">
            <v>1751</v>
          </cell>
          <cell r="I1756" t="str">
            <v>N/E</v>
          </cell>
        </row>
        <row r="1757">
          <cell r="A1757">
            <v>1752</v>
          </cell>
          <cell r="I1757" t="str">
            <v>N/E</v>
          </cell>
        </row>
        <row r="1758">
          <cell r="A1758">
            <v>1753</v>
          </cell>
          <cell r="I1758" t="str">
            <v>N/E</v>
          </cell>
        </row>
        <row r="1759">
          <cell r="A1759">
            <v>1754</v>
          </cell>
          <cell r="I1759" t="str">
            <v>N/E</v>
          </cell>
        </row>
        <row r="1760">
          <cell r="A1760">
            <v>1755</v>
          </cell>
          <cell r="I1760" t="str">
            <v>I 1218</v>
          </cell>
        </row>
        <row r="1761">
          <cell r="A1761">
            <v>1756</v>
          </cell>
          <cell r="I1761" t="str">
            <v>I 1218</v>
          </cell>
        </row>
        <row r="1762">
          <cell r="A1762">
            <v>1757</v>
          </cell>
          <cell r="I1762" t="str">
            <v>I 1218</v>
          </cell>
        </row>
        <row r="1763">
          <cell r="A1763">
            <v>1758</v>
          </cell>
          <cell r="I1763" t="str">
            <v>I 1218</v>
          </cell>
        </row>
        <row r="1764">
          <cell r="A1764">
            <v>1759</v>
          </cell>
          <cell r="I1764" t="str">
            <v>I 1218</v>
          </cell>
        </row>
        <row r="1765">
          <cell r="A1765">
            <v>1760</v>
          </cell>
          <cell r="I1765" t="str">
            <v>N/E</v>
          </cell>
        </row>
        <row r="1766">
          <cell r="A1766">
            <v>1761</v>
          </cell>
          <cell r="I1766" t="str">
            <v>I 1185</v>
          </cell>
        </row>
        <row r="1767">
          <cell r="A1767">
            <v>1762</v>
          </cell>
          <cell r="I1767" t="str">
            <v>N/E</v>
          </cell>
        </row>
        <row r="1768">
          <cell r="A1768">
            <v>1763</v>
          </cell>
          <cell r="I1768" t="str">
            <v>N/E</v>
          </cell>
        </row>
        <row r="1769">
          <cell r="A1769">
            <v>1764</v>
          </cell>
          <cell r="I1769" t="str">
            <v>N/E</v>
          </cell>
        </row>
        <row r="1770">
          <cell r="A1770">
            <v>1765</v>
          </cell>
          <cell r="I1770" t="str">
            <v>I 1171</v>
          </cell>
        </row>
        <row r="1771">
          <cell r="A1771">
            <v>1766</v>
          </cell>
          <cell r="I1771" t="str">
            <v>N/E</v>
          </cell>
        </row>
        <row r="1772">
          <cell r="A1772">
            <v>1767</v>
          </cell>
          <cell r="I1772" t="str">
            <v>N/E</v>
          </cell>
        </row>
        <row r="1773">
          <cell r="A1773">
            <v>1768</v>
          </cell>
          <cell r="I1773" t="str">
            <v>N/E</v>
          </cell>
        </row>
        <row r="1774">
          <cell r="A1774">
            <v>1769</v>
          </cell>
          <cell r="I1774" t="str">
            <v>N/E</v>
          </cell>
        </row>
        <row r="1775">
          <cell r="A1775">
            <v>1770</v>
          </cell>
          <cell r="I1775" t="str">
            <v>I 0701</v>
          </cell>
        </row>
        <row r="1776">
          <cell r="A1776">
            <v>1771</v>
          </cell>
          <cell r="I1776" t="str">
            <v>N/E</v>
          </cell>
        </row>
        <row r="1777">
          <cell r="A1777">
            <v>1772</v>
          </cell>
          <cell r="I1777" t="str">
            <v>N/E</v>
          </cell>
        </row>
        <row r="1778">
          <cell r="A1778">
            <v>1773</v>
          </cell>
          <cell r="I1778" t="str">
            <v>I 0552</v>
          </cell>
        </row>
        <row r="1779">
          <cell r="A1779">
            <v>1774</v>
          </cell>
          <cell r="I1779" t="str">
            <v>I 0880</v>
          </cell>
        </row>
        <row r="1780">
          <cell r="A1780">
            <v>1775</v>
          </cell>
          <cell r="I1780" t="str">
            <v>N/E</v>
          </cell>
        </row>
        <row r="1781">
          <cell r="A1781">
            <v>1776</v>
          </cell>
          <cell r="I1781" t="str">
            <v>I 0488</v>
          </cell>
        </row>
        <row r="1782">
          <cell r="A1782">
            <v>1777</v>
          </cell>
          <cell r="I1782" t="str">
            <v>I 1037-01</v>
          </cell>
        </row>
        <row r="1783">
          <cell r="A1783">
            <v>1778</v>
          </cell>
          <cell r="I1783" t="str">
            <v>I 1144</v>
          </cell>
        </row>
        <row r="1784">
          <cell r="A1784">
            <v>1779</v>
          </cell>
          <cell r="I1784" t="str">
            <v>I 1144</v>
          </cell>
        </row>
        <row r="1785">
          <cell r="A1785">
            <v>1780</v>
          </cell>
          <cell r="I1785" t="str">
            <v>I 1189 / 1190</v>
          </cell>
        </row>
        <row r="1786">
          <cell r="A1786">
            <v>1781</v>
          </cell>
          <cell r="I1786" t="str">
            <v>I 1214</v>
          </cell>
        </row>
        <row r="1787">
          <cell r="A1787">
            <v>1782</v>
          </cell>
          <cell r="I1787" t="str">
            <v>I 0339</v>
          </cell>
        </row>
        <row r="1788">
          <cell r="A1788">
            <v>1783</v>
          </cell>
          <cell r="I1788" t="str">
            <v>I 1075</v>
          </cell>
        </row>
        <row r="1789">
          <cell r="A1789">
            <v>1784</v>
          </cell>
          <cell r="I1789" t="str">
            <v>I 1211 / 1212</v>
          </cell>
        </row>
        <row r="1790">
          <cell r="A1790">
            <v>1785</v>
          </cell>
          <cell r="I1790" t="str">
            <v>N/E</v>
          </cell>
        </row>
        <row r="1791">
          <cell r="A1791">
            <v>1786</v>
          </cell>
          <cell r="I1791" t="str">
            <v>I 0119</v>
          </cell>
        </row>
        <row r="1792">
          <cell r="A1792">
            <v>1787</v>
          </cell>
          <cell r="I1792" t="str">
            <v>I 1261</v>
          </cell>
        </row>
        <row r="1793">
          <cell r="A1793">
            <v>1788</v>
          </cell>
          <cell r="I1793" t="str">
            <v>I 1170</v>
          </cell>
        </row>
        <row r="1794">
          <cell r="A1794">
            <v>1789</v>
          </cell>
          <cell r="I1794" t="str">
            <v>I 1170</v>
          </cell>
        </row>
        <row r="1795">
          <cell r="A1795">
            <v>1790</v>
          </cell>
          <cell r="I1795" t="str">
            <v>I 0695</v>
          </cell>
        </row>
        <row r="1796">
          <cell r="A1796">
            <v>1791</v>
          </cell>
          <cell r="I1796" t="str">
            <v>I 1260</v>
          </cell>
        </row>
        <row r="1797">
          <cell r="A1797">
            <v>1792</v>
          </cell>
          <cell r="I1797" t="str">
            <v>I 1260</v>
          </cell>
        </row>
        <row r="1798">
          <cell r="A1798">
            <v>1793</v>
          </cell>
          <cell r="I1798" t="str">
            <v>I 1135</v>
          </cell>
        </row>
        <row r="1799">
          <cell r="A1799">
            <v>1794</v>
          </cell>
          <cell r="I1799" t="str">
            <v>N/E</v>
          </cell>
        </row>
        <row r="1800">
          <cell r="A1800">
            <v>1795</v>
          </cell>
          <cell r="I1800" t="str">
            <v>I 1325/1326</v>
          </cell>
        </row>
        <row r="1801">
          <cell r="A1801">
            <v>1796</v>
          </cell>
          <cell r="I1801" t="str">
            <v>I 1325/1326</v>
          </cell>
        </row>
        <row r="1802">
          <cell r="A1802">
            <v>1797</v>
          </cell>
          <cell r="I1802" t="str">
            <v>N/E</v>
          </cell>
        </row>
        <row r="1803">
          <cell r="A1803">
            <v>1798</v>
          </cell>
          <cell r="I1803" t="str">
            <v>N/E</v>
          </cell>
        </row>
        <row r="1804">
          <cell r="A1804">
            <v>1799</v>
          </cell>
          <cell r="I1804" t="str">
            <v>I 1267</v>
          </cell>
        </row>
        <row r="1805">
          <cell r="A1805">
            <v>1800</v>
          </cell>
          <cell r="I1805" t="str">
            <v>I 1267</v>
          </cell>
        </row>
        <row r="1806">
          <cell r="A1806">
            <v>1801</v>
          </cell>
          <cell r="I1806" t="str">
            <v>I 1267</v>
          </cell>
        </row>
        <row r="1807">
          <cell r="A1807">
            <v>1802</v>
          </cell>
          <cell r="I1807" t="str">
            <v>I 1326</v>
          </cell>
        </row>
        <row r="1808">
          <cell r="A1808">
            <v>1803</v>
          </cell>
          <cell r="I1808" t="str">
            <v>I 1326</v>
          </cell>
        </row>
        <row r="1809">
          <cell r="A1809">
            <v>1804</v>
          </cell>
          <cell r="I1809" t="str">
            <v>N/E</v>
          </cell>
        </row>
        <row r="1810">
          <cell r="A1810">
            <v>1805</v>
          </cell>
          <cell r="I1810" t="str">
            <v>N/E</v>
          </cell>
        </row>
        <row r="1811">
          <cell r="A1811">
            <v>1806</v>
          </cell>
          <cell r="I1811" t="str">
            <v>N/E</v>
          </cell>
        </row>
        <row r="1812">
          <cell r="A1812">
            <v>1807</v>
          </cell>
          <cell r="I1812" t="str">
            <v>N/E</v>
          </cell>
        </row>
        <row r="1813">
          <cell r="A1813">
            <v>1808</v>
          </cell>
          <cell r="I1813" t="str">
            <v>N/E</v>
          </cell>
        </row>
        <row r="1814">
          <cell r="A1814">
            <v>1809</v>
          </cell>
          <cell r="I1814" t="str">
            <v>N/E</v>
          </cell>
        </row>
        <row r="1815">
          <cell r="A1815">
            <v>1810</v>
          </cell>
          <cell r="I1815" t="str">
            <v>I 1181</v>
          </cell>
        </row>
        <row r="1816">
          <cell r="A1816">
            <v>1811</v>
          </cell>
          <cell r="I1816" t="str">
            <v>N/E</v>
          </cell>
        </row>
        <row r="1817">
          <cell r="A1817">
            <v>1812</v>
          </cell>
          <cell r="I1817" t="str">
            <v>I 1094</v>
          </cell>
        </row>
        <row r="1818">
          <cell r="A1818">
            <v>1813</v>
          </cell>
          <cell r="I1818" t="str">
            <v>I 0772/ I 0773</v>
          </cell>
        </row>
        <row r="1819">
          <cell r="A1819">
            <v>1814</v>
          </cell>
          <cell r="I1819" t="str">
            <v>I 1162</v>
          </cell>
        </row>
        <row r="1820">
          <cell r="A1820">
            <v>1815</v>
          </cell>
          <cell r="I1820" t="str">
            <v>N/E</v>
          </cell>
        </row>
        <row r="1821">
          <cell r="A1821">
            <v>1816</v>
          </cell>
          <cell r="I1821" t="str">
            <v>N/E</v>
          </cell>
        </row>
        <row r="1822">
          <cell r="A1822">
            <v>1817</v>
          </cell>
          <cell r="I1822" t="str">
            <v>N/E</v>
          </cell>
        </row>
        <row r="1823">
          <cell r="A1823">
            <v>1818</v>
          </cell>
          <cell r="I1823" t="str">
            <v>N/E</v>
          </cell>
        </row>
        <row r="1824">
          <cell r="A1824">
            <v>1819</v>
          </cell>
          <cell r="I1824" t="str">
            <v>N/E</v>
          </cell>
        </row>
        <row r="1825">
          <cell r="A1825">
            <v>1820</v>
          </cell>
          <cell r="I1825" t="str">
            <v>1147/1148</v>
          </cell>
        </row>
        <row r="1826">
          <cell r="A1826">
            <v>1821</v>
          </cell>
          <cell r="I1826" t="str">
            <v>1147/1148</v>
          </cell>
        </row>
        <row r="1827">
          <cell r="A1827">
            <v>1822</v>
          </cell>
          <cell r="I1827" t="str">
            <v>1147/1148</v>
          </cell>
        </row>
        <row r="1828">
          <cell r="A1828">
            <v>1823</v>
          </cell>
          <cell r="I1828" t="str">
            <v>1147/1148</v>
          </cell>
        </row>
        <row r="1829">
          <cell r="A1829">
            <v>1824</v>
          </cell>
          <cell r="I1829" t="str">
            <v>1147/1148</v>
          </cell>
        </row>
        <row r="1830">
          <cell r="A1830">
            <v>1825</v>
          </cell>
          <cell r="I1830" t="str">
            <v>1147/1148</v>
          </cell>
        </row>
        <row r="1831">
          <cell r="A1831">
            <v>1826</v>
          </cell>
          <cell r="I1831" t="str">
            <v>1147/1148</v>
          </cell>
        </row>
        <row r="1832">
          <cell r="A1832">
            <v>1827</v>
          </cell>
          <cell r="I1832" t="str">
            <v>1147/1148</v>
          </cell>
        </row>
        <row r="1833">
          <cell r="A1833">
            <v>1828</v>
          </cell>
          <cell r="I1833" t="str">
            <v>1147/1148</v>
          </cell>
        </row>
        <row r="1834">
          <cell r="A1834">
            <v>1829</v>
          </cell>
          <cell r="I1834" t="str">
            <v>1147/1148</v>
          </cell>
        </row>
        <row r="1835">
          <cell r="A1835">
            <v>1830</v>
          </cell>
          <cell r="I1835" t="str">
            <v>1147/1148</v>
          </cell>
        </row>
        <row r="1836">
          <cell r="A1836">
            <v>1831</v>
          </cell>
          <cell r="I1836" t="str">
            <v>1147/1148</v>
          </cell>
        </row>
        <row r="1837">
          <cell r="A1837">
            <v>1832</v>
          </cell>
          <cell r="I1837" t="str">
            <v>1147/1148</v>
          </cell>
        </row>
        <row r="1838">
          <cell r="A1838">
            <v>1833</v>
          </cell>
          <cell r="I1838">
            <v>1110</v>
          </cell>
        </row>
        <row r="1839">
          <cell r="A1839">
            <v>1834</v>
          </cell>
          <cell r="I1839" t="str">
            <v>I 1156/1157</v>
          </cell>
        </row>
        <row r="1840">
          <cell r="A1840">
            <v>1835</v>
          </cell>
          <cell r="I1840" t="str">
            <v>N/E</v>
          </cell>
        </row>
        <row r="1841">
          <cell r="A1841">
            <v>1836</v>
          </cell>
          <cell r="I1841" t="str">
            <v>N/E</v>
          </cell>
        </row>
        <row r="1842">
          <cell r="A1842">
            <v>1837</v>
          </cell>
          <cell r="I1842" t="str">
            <v>N/E</v>
          </cell>
        </row>
        <row r="1843">
          <cell r="A1843">
            <v>1838</v>
          </cell>
          <cell r="I1843" t="str">
            <v>N/E</v>
          </cell>
        </row>
        <row r="1844">
          <cell r="A1844">
            <v>1839</v>
          </cell>
          <cell r="I1844" t="str">
            <v>N/E</v>
          </cell>
        </row>
        <row r="1845">
          <cell r="A1845">
            <v>1840</v>
          </cell>
          <cell r="I1845" t="str">
            <v>N/E</v>
          </cell>
        </row>
        <row r="1846">
          <cell r="A1846">
            <v>1841</v>
          </cell>
          <cell r="I1846" t="str">
            <v>N/E</v>
          </cell>
        </row>
        <row r="1847">
          <cell r="A1847">
            <v>1842</v>
          </cell>
          <cell r="I1847" t="str">
            <v>N/E</v>
          </cell>
        </row>
        <row r="1848">
          <cell r="A1848">
            <v>1843</v>
          </cell>
          <cell r="I1848" t="str">
            <v>N/E</v>
          </cell>
        </row>
        <row r="1849">
          <cell r="A1849">
            <v>1844</v>
          </cell>
          <cell r="I1849" t="str">
            <v>N/E</v>
          </cell>
        </row>
        <row r="1850">
          <cell r="A1850">
            <v>1845</v>
          </cell>
          <cell r="I1850" t="str">
            <v>N/E</v>
          </cell>
        </row>
        <row r="1851">
          <cell r="A1851">
            <v>1846</v>
          </cell>
          <cell r="I1851" t="str">
            <v>N/E</v>
          </cell>
        </row>
        <row r="1852">
          <cell r="A1852">
            <v>1847</v>
          </cell>
          <cell r="I1852" t="str">
            <v>N/E</v>
          </cell>
        </row>
        <row r="1853">
          <cell r="A1853">
            <v>1848</v>
          </cell>
          <cell r="I1853" t="str">
            <v>N/E</v>
          </cell>
        </row>
        <row r="1854">
          <cell r="A1854">
            <v>1849</v>
          </cell>
          <cell r="I1854" t="str">
            <v>I 1245 / 1246</v>
          </cell>
        </row>
        <row r="1855">
          <cell r="A1855">
            <v>1850</v>
          </cell>
          <cell r="I1855" t="str">
            <v>I 1244</v>
          </cell>
        </row>
        <row r="1856">
          <cell r="A1856">
            <v>1851</v>
          </cell>
          <cell r="I1856" t="str">
            <v>I 1231 / 1233</v>
          </cell>
        </row>
        <row r="1857">
          <cell r="A1857">
            <v>1852</v>
          </cell>
          <cell r="I1857" t="str">
            <v>N/E</v>
          </cell>
        </row>
        <row r="1858">
          <cell r="A1858">
            <v>1853</v>
          </cell>
          <cell r="I1858" t="str">
            <v>I 1236 / 1237</v>
          </cell>
        </row>
        <row r="1859">
          <cell r="A1859">
            <v>1854</v>
          </cell>
          <cell r="I1859" t="str">
            <v>I 1236 / 1237</v>
          </cell>
        </row>
        <row r="1860">
          <cell r="A1860">
            <v>1855</v>
          </cell>
          <cell r="I1860" t="str">
            <v>I 1236 / 1237</v>
          </cell>
        </row>
        <row r="1861">
          <cell r="A1861">
            <v>1856</v>
          </cell>
          <cell r="I1861" t="str">
            <v>N/E</v>
          </cell>
        </row>
        <row r="1862">
          <cell r="A1862">
            <v>1857</v>
          </cell>
          <cell r="I1862" t="str">
            <v>I 0015</v>
          </cell>
        </row>
        <row r="1863">
          <cell r="A1863">
            <v>1858</v>
          </cell>
          <cell r="I1863" t="str">
            <v>I 1236 / 1237</v>
          </cell>
        </row>
        <row r="1864">
          <cell r="A1864">
            <v>1859</v>
          </cell>
          <cell r="I1864" t="str">
            <v>N/E</v>
          </cell>
        </row>
        <row r="1865">
          <cell r="A1865">
            <v>1860</v>
          </cell>
          <cell r="I1865" t="str">
            <v>N/E</v>
          </cell>
        </row>
        <row r="1866">
          <cell r="A1866">
            <v>1861</v>
          </cell>
          <cell r="I1866" t="str">
            <v>I 1236 / 1237</v>
          </cell>
        </row>
        <row r="1867">
          <cell r="A1867">
            <v>1862</v>
          </cell>
          <cell r="I1867" t="str">
            <v>N/E</v>
          </cell>
        </row>
        <row r="1868">
          <cell r="A1868">
            <v>1863</v>
          </cell>
          <cell r="I1868" t="str">
            <v>I 1236 / 1237</v>
          </cell>
        </row>
        <row r="1869">
          <cell r="A1869">
            <v>1864</v>
          </cell>
          <cell r="I1869" t="str">
            <v>N/E</v>
          </cell>
        </row>
        <row r="1870">
          <cell r="A1870">
            <v>1865</v>
          </cell>
          <cell r="I1870" t="str">
            <v>I 0165</v>
          </cell>
        </row>
        <row r="1871">
          <cell r="A1871">
            <v>1866</v>
          </cell>
          <cell r="I1871" t="str">
            <v>N/E</v>
          </cell>
        </row>
        <row r="1872">
          <cell r="A1872">
            <v>1867</v>
          </cell>
          <cell r="I1872" t="str">
            <v>N/E</v>
          </cell>
        </row>
        <row r="1873">
          <cell r="A1873">
            <v>1868</v>
          </cell>
          <cell r="I1873" t="str">
            <v>N/E</v>
          </cell>
        </row>
        <row r="1874">
          <cell r="A1874">
            <v>1869</v>
          </cell>
          <cell r="I1874" t="str">
            <v>N/E</v>
          </cell>
        </row>
        <row r="1875">
          <cell r="A1875">
            <v>1870</v>
          </cell>
          <cell r="I1875" t="str">
            <v>I 1233 / 1234</v>
          </cell>
        </row>
        <row r="1876">
          <cell r="A1876">
            <v>1871</v>
          </cell>
          <cell r="I1876" t="str">
            <v>N/E</v>
          </cell>
        </row>
        <row r="1877">
          <cell r="A1877">
            <v>1872</v>
          </cell>
          <cell r="I1877" t="str">
            <v>I 1175</v>
          </cell>
        </row>
        <row r="1878">
          <cell r="A1878">
            <v>1873</v>
          </cell>
          <cell r="I1878" t="str">
            <v>I 0061</v>
          </cell>
        </row>
        <row r="1879">
          <cell r="A1879">
            <v>1874</v>
          </cell>
          <cell r="I1879" t="str">
            <v>I 0061</v>
          </cell>
        </row>
        <row r="1880">
          <cell r="A1880">
            <v>1875</v>
          </cell>
          <cell r="I1880" t="str">
            <v>I 1265</v>
          </cell>
        </row>
        <row r="1881">
          <cell r="A1881">
            <v>1876</v>
          </cell>
          <cell r="I1881" t="str">
            <v>N/E</v>
          </cell>
        </row>
        <row r="1882">
          <cell r="A1882">
            <v>1877</v>
          </cell>
          <cell r="I1882" t="str">
            <v>N/E</v>
          </cell>
        </row>
        <row r="1883">
          <cell r="A1883">
            <v>1878</v>
          </cell>
          <cell r="I1883" t="str">
            <v>N/E</v>
          </cell>
        </row>
        <row r="1884">
          <cell r="A1884">
            <v>1879</v>
          </cell>
          <cell r="I1884" t="str">
            <v>I 1182</v>
          </cell>
        </row>
        <row r="1885">
          <cell r="A1885">
            <v>1880</v>
          </cell>
          <cell r="I1885" t="str">
            <v>I 1182</v>
          </cell>
        </row>
        <row r="1886">
          <cell r="A1886">
            <v>1881</v>
          </cell>
          <cell r="I1886" t="str">
            <v>I 0581</v>
          </cell>
        </row>
        <row r="1887">
          <cell r="A1887">
            <v>1882</v>
          </cell>
          <cell r="I1887" t="str">
            <v>I 1221</v>
          </cell>
        </row>
        <row r="1888">
          <cell r="A1888">
            <v>1883</v>
          </cell>
          <cell r="I1888" t="str">
            <v>I 1221</v>
          </cell>
        </row>
        <row r="1889">
          <cell r="A1889">
            <v>1884</v>
          </cell>
          <cell r="I1889" t="str">
            <v>I 1114</v>
          </cell>
        </row>
        <row r="1890">
          <cell r="A1890">
            <v>1885</v>
          </cell>
          <cell r="I1890" t="str">
            <v>I 1015</v>
          </cell>
        </row>
        <row r="1891">
          <cell r="A1891">
            <v>1886</v>
          </cell>
          <cell r="I1891" t="str">
            <v>I 1063/ I 1064</v>
          </cell>
        </row>
        <row r="1892">
          <cell r="A1892">
            <v>1887</v>
          </cell>
          <cell r="I1892" t="str">
            <v>N/E</v>
          </cell>
        </row>
        <row r="1893">
          <cell r="A1893">
            <v>1888</v>
          </cell>
          <cell r="I1893" t="str">
            <v>N/E</v>
          </cell>
        </row>
        <row r="1894">
          <cell r="A1894">
            <v>1889</v>
          </cell>
          <cell r="I1894" t="str">
            <v>N/E</v>
          </cell>
        </row>
        <row r="1895">
          <cell r="A1895">
            <v>1890</v>
          </cell>
          <cell r="I1895" t="str">
            <v>I 1204 / 1205</v>
          </cell>
        </row>
        <row r="1896">
          <cell r="A1896">
            <v>1891</v>
          </cell>
          <cell r="I1896" t="str">
            <v>I 1204 / 1205</v>
          </cell>
        </row>
        <row r="1897">
          <cell r="A1897">
            <v>1892</v>
          </cell>
          <cell r="I1897" t="str">
            <v>N/E</v>
          </cell>
        </row>
        <row r="1898">
          <cell r="A1898">
            <v>1893</v>
          </cell>
          <cell r="I1898" t="str">
            <v>N/E</v>
          </cell>
        </row>
        <row r="1899">
          <cell r="A1899">
            <v>1894</v>
          </cell>
          <cell r="I1899" t="str">
            <v>N/E</v>
          </cell>
        </row>
        <row r="1900">
          <cell r="A1900">
            <v>1895</v>
          </cell>
          <cell r="I1900" t="str">
            <v>I 1209</v>
          </cell>
        </row>
        <row r="1901">
          <cell r="A1901">
            <v>1896</v>
          </cell>
          <cell r="I1901" t="str">
            <v>N/E</v>
          </cell>
        </row>
        <row r="1902">
          <cell r="A1902">
            <v>1897</v>
          </cell>
          <cell r="I1902" t="str">
            <v>N/E</v>
          </cell>
        </row>
        <row r="1903">
          <cell r="A1903">
            <v>1898</v>
          </cell>
          <cell r="I1903" t="str">
            <v>N/E</v>
          </cell>
        </row>
        <row r="1904">
          <cell r="A1904">
            <v>1899</v>
          </cell>
          <cell r="I1904" t="str">
            <v>N/E</v>
          </cell>
        </row>
        <row r="1905">
          <cell r="A1905">
            <v>1900</v>
          </cell>
          <cell r="I1905" t="str">
            <v>N/E</v>
          </cell>
        </row>
        <row r="1906">
          <cell r="A1906">
            <v>1901</v>
          </cell>
          <cell r="I1906" t="str">
            <v>I 0096</v>
          </cell>
        </row>
        <row r="1907">
          <cell r="A1907">
            <v>1902</v>
          </cell>
          <cell r="I1907" t="str">
            <v>I 0096</v>
          </cell>
        </row>
        <row r="1908">
          <cell r="A1908">
            <v>1903</v>
          </cell>
          <cell r="I1908" t="str">
            <v>I 0096</v>
          </cell>
        </row>
        <row r="1909">
          <cell r="A1909">
            <v>1904</v>
          </cell>
          <cell r="I1909" t="str">
            <v>I 0096</v>
          </cell>
        </row>
        <row r="1910">
          <cell r="A1910">
            <v>1905</v>
          </cell>
          <cell r="I1910" t="str">
            <v>I 0096</v>
          </cell>
        </row>
        <row r="1911">
          <cell r="A1911">
            <v>1906</v>
          </cell>
          <cell r="I1911" t="str">
            <v>I 0096</v>
          </cell>
        </row>
        <row r="1912">
          <cell r="A1912">
            <v>1908</v>
          </cell>
          <cell r="I1912" t="str">
            <v>N/E</v>
          </cell>
        </row>
        <row r="1913">
          <cell r="A1913">
            <v>1909</v>
          </cell>
          <cell r="I1913" t="str">
            <v>N/E</v>
          </cell>
        </row>
        <row r="1914">
          <cell r="A1914">
            <v>1910</v>
          </cell>
          <cell r="I1914" t="str">
            <v>N/E</v>
          </cell>
        </row>
        <row r="1915">
          <cell r="A1915">
            <v>1911</v>
          </cell>
          <cell r="I1915" t="str">
            <v>I 1229</v>
          </cell>
        </row>
        <row r="1916">
          <cell r="A1916">
            <v>1912</v>
          </cell>
          <cell r="I1916" t="str">
            <v>N/E</v>
          </cell>
        </row>
        <row r="1917">
          <cell r="A1917">
            <v>1913</v>
          </cell>
          <cell r="I1917" t="str">
            <v>N/E</v>
          </cell>
        </row>
        <row r="1918">
          <cell r="A1918">
            <v>1914</v>
          </cell>
          <cell r="I1918" t="str">
            <v>I 0012</v>
          </cell>
        </row>
        <row r="1919">
          <cell r="A1919">
            <v>1915</v>
          </cell>
          <cell r="I1919" t="str">
            <v>I 0184</v>
          </cell>
        </row>
        <row r="1920">
          <cell r="A1920">
            <v>1916</v>
          </cell>
          <cell r="I1920" t="str">
            <v>I 1225 / 1226</v>
          </cell>
        </row>
        <row r="1921">
          <cell r="A1921">
            <v>1917</v>
          </cell>
          <cell r="I1921" t="str">
            <v>N/E</v>
          </cell>
        </row>
        <row r="1922">
          <cell r="A1922">
            <v>1918</v>
          </cell>
          <cell r="I1922" t="str">
            <v>N/E</v>
          </cell>
        </row>
        <row r="1923">
          <cell r="A1923">
            <v>1919</v>
          </cell>
          <cell r="I1923" t="str">
            <v xml:space="preserve"> I 0511 / 1328</v>
          </cell>
        </row>
        <row r="1924">
          <cell r="A1924">
            <v>1920</v>
          </cell>
          <cell r="I1924" t="str">
            <v>N/E</v>
          </cell>
        </row>
        <row r="1925">
          <cell r="A1925">
            <v>1921</v>
          </cell>
          <cell r="I1925" t="str">
            <v>N/E</v>
          </cell>
        </row>
        <row r="1926">
          <cell r="A1926">
            <v>1922</v>
          </cell>
          <cell r="I1926" t="str">
            <v>I 1217</v>
          </cell>
        </row>
        <row r="1927">
          <cell r="A1927">
            <v>1923</v>
          </cell>
          <cell r="I1927" t="str">
            <v>N/E</v>
          </cell>
        </row>
        <row r="1928">
          <cell r="A1928">
            <v>1924</v>
          </cell>
          <cell r="I1928" t="str">
            <v>N/E</v>
          </cell>
        </row>
        <row r="1929">
          <cell r="A1929">
            <v>1925</v>
          </cell>
          <cell r="I1929" t="str">
            <v>I 1179 / 1180</v>
          </cell>
        </row>
        <row r="1930">
          <cell r="A1930">
            <v>1926</v>
          </cell>
          <cell r="I1930" t="str">
            <v>N/E</v>
          </cell>
        </row>
        <row r="1931">
          <cell r="A1931">
            <v>1927</v>
          </cell>
          <cell r="I1931" t="str">
            <v>N/E</v>
          </cell>
        </row>
        <row r="1932">
          <cell r="A1932">
            <v>1928</v>
          </cell>
          <cell r="I1932" t="str">
            <v>N/E</v>
          </cell>
        </row>
        <row r="1933">
          <cell r="A1933">
            <v>1929</v>
          </cell>
          <cell r="I1933" t="str">
            <v>I 1251</v>
          </cell>
        </row>
        <row r="1934">
          <cell r="A1934">
            <v>1930</v>
          </cell>
          <cell r="I1934" t="str">
            <v>I 1239 / 1240</v>
          </cell>
        </row>
        <row r="1935">
          <cell r="A1935">
            <v>1931</v>
          </cell>
          <cell r="I1935" t="str">
            <v>N/E</v>
          </cell>
        </row>
        <row r="1936">
          <cell r="A1936">
            <v>1932</v>
          </cell>
          <cell r="I1936" t="str">
            <v>N/E</v>
          </cell>
        </row>
        <row r="1937">
          <cell r="A1937">
            <v>1933</v>
          </cell>
          <cell r="I1937" t="str">
            <v>N/E</v>
          </cell>
        </row>
        <row r="1938">
          <cell r="A1938">
            <v>1934</v>
          </cell>
          <cell r="I1938" t="str">
            <v>N/E</v>
          </cell>
        </row>
        <row r="1939">
          <cell r="A1939">
            <v>1935</v>
          </cell>
          <cell r="I1939" t="str">
            <v>N/E</v>
          </cell>
        </row>
        <row r="1940">
          <cell r="A1940">
            <v>1936</v>
          </cell>
          <cell r="I1940" t="str">
            <v>I 1252</v>
          </cell>
        </row>
        <row r="1941">
          <cell r="A1941">
            <v>1937</v>
          </cell>
          <cell r="I1941" t="str">
            <v>I 1252</v>
          </cell>
        </row>
        <row r="1942">
          <cell r="A1942">
            <v>1938</v>
          </cell>
          <cell r="I1942" t="str">
            <v>N/E</v>
          </cell>
        </row>
        <row r="1943">
          <cell r="A1943">
            <v>1939</v>
          </cell>
          <cell r="I1943" t="str">
            <v>N/E</v>
          </cell>
        </row>
        <row r="1944">
          <cell r="A1944">
            <v>1940</v>
          </cell>
          <cell r="I1944" t="str">
            <v>N/E</v>
          </cell>
        </row>
        <row r="1945">
          <cell r="A1945">
            <v>1941</v>
          </cell>
          <cell r="I1945" t="str">
            <v>N/E</v>
          </cell>
        </row>
        <row r="1946">
          <cell r="A1946">
            <v>1942</v>
          </cell>
          <cell r="I1946" t="str">
            <v>N/E</v>
          </cell>
        </row>
        <row r="1947">
          <cell r="A1947">
            <v>1943</v>
          </cell>
          <cell r="I1947" t="str">
            <v>N/E</v>
          </cell>
        </row>
        <row r="1948">
          <cell r="A1948">
            <v>1944</v>
          </cell>
          <cell r="I1948" t="str">
            <v>N/E</v>
          </cell>
        </row>
        <row r="1949">
          <cell r="A1949">
            <v>1945</v>
          </cell>
          <cell r="I1949" t="str">
            <v>I 0011</v>
          </cell>
        </row>
        <row r="1950">
          <cell r="A1950">
            <v>1946</v>
          </cell>
          <cell r="I1950" t="str">
            <v>N/E</v>
          </cell>
        </row>
        <row r="1951">
          <cell r="A1951">
            <v>1947</v>
          </cell>
          <cell r="I1951" t="str">
            <v>I 1206</v>
          </cell>
        </row>
        <row r="1952">
          <cell r="A1952">
            <v>1948</v>
          </cell>
          <cell r="I1952" t="str">
            <v>I 1216</v>
          </cell>
        </row>
        <row r="1953">
          <cell r="A1953">
            <v>1949</v>
          </cell>
          <cell r="I1953" t="str">
            <v>I 1216</v>
          </cell>
        </row>
        <row r="1954">
          <cell r="A1954">
            <v>1950</v>
          </cell>
          <cell r="I1954" t="str">
            <v>N/E</v>
          </cell>
        </row>
        <row r="1955">
          <cell r="A1955">
            <v>1951</v>
          </cell>
          <cell r="I1955" t="str">
            <v>N/E</v>
          </cell>
        </row>
        <row r="1956">
          <cell r="A1956">
            <v>1952</v>
          </cell>
          <cell r="I1956" t="str">
            <v>N/E</v>
          </cell>
        </row>
        <row r="1957">
          <cell r="A1957">
            <v>1953</v>
          </cell>
          <cell r="I1957" t="str">
            <v>N/E</v>
          </cell>
        </row>
        <row r="1958">
          <cell r="A1958">
            <v>1954</v>
          </cell>
          <cell r="I1958" t="str">
            <v>N/E</v>
          </cell>
        </row>
        <row r="1959">
          <cell r="A1959">
            <v>1955</v>
          </cell>
          <cell r="I1959" t="str">
            <v>N/E</v>
          </cell>
        </row>
        <row r="1960">
          <cell r="A1960">
            <v>1956</v>
          </cell>
          <cell r="I1960" t="str">
            <v>N/E</v>
          </cell>
        </row>
        <row r="1961">
          <cell r="A1961">
            <v>1957</v>
          </cell>
          <cell r="I1961" t="str">
            <v>N/E</v>
          </cell>
        </row>
        <row r="1962">
          <cell r="A1962">
            <v>1958</v>
          </cell>
          <cell r="I1962" t="str">
            <v>N/E</v>
          </cell>
        </row>
        <row r="1963">
          <cell r="A1963">
            <v>1959</v>
          </cell>
          <cell r="I1963" t="str">
            <v>N/E</v>
          </cell>
        </row>
        <row r="1964">
          <cell r="A1964">
            <v>1960</v>
          </cell>
          <cell r="I1964" t="str">
            <v>I 1174</v>
          </cell>
        </row>
        <row r="1965">
          <cell r="A1965">
            <v>1961</v>
          </cell>
          <cell r="I1965" t="str">
            <v>I 1174</v>
          </cell>
        </row>
        <row r="1966">
          <cell r="A1966">
            <v>1962</v>
          </cell>
          <cell r="I1966" t="str">
            <v>N/E</v>
          </cell>
        </row>
        <row r="1967">
          <cell r="A1967">
            <v>1963</v>
          </cell>
          <cell r="I1967" t="str">
            <v>N/E</v>
          </cell>
        </row>
        <row r="1968">
          <cell r="A1968">
            <v>1964</v>
          </cell>
          <cell r="I1968" t="str">
            <v>N/E</v>
          </cell>
        </row>
        <row r="1969">
          <cell r="A1969">
            <v>1965</v>
          </cell>
          <cell r="I1969" t="str">
            <v>N/E</v>
          </cell>
        </row>
        <row r="1970">
          <cell r="A1970">
            <v>1966</v>
          </cell>
          <cell r="I1970" t="str">
            <v>N/E</v>
          </cell>
        </row>
        <row r="1971">
          <cell r="A1971">
            <v>1967</v>
          </cell>
          <cell r="I1971" t="str">
            <v>I 1304</v>
          </cell>
        </row>
        <row r="1972">
          <cell r="A1972">
            <v>1968</v>
          </cell>
          <cell r="I1972" t="str">
            <v>I 0084</v>
          </cell>
        </row>
        <row r="1973">
          <cell r="A1973">
            <v>1969</v>
          </cell>
          <cell r="I1973" t="str">
            <v>I 0084</v>
          </cell>
        </row>
        <row r="1974">
          <cell r="A1974">
            <v>1970</v>
          </cell>
          <cell r="I1974" t="str">
            <v>I 0084</v>
          </cell>
        </row>
        <row r="1975">
          <cell r="A1975">
            <v>1971</v>
          </cell>
          <cell r="I1975" t="str">
            <v>I 0084</v>
          </cell>
        </row>
        <row r="1976">
          <cell r="A1976">
            <v>1972</v>
          </cell>
          <cell r="I1976" t="str">
            <v>I 0084</v>
          </cell>
        </row>
        <row r="1977">
          <cell r="A1977">
            <v>1973</v>
          </cell>
          <cell r="I1977" t="str">
            <v>I 0084</v>
          </cell>
        </row>
        <row r="1978">
          <cell r="A1978">
            <v>1974</v>
          </cell>
          <cell r="I1978" t="str">
            <v>I 0083</v>
          </cell>
        </row>
        <row r="1979">
          <cell r="A1979">
            <v>1975</v>
          </cell>
          <cell r="I1979" t="str">
            <v>I 0083</v>
          </cell>
        </row>
        <row r="1980">
          <cell r="A1980">
            <v>1976</v>
          </cell>
          <cell r="I1980" t="str">
            <v>I 0083</v>
          </cell>
        </row>
        <row r="1981">
          <cell r="A1981">
            <v>1977</v>
          </cell>
          <cell r="I1981" t="str">
            <v>I 0083</v>
          </cell>
        </row>
        <row r="1982">
          <cell r="A1982">
            <v>1978</v>
          </cell>
          <cell r="I1982" t="str">
            <v>N/E</v>
          </cell>
        </row>
        <row r="1983">
          <cell r="A1983">
            <v>1979</v>
          </cell>
          <cell r="I1983" t="str">
            <v>N/E</v>
          </cell>
        </row>
        <row r="1984">
          <cell r="A1984">
            <v>1980</v>
          </cell>
          <cell r="I1984" t="str">
            <v>N/E</v>
          </cell>
        </row>
        <row r="1985">
          <cell r="A1985">
            <v>1981</v>
          </cell>
          <cell r="I1985" t="str">
            <v>I 1252</v>
          </cell>
        </row>
        <row r="1986">
          <cell r="A1986">
            <v>1982</v>
          </cell>
          <cell r="I1986" t="str">
            <v>I 0098</v>
          </cell>
        </row>
        <row r="1987">
          <cell r="A1987">
            <v>1983</v>
          </cell>
          <cell r="I1987" t="str">
            <v>I 0098</v>
          </cell>
        </row>
        <row r="1988">
          <cell r="A1988">
            <v>1984</v>
          </cell>
          <cell r="I1988" t="str">
            <v>I 0098</v>
          </cell>
        </row>
        <row r="1989">
          <cell r="A1989">
            <v>1985</v>
          </cell>
          <cell r="I1989" t="str">
            <v>I 0099</v>
          </cell>
        </row>
        <row r="1990">
          <cell r="A1990">
            <v>1986</v>
          </cell>
          <cell r="I1990" t="str">
            <v>N/E</v>
          </cell>
        </row>
        <row r="1991">
          <cell r="A1991">
            <v>1987</v>
          </cell>
          <cell r="I1991" t="str">
            <v>N/E</v>
          </cell>
        </row>
        <row r="1992">
          <cell r="A1992">
            <v>1988</v>
          </cell>
          <cell r="I1992" t="str">
            <v>N/E</v>
          </cell>
        </row>
        <row r="1993">
          <cell r="A1993">
            <v>1989</v>
          </cell>
          <cell r="I1993" t="str">
            <v>N/E</v>
          </cell>
        </row>
        <row r="1994">
          <cell r="A1994">
            <v>1990</v>
          </cell>
          <cell r="I1994" t="str">
            <v>N/E</v>
          </cell>
        </row>
        <row r="1995">
          <cell r="A1995">
            <v>1991</v>
          </cell>
          <cell r="I1995" t="str">
            <v>N/E</v>
          </cell>
        </row>
        <row r="1996">
          <cell r="A1996">
            <v>1992</v>
          </cell>
          <cell r="I1996" t="str">
            <v>I 0018</v>
          </cell>
        </row>
        <row r="1997">
          <cell r="A1997">
            <v>1993</v>
          </cell>
          <cell r="I1997" t="str">
            <v>N/E</v>
          </cell>
        </row>
        <row r="1998">
          <cell r="A1998">
            <v>1994</v>
          </cell>
          <cell r="I1998" t="str">
            <v>I 0052</v>
          </cell>
        </row>
        <row r="1999">
          <cell r="A1999">
            <v>1995</v>
          </cell>
          <cell r="I1999" t="str">
            <v>I 0052</v>
          </cell>
        </row>
        <row r="2000">
          <cell r="A2000">
            <v>1996</v>
          </cell>
          <cell r="I2000" t="str">
            <v>N/E</v>
          </cell>
        </row>
        <row r="2001">
          <cell r="A2001">
            <v>1997</v>
          </cell>
          <cell r="I2001" t="str">
            <v>I 0050</v>
          </cell>
        </row>
        <row r="2002">
          <cell r="A2002">
            <v>1998</v>
          </cell>
          <cell r="I2002" t="str">
            <v>I 0050</v>
          </cell>
        </row>
        <row r="2003">
          <cell r="A2003">
            <v>1999</v>
          </cell>
          <cell r="I2003" t="str">
            <v>I 0050</v>
          </cell>
        </row>
        <row r="2004">
          <cell r="A2004">
            <v>2000</v>
          </cell>
          <cell r="I2004" t="str">
            <v>N/E</v>
          </cell>
        </row>
        <row r="2005">
          <cell r="A2005">
            <v>2001</v>
          </cell>
          <cell r="I2005" t="str">
            <v>N/E</v>
          </cell>
        </row>
        <row r="2006">
          <cell r="A2006">
            <v>2002</v>
          </cell>
          <cell r="I2006" t="str">
            <v>N/E</v>
          </cell>
        </row>
        <row r="2007">
          <cell r="A2007">
            <v>2003</v>
          </cell>
          <cell r="I2007" t="str">
            <v>N/E</v>
          </cell>
        </row>
        <row r="2008">
          <cell r="A2008">
            <v>2004</v>
          </cell>
          <cell r="I2008" t="str">
            <v>N/E</v>
          </cell>
        </row>
        <row r="2009">
          <cell r="A2009">
            <v>2005</v>
          </cell>
          <cell r="I2009" t="str">
            <v>N/E</v>
          </cell>
        </row>
        <row r="2010">
          <cell r="A2010">
            <v>2006</v>
          </cell>
          <cell r="I2010" t="str">
            <v>I 0916</v>
          </cell>
        </row>
        <row r="2011">
          <cell r="A2011">
            <v>2007</v>
          </cell>
          <cell r="I2011" t="str">
            <v>I 0966</v>
          </cell>
        </row>
        <row r="2012">
          <cell r="A2012">
            <v>2008</v>
          </cell>
          <cell r="I2012" t="str">
            <v>I 0488</v>
          </cell>
        </row>
        <row r="2013">
          <cell r="A2013">
            <v>2009</v>
          </cell>
          <cell r="I2013" t="str">
            <v>N/E</v>
          </cell>
        </row>
        <row r="2014">
          <cell r="A2014">
            <v>2010</v>
          </cell>
          <cell r="I2014" t="str">
            <v>N/E</v>
          </cell>
        </row>
        <row r="2015">
          <cell r="A2015">
            <v>2011</v>
          </cell>
          <cell r="I2015" t="str">
            <v>I 0552</v>
          </cell>
        </row>
        <row r="2016">
          <cell r="A2016">
            <v>2012</v>
          </cell>
          <cell r="I2016" t="str">
            <v>I 0552</v>
          </cell>
        </row>
        <row r="2017">
          <cell r="A2017">
            <v>2013</v>
          </cell>
          <cell r="I2017" t="str">
            <v>N/E</v>
          </cell>
        </row>
        <row r="2018">
          <cell r="A2018">
            <v>2014</v>
          </cell>
          <cell r="I2018" t="str">
            <v>I 1065</v>
          </cell>
        </row>
        <row r="2019">
          <cell r="A2019">
            <v>2015</v>
          </cell>
          <cell r="I2019" t="str">
            <v>I 1065</v>
          </cell>
        </row>
        <row r="2020">
          <cell r="A2020">
            <v>2016</v>
          </cell>
          <cell r="I2020" t="str">
            <v>I 1065</v>
          </cell>
        </row>
        <row r="2021">
          <cell r="A2021">
            <v>2017</v>
          </cell>
          <cell r="I2021" t="str">
            <v>I 0498 - 0499</v>
          </cell>
        </row>
        <row r="2022">
          <cell r="A2022"/>
          <cell r="I2022"/>
        </row>
        <row r="2023">
          <cell r="A2023"/>
          <cell r="I2023"/>
        </row>
        <row r="2024">
          <cell r="A2024"/>
          <cell r="I2024"/>
        </row>
        <row r="2025">
          <cell r="A2025"/>
          <cell r="I2025"/>
        </row>
        <row r="2026">
          <cell r="A2026"/>
          <cell r="I2026"/>
        </row>
        <row r="2027">
          <cell r="A2027"/>
          <cell r="I2027"/>
        </row>
        <row r="2028">
          <cell r="A2028"/>
          <cell r="I2028"/>
        </row>
        <row r="2029">
          <cell r="A2029"/>
          <cell r="I2029"/>
        </row>
        <row r="2030">
          <cell r="A2030"/>
          <cell r="I2030"/>
        </row>
        <row r="2031">
          <cell r="A2031"/>
          <cell r="I2031"/>
        </row>
        <row r="2032">
          <cell r="A2032"/>
          <cell r="I2032" t="str">
            <v xml:space="preserve"> </v>
          </cell>
        </row>
        <row r="2034">
          <cell r="A2034" t="str">
            <v>Jhon Hernandez</v>
          </cell>
          <cell r="I2034"/>
        </row>
        <row r="2035">
          <cell r="A2035" t="str">
            <v>Elabora</v>
          </cell>
          <cell r="I2035"/>
        </row>
        <row r="2038">
          <cell r="I2038"/>
        </row>
        <row r="2039">
          <cell r="I2039"/>
        </row>
        <row r="2040">
          <cell r="I2040"/>
        </row>
        <row r="2041">
          <cell r="I2041"/>
        </row>
        <row r="2042">
          <cell r="I2042"/>
        </row>
        <row r="2043">
          <cell r="I2043"/>
        </row>
        <row r="2044">
          <cell r="I2044"/>
        </row>
        <row r="2045">
          <cell r="I2045"/>
        </row>
        <row r="2046">
          <cell r="I2046"/>
        </row>
        <row r="2047">
          <cell r="I2047"/>
        </row>
        <row r="2048">
          <cell r="I2048"/>
        </row>
        <row r="2049">
          <cell r="I2049"/>
        </row>
        <row r="2050">
          <cell r="I2050"/>
        </row>
        <row r="2051">
          <cell r="I2051"/>
        </row>
        <row r="2052">
          <cell r="I2052"/>
        </row>
        <row r="2053">
          <cell r="I2053"/>
        </row>
        <row r="2054">
          <cell r="I2054"/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BB10-E9F8-4832-B6F1-DBD5CABAB7BE}">
  <sheetPr codeName="Hoja3">
    <pageSetUpPr fitToPage="1"/>
  </sheetPr>
  <dimension ref="A1:S98"/>
  <sheetViews>
    <sheetView showGridLines="0" showZeros="0" view="pageBreakPreview" zoomScale="70" zoomScaleNormal="85" zoomScaleSheetLayoutView="70" workbookViewId="0">
      <selection activeCell="S21" sqref="S21"/>
    </sheetView>
  </sheetViews>
  <sheetFormatPr baseColWidth="10" defaultColWidth="11.42578125" defaultRowHeight="15" outlineLevelRow="2" x14ac:dyDescent="0.25"/>
  <cols>
    <col min="1" max="1" width="2.7109375" style="14" customWidth="1"/>
    <col min="2" max="2" width="16.5703125" style="14" bestFit="1" customWidth="1"/>
    <col min="3" max="3" width="17.7109375" style="14" customWidth="1"/>
    <col min="4" max="4" width="22.140625" style="14" customWidth="1"/>
    <col min="5" max="5" width="22.42578125" style="14" customWidth="1"/>
    <col min="6" max="6" width="20.5703125" style="14" customWidth="1"/>
    <col min="7" max="7" width="20.85546875" style="14" customWidth="1"/>
    <col min="8" max="8" width="13.85546875" style="14" customWidth="1"/>
    <col min="9" max="9" width="21.5703125" style="14" customWidth="1"/>
    <col min="10" max="11" width="14.85546875" style="14" customWidth="1"/>
    <col min="12" max="12" width="2.140625" style="14" customWidth="1"/>
    <col min="13" max="14" width="12.42578125" style="14" customWidth="1"/>
    <col min="15" max="15" width="11.42578125" style="14"/>
    <col min="16" max="16" width="20.7109375" style="14" customWidth="1"/>
    <col min="17" max="16384" width="11.42578125" style="14"/>
  </cols>
  <sheetData>
    <row r="1" spans="1:19" s="7" customFormat="1" ht="15" customHeight="1" x14ac:dyDescent="0.25">
      <c r="C1" s="8"/>
      <c r="D1" s="9"/>
      <c r="E1" s="10"/>
      <c r="F1" s="10"/>
      <c r="G1" s="10"/>
      <c r="H1" s="10"/>
      <c r="I1" s="10"/>
      <c r="J1" s="10"/>
    </row>
    <row r="2" spans="1:19" s="7" customFormat="1" ht="28.5" customHeight="1" x14ac:dyDescent="0.25">
      <c r="A2" s="188" t="s">
        <v>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1"/>
    </row>
    <row r="3" spans="1:19" s="7" customFormat="1" ht="14.25" customHeight="1" x14ac:dyDescent="0.25">
      <c r="C3" s="12"/>
      <c r="D3" s="10"/>
      <c r="E3" s="10"/>
      <c r="F3" s="10"/>
      <c r="G3" s="10"/>
      <c r="H3" s="10"/>
      <c r="I3" s="10"/>
      <c r="J3" s="10"/>
      <c r="K3" s="13" t="s">
        <v>1</v>
      </c>
    </row>
    <row r="4" spans="1:19" ht="16.5" customHeight="1" x14ac:dyDescent="0.25">
      <c r="B4" s="15"/>
      <c r="C4" s="15"/>
      <c r="D4" s="16"/>
      <c r="E4" s="16"/>
      <c r="F4" s="189" t="s">
        <v>2</v>
      </c>
      <c r="G4" s="191">
        <f ca="1">TODAY()</f>
        <v>46217</v>
      </c>
      <c r="H4" s="191"/>
      <c r="I4" s="193" t="s">
        <v>3</v>
      </c>
      <c r="J4" s="216">
        <v>29</v>
      </c>
      <c r="K4" s="217"/>
      <c r="M4" s="17"/>
    </row>
    <row r="5" spans="1:19" ht="16.5" customHeight="1" x14ac:dyDescent="0.25">
      <c r="A5" s="15"/>
      <c r="B5" s="15"/>
      <c r="C5" s="15"/>
      <c r="D5" s="16"/>
      <c r="E5" s="16"/>
      <c r="F5" s="190"/>
      <c r="G5" s="192"/>
      <c r="H5" s="192"/>
      <c r="I5" s="194"/>
      <c r="J5" s="218"/>
      <c r="K5" s="219"/>
    </row>
    <row r="6" spans="1:19" ht="6" customHeight="1" x14ac:dyDescent="0.25">
      <c r="C6" s="18"/>
      <c r="J6" s="181"/>
      <c r="K6" s="181"/>
    </row>
    <row r="7" spans="1:19" ht="21.75" customHeight="1" x14ac:dyDescent="0.25">
      <c r="B7" s="182" t="s">
        <v>4</v>
      </c>
      <c r="C7" s="182"/>
      <c r="D7" s="182"/>
      <c r="E7" s="182"/>
      <c r="F7" s="182"/>
      <c r="G7" s="182"/>
      <c r="H7" s="182"/>
      <c r="I7" s="182"/>
      <c r="J7" s="182"/>
      <c r="K7" s="182"/>
      <c r="L7" s="19"/>
    </row>
    <row r="8" spans="1:19" ht="6.75" customHeight="1" x14ac:dyDescent="0.25"/>
    <row r="9" spans="1:19" s="20" customFormat="1" ht="21.75" customHeight="1" x14ac:dyDescent="0.25">
      <c r="B9" s="183" t="s">
        <v>5</v>
      </c>
      <c r="C9" s="184"/>
      <c r="D9" s="212" t="e">
        <f>_xlfn.XLOOKUP(M12,#REF!,#REF!)</f>
        <v>#REF!</v>
      </c>
      <c r="E9" s="212"/>
      <c r="G9" s="186" t="s">
        <v>6</v>
      </c>
      <c r="H9" s="186"/>
      <c r="I9" s="213" t="s">
        <v>7</v>
      </c>
      <c r="J9" s="214"/>
      <c r="K9" s="215"/>
    </row>
    <row r="10" spans="1:19" s="20" customFormat="1" ht="6" customHeight="1" x14ac:dyDescent="0.25">
      <c r="M10" s="21"/>
    </row>
    <row r="11" spans="1:19" s="20" customFormat="1" ht="40.5" customHeight="1" x14ac:dyDescent="0.25">
      <c r="B11" s="178" t="s">
        <v>8</v>
      </c>
      <c r="C11" s="179"/>
      <c r="D11" s="22" t="s">
        <v>9</v>
      </c>
      <c r="E11" s="180" t="s">
        <v>10</v>
      </c>
      <c r="F11" s="179"/>
      <c r="G11" s="22" t="s">
        <v>11</v>
      </c>
      <c r="H11" s="180" t="s">
        <v>12</v>
      </c>
      <c r="I11" s="179"/>
      <c r="J11" s="22" t="s">
        <v>13</v>
      </c>
      <c r="K11" s="23" t="s">
        <v>14</v>
      </c>
      <c r="M11" s="24" t="s">
        <v>15</v>
      </c>
    </row>
    <row r="12" spans="1:19" s="20" customFormat="1" ht="39" customHeight="1" x14ac:dyDescent="0.25">
      <c r="B12" s="203" t="s">
        <v>16</v>
      </c>
      <c r="C12" s="204"/>
      <c r="D12" s="53" t="e">
        <f>IF(M12&gt;0,(UPPER(_xlfn.XLOOKUP(M12,#REF!,#REF!,"No encontrado",0))),"")</f>
        <v>#REF!</v>
      </c>
      <c r="E12" s="177" t="e">
        <f>IF(M12&gt;0,(PROPER(_xlfn.XLOOKUP(M12,#REF!,#REF!,"No encontrado",0))),"")</f>
        <v>#REF!</v>
      </c>
      <c r="F12" s="177"/>
      <c r="G12" s="56" t="e">
        <f>IF(M12&gt;0,(PROPER(_xlfn.XLOOKUP(M12,#REF!,#REF!,"No encontrado",0))),"")</f>
        <v>#REF!</v>
      </c>
      <c r="H12" s="210" t="s">
        <v>17</v>
      </c>
      <c r="I12" s="211"/>
      <c r="J12" s="57">
        <v>45636</v>
      </c>
      <c r="K12" s="57">
        <v>45714</v>
      </c>
      <c r="M12" s="51">
        <v>370</v>
      </c>
    </row>
    <row r="13" spans="1:19" s="20" customFormat="1" ht="39" customHeight="1" x14ac:dyDescent="0.25">
      <c r="B13" s="203" t="s">
        <v>16</v>
      </c>
      <c r="C13" s="204"/>
      <c r="D13" s="53" t="e">
        <f>IF(M13&gt;0,(UPPER(_xlfn.XLOOKUP(M13,#REF!,#REF!,"No encontrado",0))),"")</f>
        <v>#REF!</v>
      </c>
      <c r="E13" s="177" t="e">
        <f>IF(M13&gt;0,(PROPER(_xlfn.XLOOKUP(M13,#REF!,#REF!,"No encontrado",0))),"")</f>
        <v>#REF!</v>
      </c>
      <c r="F13" s="177"/>
      <c r="G13" s="56" t="e">
        <f>IF(M13&gt;0,(PROPER(_xlfn.XLOOKUP(M13,#REF!,#REF!,"No encontrado",0))),"")</f>
        <v>#REF!</v>
      </c>
      <c r="H13" s="210" t="s">
        <v>17</v>
      </c>
      <c r="I13" s="211"/>
      <c r="J13" s="57">
        <v>45636</v>
      </c>
      <c r="K13" s="57">
        <v>45714</v>
      </c>
      <c r="M13" s="51">
        <v>371</v>
      </c>
      <c r="S13" s="20" t="s">
        <v>18</v>
      </c>
    </row>
    <row r="14" spans="1:19" s="20" customFormat="1" ht="39" customHeight="1" x14ac:dyDescent="0.25">
      <c r="B14" s="203" t="s">
        <v>16</v>
      </c>
      <c r="C14" s="204"/>
      <c r="D14" s="53" t="e">
        <f>IF(M14&gt;0,(UPPER(_xlfn.XLOOKUP(M14,#REF!,#REF!,"No encontrado",0))),"")</f>
        <v>#REF!</v>
      </c>
      <c r="E14" s="177" t="e">
        <f>IF(M14&gt;0,(PROPER(_xlfn.XLOOKUP(M14,#REF!,#REF!,"No encontrado",0))),"")</f>
        <v>#REF!</v>
      </c>
      <c r="F14" s="177"/>
      <c r="G14" s="56" t="e">
        <f>IF(M14&gt;0,(PROPER(_xlfn.XLOOKUP(M14,#REF!,#REF!,"No encontrado",0))),"")</f>
        <v>#REF!</v>
      </c>
      <c r="H14" s="210" t="s">
        <v>17</v>
      </c>
      <c r="I14" s="211"/>
      <c r="J14" s="57">
        <v>45636</v>
      </c>
      <c r="K14" s="57">
        <v>45714</v>
      </c>
      <c r="M14" s="51">
        <v>372</v>
      </c>
    </row>
    <row r="15" spans="1:19" s="20" customFormat="1" ht="39" customHeight="1" x14ac:dyDescent="0.25">
      <c r="B15" s="203" t="s">
        <v>16</v>
      </c>
      <c r="C15" s="204"/>
      <c r="D15" s="53" t="e">
        <f>IF(M15&gt;0,(UPPER(_xlfn.XLOOKUP(M15,#REF!,#REF!,"No encontrado",0))),"")</f>
        <v>#REF!</v>
      </c>
      <c r="E15" s="177" t="e">
        <f>IF(M15&gt;0,(PROPER(_xlfn.XLOOKUP(M15,#REF!,#REF!,"No encontrado",0))),"")</f>
        <v>#REF!</v>
      </c>
      <c r="F15" s="177"/>
      <c r="G15" s="56" t="e">
        <f>IF(M15&gt;0,(PROPER(_xlfn.XLOOKUP(M15,#REF!,#REF!,"No encontrado",0))),"")</f>
        <v>#REF!</v>
      </c>
      <c r="H15" s="210" t="s">
        <v>17</v>
      </c>
      <c r="I15" s="211"/>
      <c r="J15" s="57" t="e">
        <f>_xlfn.XLOOKUP(M15,#REF!,#REF!,0)</f>
        <v>#REF!</v>
      </c>
      <c r="K15" s="57">
        <f t="shared" ref="K15" ca="1" si="0">IF(M15&gt;0,TODAY(),"")</f>
        <v>46217</v>
      </c>
      <c r="M15" s="51">
        <v>373</v>
      </c>
    </row>
    <row r="16" spans="1:19" s="20" customFormat="1" ht="39" customHeight="1" outlineLevel="1" x14ac:dyDescent="0.25">
      <c r="B16" s="203" t="s">
        <v>16</v>
      </c>
      <c r="C16" s="204"/>
      <c r="D16" s="53" t="e">
        <f>IF(M16&gt;0,(UPPER(_xlfn.XLOOKUP(M16,#REF!,#REF!,"No encontrado",0))),"")</f>
        <v>#REF!</v>
      </c>
      <c r="E16" s="177" t="e">
        <f>IF(M16&gt;0,(PROPER(_xlfn.XLOOKUP(M16,#REF!,#REF!,"No encontrado",0))),"")</f>
        <v>#REF!</v>
      </c>
      <c r="F16" s="177"/>
      <c r="G16" s="56" t="e">
        <f>IF(M16&gt;0,(PROPER(_xlfn.XLOOKUP(M16,#REF!,#REF!,"No encontrado",0))),"")</f>
        <v>#REF!</v>
      </c>
      <c r="H16" s="205" t="s">
        <v>17</v>
      </c>
      <c r="I16" s="205"/>
      <c r="J16" s="57" t="e">
        <f>_xlfn.XLOOKUP(M16,#REF!,#REF!,0)</f>
        <v>#REF!</v>
      </c>
      <c r="K16" s="57">
        <f t="shared" ref="K16:K35" ca="1" si="1">IF(M16&gt;0,TODAY(),"")</f>
        <v>46217</v>
      </c>
      <c r="M16" s="51">
        <v>1607</v>
      </c>
    </row>
    <row r="17" spans="2:13" s="20" customFormat="1" ht="39" customHeight="1" outlineLevel="1" x14ac:dyDescent="0.25">
      <c r="B17" s="203" t="s">
        <v>16</v>
      </c>
      <c r="C17" s="204"/>
      <c r="D17" s="53" t="e">
        <f>IF(M17&gt;0,(UPPER(_xlfn.XLOOKUP(M17,#REF!,#REF!,"No encontrado",0))),"")</f>
        <v>#REF!</v>
      </c>
      <c r="E17" s="177" t="e">
        <f>IF(M17&gt;0,(PROPER(_xlfn.XLOOKUP(M17,#REF!,#REF!,"No encontrado",0))),"")</f>
        <v>#REF!</v>
      </c>
      <c r="F17" s="177"/>
      <c r="G17" s="56" t="e">
        <f>IF(M17&gt;0,(PROPER(_xlfn.XLOOKUP(M17,#REF!,#REF!,"No encontrado",0))),"")</f>
        <v>#REF!</v>
      </c>
      <c r="H17" s="205" t="s">
        <v>17</v>
      </c>
      <c r="I17" s="205"/>
      <c r="J17" s="57" t="e">
        <f>_xlfn.XLOOKUP(M17,#REF!,#REF!,0)</f>
        <v>#REF!</v>
      </c>
      <c r="K17" s="57">
        <f t="shared" ca="1" si="1"/>
        <v>46217</v>
      </c>
      <c r="M17" s="51">
        <v>1608</v>
      </c>
    </row>
    <row r="18" spans="2:13" s="20" customFormat="1" ht="39" customHeight="1" outlineLevel="1" x14ac:dyDescent="0.25">
      <c r="B18" s="203" t="s">
        <v>16</v>
      </c>
      <c r="C18" s="204"/>
      <c r="D18" s="53" t="e">
        <f>IF(M18&gt;0,(UPPER(_xlfn.XLOOKUP(M18,#REF!,#REF!,"No encontrado",0))),"")</f>
        <v>#REF!</v>
      </c>
      <c r="E18" s="177" t="e">
        <f>IF(M18&gt;0,(PROPER(_xlfn.XLOOKUP(M18,#REF!,#REF!,"No encontrado",0))),"")</f>
        <v>#REF!</v>
      </c>
      <c r="F18" s="177"/>
      <c r="G18" s="56" t="e">
        <f>IF(M18&gt;0,(PROPER(_xlfn.XLOOKUP(M18,#REF!,#REF!,"No encontrado",0))),"")</f>
        <v>#REF!</v>
      </c>
      <c r="H18" s="205" t="s">
        <v>17</v>
      </c>
      <c r="I18" s="205"/>
      <c r="J18" s="57" t="e">
        <f>_xlfn.XLOOKUP(M18,#REF!,#REF!,0)</f>
        <v>#REF!</v>
      </c>
      <c r="K18" s="57">
        <f t="shared" ca="1" si="1"/>
        <v>46217</v>
      </c>
      <c r="M18" s="51">
        <v>1609</v>
      </c>
    </row>
    <row r="19" spans="2:13" s="20" customFormat="1" ht="39" customHeight="1" outlineLevel="1" x14ac:dyDescent="0.25">
      <c r="B19" s="203" t="s">
        <v>16</v>
      </c>
      <c r="C19" s="204"/>
      <c r="D19" s="53" t="e">
        <f>IF(M19&gt;0,(UPPER(_xlfn.XLOOKUP(M19,#REF!,#REF!,"No encontrado",0))),"")</f>
        <v>#REF!</v>
      </c>
      <c r="E19" s="177" t="e">
        <f>IF(M19&gt;0,(PROPER(_xlfn.XLOOKUP(M19,#REF!,#REF!,"No encontrado",0))),"")</f>
        <v>#REF!</v>
      </c>
      <c r="F19" s="177"/>
      <c r="G19" s="56" t="e">
        <f>IF(M19&gt;0,(PROPER(_xlfn.XLOOKUP(M19,#REF!,#REF!,"No encontrado",0))),"")</f>
        <v>#REF!</v>
      </c>
      <c r="H19" s="205" t="s">
        <v>17</v>
      </c>
      <c r="I19" s="205"/>
      <c r="J19" s="57" t="e">
        <f>_xlfn.XLOOKUP(M19,#REF!,#REF!,0)</f>
        <v>#REF!</v>
      </c>
      <c r="K19" s="57">
        <f t="shared" ca="1" si="1"/>
        <v>46217</v>
      </c>
      <c r="M19" s="51">
        <v>1610</v>
      </c>
    </row>
    <row r="20" spans="2:13" s="20" customFormat="1" ht="39" customHeight="1" outlineLevel="1" x14ac:dyDescent="0.25">
      <c r="B20" s="203" t="s">
        <v>16</v>
      </c>
      <c r="C20" s="204"/>
      <c r="D20" s="53" t="e">
        <f>IF(M20&gt;0,(UPPER(_xlfn.XLOOKUP(M20,#REF!,#REF!,"No encontrado",0))),"")</f>
        <v>#REF!</v>
      </c>
      <c r="E20" s="177" t="e">
        <f>IF(M20&gt;0,(PROPER(_xlfn.XLOOKUP(M20,#REF!,#REF!,"No encontrado",0))),"")</f>
        <v>#REF!</v>
      </c>
      <c r="F20" s="177"/>
      <c r="G20" s="56" t="e">
        <f>IF(M20&gt;0,(PROPER(_xlfn.XLOOKUP(M20,#REF!,#REF!,"No encontrado",0))),"")</f>
        <v>#REF!</v>
      </c>
      <c r="H20" s="205" t="s">
        <v>17</v>
      </c>
      <c r="I20" s="205"/>
      <c r="J20" s="57" t="e">
        <f>_xlfn.XLOOKUP(M20,#REF!,#REF!,0)</f>
        <v>#REF!</v>
      </c>
      <c r="K20" s="57">
        <f t="shared" ca="1" si="1"/>
        <v>46217</v>
      </c>
      <c r="M20" s="51">
        <v>1611</v>
      </c>
    </row>
    <row r="21" spans="2:13" s="20" customFormat="1" ht="39" customHeight="1" outlineLevel="1" x14ac:dyDescent="0.25">
      <c r="B21" s="203" t="s">
        <v>16</v>
      </c>
      <c r="C21" s="204"/>
      <c r="D21" s="53" t="e">
        <f>IF(M21&gt;0,(UPPER(_xlfn.XLOOKUP(M21,#REF!,#REF!,"No encontrado",0))),"")</f>
        <v>#REF!</v>
      </c>
      <c r="E21" s="177" t="e">
        <f>IF(M21&gt;0,(PROPER(_xlfn.XLOOKUP(M21,#REF!,#REF!,"No encontrado",0))),"")</f>
        <v>#REF!</v>
      </c>
      <c r="F21" s="177"/>
      <c r="G21" s="56" t="e">
        <f>IF(M21&gt;0,(PROPER(_xlfn.XLOOKUP(M21,#REF!,#REF!,"No encontrado",0))),"")</f>
        <v>#REF!</v>
      </c>
      <c r="H21" s="205" t="s">
        <v>17</v>
      </c>
      <c r="I21" s="205"/>
      <c r="J21" s="57" t="e">
        <f>_xlfn.XLOOKUP(M21,#REF!,#REF!,0)</f>
        <v>#REF!</v>
      </c>
      <c r="K21" s="57">
        <f t="shared" ca="1" si="1"/>
        <v>46217</v>
      </c>
      <c r="M21" s="51">
        <v>1612</v>
      </c>
    </row>
    <row r="22" spans="2:13" s="20" customFormat="1" ht="39" customHeight="1" outlineLevel="1" x14ac:dyDescent="0.25">
      <c r="B22" s="203" t="s">
        <v>16</v>
      </c>
      <c r="C22" s="204"/>
      <c r="D22" s="53" t="e">
        <f>IF(M22&gt;0,(UPPER(_xlfn.XLOOKUP(M22,#REF!,#REF!,"No encontrado",0))),"")</f>
        <v>#REF!</v>
      </c>
      <c r="E22" s="177" t="e">
        <f>IF(M22&gt;0,(PROPER(_xlfn.XLOOKUP(M22,#REF!,#REF!,"No encontrado",0))),"")</f>
        <v>#REF!</v>
      </c>
      <c r="F22" s="177"/>
      <c r="G22" s="56" t="e">
        <f>IF(M22&gt;0,(PROPER(_xlfn.XLOOKUP(M22,#REF!,#REF!,"No encontrado",0))),"")</f>
        <v>#REF!</v>
      </c>
      <c r="H22" s="205" t="s">
        <v>17</v>
      </c>
      <c r="I22" s="205"/>
      <c r="J22" s="57" t="e">
        <f>_xlfn.XLOOKUP(M22,#REF!,#REF!,0)</f>
        <v>#REF!</v>
      </c>
      <c r="K22" s="57">
        <f t="shared" ca="1" si="1"/>
        <v>46217</v>
      </c>
      <c r="M22" s="51">
        <v>1613</v>
      </c>
    </row>
    <row r="23" spans="2:13" s="20" customFormat="1" ht="39" customHeight="1" outlineLevel="1" x14ac:dyDescent="0.25">
      <c r="B23" s="203" t="s">
        <v>16</v>
      </c>
      <c r="C23" s="204"/>
      <c r="D23" s="53" t="e">
        <f>IF(M23&gt;0,(UPPER(_xlfn.XLOOKUP(M23,#REF!,#REF!,"No encontrado",0))),"")</f>
        <v>#REF!</v>
      </c>
      <c r="E23" s="177" t="e">
        <f>IF(M23&gt;0,(PROPER(_xlfn.XLOOKUP(M23,#REF!,#REF!,"No encontrado",0))),"")</f>
        <v>#REF!</v>
      </c>
      <c r="F23" s="177"/>
      <c r="G23" s="56" t="e">
        <f>IF(M23&gt;0,(PROPER(_xlfn.XLOOKUP(M23,#REF!,#REF!,"No encontrado",0))),"")</f>
        <v>#REF!</v>
      </c>
      <c r="H23" s="205" t="s">
        <v>17</v>
      </c>
      <c r="I23" s="205"/>
      <c r="J23" s="57" t="e">
        <f>_xlfn.XLOOKUP(M23,#REF!,#REF!,0)</f>
        <v>#REF!</v>
      </c>
      <c r="K23" s="57">
        <f t="shared" ca="1" si="1"/>
        <v>46217</v>
      </c>
      <c r="M23" s="51">
        <v>1614</v>
      </c>
    </row>
    <row r="24" spans="2:13" s="20" customFormat="1" ht="39" customHeight="1" outlineLevel="1" x14ac:dyDescent="0.25">
      <c r="B24" s="203" t="s">
        <v>16</v>
      </c>
      <c r="C24" s="204"/>
      <c r="D24" s="53" t="e">
        <f>IF(M24&gt;0,(UPPER(_xlfn.XLOOKUP(M24,#REF!,#REF!,"No encontrado",0))),"")</f>
        <v>#REF!</v>
      </c>
      <c r="E24" s="177" t="e">
        <f>IF(M24&gt;0,(PROPER(_xlfn.XLOOKUP(M24,#REF!,#REF!,"No encontrado",0))),"")</f>
        <v>#REF!</v>
      </c>
      <c r="F24" s="177"/>
      <c r="G24" s="56" t="e">
        <f>IF(M24&gt;0,(PROPER(_xlfn.XLOOKUP(M24,#REF!,#REF!,"No encontrado",0))),"")</f>
        <v>#REF!</v>
      </c>
      <c r="H24" s="205" t="s">
        <v>17</v>
      </c>
      <c r="I24" s="205"/>
      <c r="J24" s="57" t="e">
        <f>_xlfn.XLOOKUP(M24,#REF!,#REF!,0)</f>
        <v>#REF!</v>
      </c>
      <c r="K24" s="57">
        <f t="shared" ca="1" si="1"/>
        <v>46217</v>
      </c>
      <c r="M24" s="51">
        <v>1615</v>
      </c>
    </row>
    <row r="25" spans="2:13" s="20" customFormat="1" ht="39" customHeight="1" outlineLevel="1" x14ac:dyDescent="0.25">
      <c r="B25" s="203" t="s">
        <v>16</v>
      </c>
      <c r="C25" s="204"/>
      <c r="D25" s="53" t="e">
        <f>IF(M25&gt;0,(UPPER(_xlfn.XLOOKUP(M25,#REF!,#REF!,"No encontrado",0))),"")</f>
        <v>#REF!</v>
      </c>
      <c r="E25" s="177" t="e">
        <f>IF(M25&gt;0,(PROPER(_xlfn.XLOOKUP(M25,#REF!,#REF!,"No encontrado",0))),"")</f>
        <v>#REF!</v>
      </c>
      <c r="F25" s="177"/>
      <c r="G25" s="56" t="e">
        <f>IF(M25&gt;0,(PROPER(_xlfn.XLOOKUP(M25,#REF!,#REF!,"No encontrado",0))),"")</f>
        <v>#REF!</v>
      </c>
      <c r="H25" s="205" t="s">
        <v>17</v>
      </c>
      <c r="I25" s="205"/>
      <c r="J25" s="57" t="e">
        <f>_xlfn.XLOOKUP(M25,#REF!,#REF!,0)</f>
        <v>#REF!</v>
      </c>
      <c r="K25" s="57">
        <f t="shared" ca="1" si="1"/>
        <v>46217</v>
      </c>
      <c r="M25" s="51">
        <v>1616</v>
      </c>
    </row>
    <row r="26" spans="2:13" s="20" customFormat="1" ht="39" customHeight="1" outlineLevel="1" x14ac:dyDescent="0.25">
      <c r="B26" s="203" t="s">
        <v>16</v>
      </c>
      <c r="C26" s="204"/>
      <c r="D26" s="53" t="e">
        <f>IF(M26&gt;0,(UPPER(_xlfn.XLOOKUP(M26,#REF!,#REF!,"No encontrado",0))),"")</f>
        <v>#REF!</v>
      </c>
      <c r="E26" s="177" t="e">
        <f>IF(M26&gt;0,(PROPER(_xlfn.XLOOKUP(M26,#REF!,#REF!,"No encontrado",0))),"")</f>
        <v>#REF!</v>
      </c>
      <c r="F26" s="177"/>
      <c r="G26" s="56" t="e">
        <f>IF(M26&gt;0,(PROPER(_xlfn.XLOOKUP(M26,#REF!,#REF!,"No encontrado",0))),"")</f>
        <v>#REF!</v>
      </c>
      <c r="H26" s="205" t="s">
        <v>17</v>
      </c>
      <c r="I26" s="205"/>
      <c r="J26" s="57" t="e">
        <f>_xlfn.XLOOKUP(M26,#REF!,#REF!,0)</f>
        <v>#REF!</v>
      </c>
      <c r="K26" s="57">
        <f t="shared" ca="1" si="1"/>
        <v>46217</v>
      </c>
      <c r="M26" s="51">
        <v>1617</v>
      </c>
    </row>
    <row r="27" spans="2:13" s="20" customFormat="1" ht="39" customHeight="1" outlineLevel="1" x14ac:dyDescent="0.25">
      <c r="B27" s="203" t="s">
        <v>16</v>
      </c>
      <c r="C27" s="204"/>
      <c r="D27" s="53" t="e">
        <f>IF(M27&gt;0,(UPPER(_xlfn.XLOOKUP(M27,#REF!,#REF!,"No encontrado",0))),"")</f>
        <v>#REF!</v>
      </c>
      <c r="E27" s="177" t="e">
        <f>IF(M27&gt;0,(PROPER(_xlfn.XLOOKUP(M27,#REF!,#REF!,"No encontrado",0))),"")</f>
        <v>#REF!</v>
      </c>
      <c r="F27" s="177"/>
      <c r="G27" s="56" t="e">
        <f>IF(M27&gt;0,(PROPER(_xlfn.XLOOKUP(M27,#REF!,#REF!,"No encontrado",0))),"")</f>
        <v>#REF!</v>
      </c>
      <c r="H27" s="205" t="s">
        <v>17</v>
      </c>
      <c r="I27" s="205"/>
      <c r="J27" s="57" t="e">
        <f>_xlfn.XLOOKUP(M27,#REF!,#REF!,0)</f>
        <v>#REF!</v>
      </c>
      <c r="K27" s="57">
        <f t="shared" ca="1" si="1"/>
        <v>46217</v>
      </c>
      <c r="M27" s="51">
        <v>1643</v>
      </c>
    </row>
    <row r="28" spans="2:13" s="20" customFormat="1" ht="39" customHeight="1" outlineLevel="1" x14ac:dyDescent="0.25">
      <c r="B28" s="203"/>
      <c r="C28" s="204"/>
      <c r="D28" s="53"/>
      <c r="E28" s="177"/>
      <c r="F28" s="177"/>
      <c r="G28" s="56"/>
      <c r="H28" s="206" t="s">
        <v>19</v>
      </c>
      <c r="I28" s="207"/>
      <c r="J28" s="57" t="e">
        <f>_xlfn.XLOOKUP(M28,#REF!,#REF!,0)</f>
        <v>#REF!</v>
      </c>
      <c r="K28" s="57" t="str">
        <f t="shared" ca="1" si="1"/>
        <v/>
      </c>
      <c r="M28" s="51"/>
    </row>
    <row r="29" spans="2:13" s="20" customFormat="1" ht="39" customHeight="1" outlineLevel="1" x14ac:dyDescent="0.25">
      <c r="B29" s="203"/>
      <c r="C29" s="204"/>
      <c r="D29" s="53" t="str">
        <f>IF(M29&gt;0,(UPPER(_xlfn.XLOOKUP(M29,#REF!,#REF!,"No encontrado",0))),"")</f>
        <v/>
      </c>
      <c r="E29" s="177" t="str">
        <f>IF(M29&gt;0,(PROPER(_xlfn.XLOOKUP(M29,#REF!,#REF!,"No encontrado",0))),"")</f>
        <v/>
      </c>
      <c r="F29" s="177"/>
      <c r="G29" s="56" t="str">
        <f>IF(M29&gt;0,(PROPER(_xlfn.XLOOKUP(M29,#REF!,#REF!,"No encontrado",0))),"")</f>
        <v/>
      </c>
      <c r="H29" s="208"/>
      <c r="I29" s="209"/>
      <c r="J29" s="57" t="e">
        <f>_xlfn.XLOOKUP(M29,#REF!,#REF!,0)</f>
        <v>#REF!</v>
      </c>
      <c r="K29" s="57" t="str">
        <f t="shared" ca="1" si="1"/>
        <v/>
      </c>
      <c r="M29" s="51"/>
    </row>
    <row r="30" spans="2:13" s="20" customFormat="1" ht="39" customHeight="1" outlineLevel="1" x14ac:dyDescent="0.25">
      <c r="B30" s="203"/>
      <c r="C30" s="204"/>
      <c r="D30" s="53"/>
      <c r="E30" s="177"/>
      <c r="F30" s="177"/>
      <c r="G30" s="56"/>
      <c r="H30" s="205"/>
      <c r="I30" s="205"/>
      <c r="J30" s="57"/>
      <c r="K30" s="57"/>
      <c r="M30" s="51"/>
    </row>
    <row r="31" spans="2:13" s="20" customFormat="1" ht="39" customHeight="1" outlineLevel="1" x14ac:dyDescent="0.25">
      <c r="B31" s="203"/>
      <c r="C31" s="204"/>
      <c r="D31" s="53"/>
      <c r="E31" s="177"/>
      <c r="F31" s="177"/>
      <c r="G31" s="56"/>
      <c r="H31" s="205"/>
      <c r="I31" s="205"/>
      <c r="J31" s="57"/>
      <c r="K31" s="57"/>
      <c r="M31" s="51"/>
    </row>
    <row r="32" spans="2:13" s="20" customFormat="1" ht="39" customHeight="1" outlineLevel="1" x14ac:dyDescent="0.25">
      <c r="B32" s="203"/>
      <c r="C32" s="204"/>
      <c r="D32" s="53"/>
      <c r="E32" s="177"/>
      <c r="F32" s="177"/>
      <c r="G32" s="56"/>
      <c r="H32" s="205"/>
      <c r="I32" s="205"/>
      <c r="J32" s="57"/>
      <c r="K32" s="57"/>
      <c r="M32" s="51"/>
    </row>
    <row r="33" spans="1:16" s="20" customFormat="1" ht="39" customHeight="1" outlineLevel="1" x14ac:dyDescent="0.25">
      <c r="B33" s="202"/>
      <c r="C33" s="202"/>
      <c r="D33" s="53"/>
      <c r="E33" s="177"/>
      <c r="F33" s="177"/>
      <c r="G33" s="53"/>
      <c r="H33" s="177"/>
      <c r="I33" s="177"/>
      <c r="J33" s="57"/>
      <c r="K33" s="57"/>
      <c r="M33" s="34"/>
    </row>
    <row r="34" spans="1:16" s="20" customFormat="1" ht="39" customHeight="1" outlineLevel="1" x14ac:dyDescent="0.25">
      <c r="B34" s="202"/>
      <c r="C34" s="202"/>
      <c r="D34" s="53"/>
      <c r="E34" s="177"/>
      <c r="F34" s="177"/>
      <c r="G34" s="53"/>
      <c r="H34" s="177"/>
      <c r="I34" s="177"/>
      <c r="J34" s="54"/>
      <c r="K34" s="54"/>
      <c r="M34" s="34"/>
    </row>
    <row r="35" spans="1:16" s="20" customFormat="1" ht="39" hidden="1" customHeight="1" x14ac:dyDescent="0.25">
      <c r="B35" s="203"/>
      <c r="C35" s="204"/>
      <c r="D35" s="53"/>
      <c r="E35" s="177"/>
      <c r="F35" s="177"/>
      <c r="G35" s="53"/>
      <c r="H35" s="177"/>
      <c r="I35" s="177"/>
      <c r="J35" s="54" t="e">
        <f>_xlfn.XLOOKUP(M35,#REF!,#REF!,0)</f>
        <v>#REF!</v>
      </c>
      <c r="K35" s="54" t="str">
        <f t="shared" ca="1" si="1"/>
        <v/>
      </c>
      <c r="M35" s="34"/>
    </row>
    <row r="36" spans="1:16" s="20" customFormat="1" ht="18.75" customHeight="1" x14ac:dyDescent="0.25">
      <c r="H36" s="199"/>
      <c r="I36" s="199"/>
      <c r="M36" s="200"/>
      <c r="N36" s="200"/>
      <c r="O36" s="200"/>
      <c r="P36" s="200"/>
    </row>
    <row r="37" spans="1:16" s="20" customFormat="1" ht="24.75" customHeight="1" x14ac:dyDescent="0.25">
      <c r="B37" s="162" t="s">
        <v>20</v>
      </c>
      <c r="C37" s="164">
        <v>17</v>
      </c>
      <c r="D37" s="166" t="s">
        <v>21</v>
      </c>
      <c r="E37" s="164">
        <v>17</v>
      </c>
      <c r="F37" s="166" t="s">
        <v>22</v>
      </c>
      <c r="G37" s="166"/>
      <c r="H37" s="168" t="s">
        <v>23</v>
      </c>
      <c r="I37" s="168"/>
      <c r="J37" s="168"/>
      <c r="K37" s="169"/>
      <c r="M37" s="201"/>
      <c r="N37" s="201"/>
      <c r="O37" s="201"/>
      <c r="P37" s="201"/>
    </row>
    <row r="38" spans="1:16" s="20" customFormat="1" ht="24.75" customHeight="1" x14ac:dyDescent="0.25">
      <c r="B38" s="163"/>
      <c r="C38" s="165"/>
      <c r="D38" s="167"/>
      <c r="E38" s="165"/>
      <c r="F38" s="167"/>
      <c r="G38" s="167"/>
      <c r="H38" s="170"/>
      <c r="I38" s="170"/>
      <c r="J38" s="170"/>
      <c r="K38" s="171"/>
      <c r="M38" s="201"/>
      <c r="N38" s="201"/>
      <c r="O38" s="201"/>
      <c r="P38" s="201"/>
    </row>
    <row r="39" spans="1:16" s="20" customFormat="1" ht="8.25" customHeight="1" x14ac:dyDescent="0.25">
      <c r="I39" s="20" t="s">
        <v>24</v>
      </c>
    </row>
    <row r="40" spans="1:16" s="20" customFormat="1" ht="27.75" customHeight="1" x14ac:dyDescent="0.25">
      <c r="C40" s="148" t="s">
        <v>25</v>
      </c>
      <c r="D40" s="149"/>
      <c r="E40" s="149"/>
      <c r="F40" s="150"/>
      <c r="G40" s="151" t="s">
        <v>26</v>
      </c>
      <c r="H40" s="149"/>
      <c r="I40" s="149"/>
      <c r="J40" s="149"/>
      <c r="M40" s="168" t="s">
        <v>27</v>
      </c>
      <c r="N40" s="168"/>
      <c r="O40" s="168"/>
      <c r="P40" s="169"/>
    </row>
    <row r="41" spans="1:16" s="20" customFormat="1" ht="34.5" customHeight="1" x14ac:dyDescent="0.25">
      <c r="C41" s="152"/>
      <c r="D41" s="153"/>
      <c r="E41" s="153"/>
      <c r="F41" s="154"/>
      <c r="G41" s="161" t="s">
        <v>28</v>
      </c>
      <c r="H41" s="161"/>
      <c r="I41" s="161"/>
      <c r="J41" s="161"/>
      <c r="M41" s="170"/>
      <c r="N41" s="170"/>
      <c r="O41" s="170"/>
      <c r="P41" s="171"/>
    </row>
    <row r="42" spans="1:16" s="20" customFormat="1" ht="22.5" customHeight="1" x14ac:dyDescent="0.25">
      <c r="C42" s="158" t="s">
        <v>29</v>
      </c>
      <c r="D42" s="159"/>
      <c r="E42" s="159"/>
      <c r="F42" s="160"/>
      <c r="G42" s="161" t="s">
        <v>30</v>
      </c>
      <c r="H42" s="161"/>
      <c r="I42" s="161"/>
      <c r="J42" s="161"/>
    </row>
    <row r="43" spans="1:16" s="20" customFormat="1" ht="3.75" customHeight="1" x14ac:dyDescent="0.25"/>
    <row r="44" spans="1:16" ht="10.5" customHeight="1" x14ac:dyDescent="0.25">
      <c r="B44" s="27" t="s">
        <v>31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spans="1:16" ht="18" customHeight="1" x14ac:dyDescent="0.25">
      <c r="A45" s="146" t="s">
        <v>32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</row>
    <row r="46" spans="1:16" ht="26.25" customHeight="1" x14ac:dyDescent="0.25">
      <c r="A46" s="147" t="s">
        <v>33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</row>
    <row r="47" spans="1:16" ht="15.75" thickBot="1" x14ac:dyDescent="0.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 t="s">
        <v>34</v>
      </c>
    </row>
    <row r="48" spans="1:16" outlineLevel="1" x14ac:dyDescent="0.25"/>
    <row r="49" spans="1:12" outlineLevel="1" x14ac:dyDescent="0.25"/>
    <row r="50" spans="1:12" s="7" customFormat="1" ht="15" customHeight="1" outlineLevel="1" x14ac:dyDescent="0.25">
      <c r="C50" s="8"/>
      <c r="D50" s="9"/>
      <c r="E50" s="10"/>
      <c r="F50" s="10"/>
      <c r="G50" s="10"/>
      <c r="H50" s="10"/>
      <c r="I50" s="10"/>
      <c r="J50" s="10"/>
    </row>
    <row r="51" spans="1:12" s="7" customFormat="1" ht="28.5" customHeight="1" outlineLevel="1" x14ac:dyDescent="0.25">
      <c r="A51" s="188" t="s">
        <v>0</v>
      </c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</row>
    <row r="52" spans="1:12" s="7" customFormat="1" ht="14.25" customHeight="1" outlineLevel="1" x14ac:dyDescent="0.25">
      <c r="C52" s="12"/>
      <c r="D52" s="10"/>
      <c r="E52" s="10"/>
      <c r="F52" s="10"/>
      <c r="G52" s="10"/>
      <c r="H52" s="10"/>
      <c r="I52" s="10"/>
      <c r="J52" s="10"/>
      <c r="K52" s="13" t="s">
        <v>1</v>
      </c>
    </row>
    <row r="53" spans="1:12" ht="16.5" customHeight="1" outlineLevel="1" x14ac:dyDescent="0.25">
      <c r="B53" s="15"/>
      <c r="C53" s="15"/>
      <c r="D53" s="16"/>
      <c r="E53" s="16"/>
      <c r="F53" s="189" t="s">
        <v>2</v>
      </c>
      <c r="G53" s="191">
        <f ca="1">G4</f>
        <v>46217</v>
      </c>
      <c r="H53" s="191"/>
      <c r="I53" s="193" t="s">
        <v>3</v>
      </c>
      <c r="J53" s="195">
        <f>J4</f>
        <v>29</v>
      </c>
      <c r="K53" s="196"/>
    </row>
    <row r="54" spans="1:12" ht="16.5" customHeight="1" outlineLevel="1" x14ac:dyDescent="0.25">
      <c r="A54" s="15"/>
      <c r="B54" s="15"/>
      <c r="C54" s="15"/>
      <c r="D54" s="16"/>
      <c r="E54" s="16"/>
      <c r="F54" s="190"/>
      <c r="G54" s="192"/>
      <c r="H54" s="192"/>
      <c r="I54" s="194"/>
      <c r="J54" s="197"/>
      <c r="K54" s="198"/>
    </row>
    <row r="55" spans="1:12" ht="6" customHeight="1" outlineLevel="1" x14ac:dyDescent="0.25">
      <c r="C55" s="18"/>
      <c r="J55" s="181"/>
      <c r="K55" s="181"/>
    </row>
    <row r="56" spans="1:12" ht="21.75" customHeight="1" outlineLevel="1" x14ac:dyDescent="0.25">
      <c r="B56" s="182" t="s">
        <v>4</v>
      </c>
      <c r="C56" s="182"/>
      <c r="D56" s="182"/>
      <c r="E56" s="182"/>
      <c r="F56" s="182"/>
      <c r="G56" s="182"/>
      <c r="H56" s="182"/>
      <c r="I56" s="182"/>
      <c r="J56" s="182"/>
      <c r="K56" s="182"/>
      <c r="L56" s="19"/>
    </row>
    <row r="57" spans="1:12" ht="6.75" customHeight="1" outlineLevel="1" x14ac:dyDescent="0.25"/>
    <row r="58" spans="1:12" s="20" customFormat="1" ht="18.75" customHeight="1" outlineLevel="1" x14ac:dyDescent="0.25">
      <c r="B58" s="183" t="s">
        <v>5</v>
      </c>
      <c r="C58" s="184"/>
      <c r="D58" s="185" t="e">
        <f>D9</f>
        <v>#REF!</v>
      </c>
      <c r="E58" s="185"/>
      <c r="G58" s="186" t="s">
        <v>6</v>
      </c>
      <c r="H58" s="186"/>
      <c r="I58" s="187" t="str">
        <f>I9</f>
        <v>RECOLECCIÓN POR PARTE DEL CLIENTE</v>
      </c>
      <c r="J58" s="187"/>
      <c r="K58" s="187"/>
    </row>
    <row r="59" spans="1:12" s="20" customFormat="1" ht="6" customHeight="1" outlineLevel="1" x14ac:dyDescent="0.25"/>
    <row r="60" spans="1:12" s="20" customFormat="1" ht="40.5" customHeight="1" outlineLevel="1" x14ac:dyDescent="0.25">
      <c r="B60" s="178" t="s">
        <v>8</v>
      </c>
      <c r="C60" s="179"/>
      <c r="D60" s="22" t="s">
        <v>9</v>
      </c>
      <c r="E60" s="180" t="s">
        <v>10</v>
      </c>
      <c r="F60" s="179"/>
      <c r="G60" s="22" t="s">
        <v>11</v>
      </c>
      <c r="H60" s="180" t="s">
        <v>12</v>
      </c>
      <c r="I60" s="179"/>
      <c r="J60" s="22" t="s">
        <v>13</v>
      </c>
      <c r="K60" s="23" t="s">
        <v>14</v>
      </c>
    </row>
    <row r="61" spans="1:12" s="20" customFormat="1" ht="39.75" customHeight="1" outlineLevel="1" x14ac:dyDescent="0.25">
      <c r="B61" s="177" t="str">
        <f>B12</f>
        <v>Varios</v>
      </c>
      <c r="C61" s="177"/>
      <c r="D61" s="53" t="e">
        <f>D12</f>
        <v>#REF!</v>
      </c>
      <c r="E61" s="177" t="e">
        <f>E12</f>
        <v>#REF!</v>
      </c>
      <c r="F61" s="177"/>
      <c r="G61" s="53" t="e">
        <f>G12</f>
        <v>#REF!</v>
      </c>
      <c r="H61" s="176" t="str">
        <f>H12</f>
        <v>Ninguna</v>
      </c>
      <c r="I61" s="176"/>
      <c r="J61" s="54">
        <f>J12</f>
        <v>45636</v>
      </c>
      <c r="K61" s="54">
        <f>K12</f>
        <v>45714</v>
      </c>
    </row>
    <row r="62" spans="1:12" s="20" customFormat="1" ht="39.950000000000003" customHeight="1" outlineLevel="1" x14ac:dyDescent="0.25">
      <c r="B62" s="177" t="str">
        <f>B13</f>
        <v>Varios</v>
      </c>
      <c r="C62" s="177"/>
      <c r="D62" s="53" t="e">
        <f>D13</f>
        <v>#REF!</v>
      </c>
      <c r="E62" s="177" t="e">
        <f>E13</f>
        <v>#REF!</v>
      </c>
      <c r="F62" s="177"/>
      <c r="G62" s="53" t="e">
        <f>G13</f>
        <v>#REF!</v>
      </c>
      <c r="H62" s="176" t="str">
        <f>H13</f>
        <v>Ninguna</v>
      </c>
      <c r="I62" s="176"/>
      <c r="J62" s="54">
        <f>J13</f>
        <v>45636</v>
      </c>
      <c r="K62" s="54">
        <f>K13</f>
        <v>45714</v>
      </c>
    </row>
    <row r="63" spans="1:12" s="20" customFormat="1" ht="39.950000000000003" customHeight="1" outlineLevel="1" x14ac:dyDescent="0.25">
      <c r="B63" s="177" t="str">
        <f t="shared" ref="B63:B84" si="2">B14</f>
        <v>Varios</v>
      </c>
      <c r="C63" s="177"/>
      <c r="D63" s="53" t="e">
        <f t="shared" ref="D63:E78" si="3">D14</f>
        <v>#REF!</v>
      </c>
      <c r="E63" s="177" t="e">
        <f t="shared" si="3"/>
        <v>#REF!</v>
      </c>
      <c r="F63" s="177"/>
      <c r="G63" s="53" t="e">
        <f t="shared" ref="G63:H78" si="4">G14</f>
        <v>#REF!</v>
      </c>
      <c r="H63" s="176" t="str">
        <f t="shared" si="4"/>
        <v>Ninguna</v>
      </c>
      <c r="I63" s="176"/>
      <c r="J63" s="54">
        <f t="shared" ref="J63:K78" si="5">J14</f>
        <v>45636</v>
      </c>
      <c r="K63" s="54">
        <f t="shared" si="5"/>
        <v>45714</v>
      </c>
    </row>
    <row r="64" spans="1:12" s="20" customFormat="1" ht="39.950000000000003" customHeight="1" outlineLevel="1" x14ac:dyDescent="0.25">
      <c r="B64" s="177" t="str">
        <f t="shared" si="2"/>
        <v>Varios</v>
      </c>
      <c r="C64" s="177"/>
      <c r="D64" s="53" t="e">
        <f t="shared" si="3"/>
        <v>#REF!</v>
      </c>
      <c r="E64" s="177" t="e">
        <f t="shared" si="3"/>
        <v>#REF!</v>
      </c>
      <c r="F64" s="177"/>
      <c r="G64" s="53" t="e">
        <f t="shared" si="4"/>
        <v>#REF!</v>
      </c>
      <c r="H64" s="176" t="str">
        <f>H15</f>
        <v>Ninguna</v>
      </c>
      <c r="I64" s="176"/>
      <c r="J64" s="54" t="e">
        <f t="shared" si="5"/>
        <v>#REF!</v>
      </c>
      <c r="K64" s="54">
        <f t="shared" ca="1" si="5"/>
        <v>46217</v>
      </c>
    </row>
    <row r="65" spans="2:11" s="20" customFormat="1" ht="39.950000000000003" hidden="1" customHeight="1" outlineLevel="2" x14ac:dyDescent="0.25">
      <c r="B65" s="177" t="str">
        <f t="shared" si="2"/>
        <v>Varios</v>
      </c>
      <c r="C65" s="177"/>
      <c r="D65" s="53" t="e">
        <f t="shared" si="3"/>
        <v>#REF!</v>
      </c>
      <c r="E65" s="177" t="e">
        <f t="shared" si="3"/>
        <v>#REF!</v>
      </c>
      <c r="F65" s="177"/>
      <c r="G65" s="53" t="e">
        <f t="shared" si="4"/>
        <v>#REF!</v>
      </c>
      <c r="H65" s="176" t="str">
        <f>H16</f>
        <v>Ninguna</v>
      </c>
      <c r="I65" s="176"/>
      <c r="J65" s="54" t="e">
        <f t="shared" si="5"/>
        <v>#REF!</v>
      </c>
      <c r="K65" s="54">
        <f t="shared" ca="1" si="5"/>
        <v>46217</v>
      </c>
    </row>
    <row r="66" spans="2:11" s="20" customFormat="1" ht="39.75" hidden="1" customHeight="1" outlineLevel="2" x14ac:dyDescent="0.25">
      <c r="B66" s="177" t="str">
        <f t="shared" si="2"/>
        <v>Varios</v>
      </c>
      <c r="C66" s="177"/>
      <c r="D66" s="53" t="e">
        <f t="shared" si="3"/>
        <v>#REF!</v>
      </c>
      <c r="E66" s="177" t="e">
        <f t="shared" si="3"/>
        <v>#REF!</v>
      </c>
      <c r="F66" s="177"/>
      <c r="G66" s="53" t="e">
        <f t="shared" si="4"/>
        <v>#REF!</v>
      </c>
      <c r="H66" s="176" t="str">
        <f t="shared" si="4"/>
        <v>Ninguna</v>
      </c>
      <c r="I66" s="176"/>
      <c r="J66" s="54" t="e">
        <f t="shared" si="5"/>
        <v>#REF!</v>
      </c>
      <c r="K66" s="54">
        <f t="shared" ca="1" si="5"/>
        <v>46217</v>
      </c>
    </row>
    <row r="67" spans="2:11" s="20" customFormat="1" ht="39.75" hidden="1" customHeight="1" outlineLevel="2" x14ac:dyDescent="0.25">
      <c r="B67" s="176" t="str">
        <f t="shared" si="2"/>
        <v>Varios</v>
      </c>
      <c r="C67" s="176"/>
      <c r="D67" s="55" t="e">
        <f t="shared" si="3"/>
        <v>#REF!</v>
      </c>
      <c r="E67" s="176" t="e">
        <f t="shared" si="3"/>
        <v>#REF!</v>
      </c>
      <c r="F67" s="176"/>
      <c r="G67" s="55" t="e">
        <f t="shared" si="4"/>
        <v>#REF!</v>
      </c>
      <c r="H67" s="176" t="str">
        <f t="shared" si="4"/>
        <v>Ninguna</v>
      </c>
      <c r="I67" s="176"/>
      <c r="J67" s="54" t="e">
        <f t="shared" si="5"/>
        <v>#REF!</v>
      </c>
      <c r="K67" s="54">
        <f t="shared" ca="1" si="5"/>
        <v>46217</v>
      </c>
    </row>
    <row r="68" spans="2:11" s="20" customFormat="1" ht="39.75" hidden="1" customHeight="1" outlineLevel="2" x14ac:dyDescent="0.25">
      <c r="B68" s="176" t="str">
        <f t="shared" si="2"/>
        <v>Varios</v>
      </c>
      <c r="C68" s="176"/>
      <c r="D68" s="55" t="e">
        <f t="shared" si="3"/>
        <v>#REF!</v>
      </c>
      <c r="E68" s="176" t="e">
        <f t="shared" si="3"/>
        <v>#REF!</v>
      </c>
      <c r="F68" s="176"/>
      <c r="G68" s="55" t="e">
        <f t="shared" si="4"/>
        <v>#REF!</v>
      </c>
      <c r="H68" s="176" t="str">
        <f t="shared" si="4"/>
        <v>Ninguna</v>
      </c>
      <c r="I68" s="176"/>
      <c r="J68" s="54" t="e">
        <f t="shared" si="5"/>
        <v>#REF!</v>
      </c>
      <c r="K68" s="54">
        <f t="shared" ca="1" si="5"/>
        <v>46217</v>
      </c>
    </row>
    <row r="69" spans="2:11" s="20" customFormat="1" ht="39.75" hidden="1" customHeight="1" outlineLevel="2" x14ac:dyDescent="0.25">
      <c r="B69" s="176" t="str">
        <f t="shared" si="2"/>
        <v>Varios</v>
      </c>
      <c r="C69" s="176"/>
      <c r="D69" s="55" t="e">
        <f t="shared" si="3"/>
        <v>#REF!</v>
      </c>
      <c r="E69" s="176" t="e">
        <f t="shared" si="3"/>
        <v>#REF!</v>
      </c>
      <c r="F69" s="176"/>
      <c r="G69" s="55" t="e">
        <f t="shared" si="4"/>
        <v>#REF!</v>
      </c>
      <c r="H69" s="176" t="str">
        <f t="shared" si="4"/>
        <v>Ninguna</v>
      </c>
      <c r="I69" s="176"/>
      <c r="J69" s="54" t="e">
        <f t="shared" si="5"/>
        <v>#REF!</v>
      </c>
      <c r="K69" s="54">
        <f t="shared" ca="1" si="5"/>
        <v>46217</v>
      </c>
    </row>
    <row r="70" spans="2:11" s="20" customFormat="1" ht="39.75" hidden="1" customHeight="1" outlineLevel="2" x14ac:dyDescent="0.25">
      <c r="B70" s="172" t="str">
        <f t="shared" si="2"/>
        <v>Varios</v>
      </c>
      <c r="C70" s="173"/>
      <c r="D70" s="36" t="e">
        <f t="shared" si="3"/>
        <v>#REF!</v>
      </c>
      <c r="E70" s="173" t="e">
        <f t="shared" si="3"/>
        <v>#REF!</v>
      </c>
      <c r="F70" s="173"/>
      <c r="G70" s="36" t="e">
        <f t="shared" si="4"/>
        <v>#REF!</v>
      </c>
      <c r="H70" s="173" t="str">
        <f t="shared" si="4"/>
        <v>Ninguna</v>
      </c>
      <c r="I70" s="173"/>
      <c r="J70" s="32" t="e">
        <f t="shared" si="5"/>
        <v>#REF!</v>
      </c>
      <c r="K70" s="33">
        <f t="shared" ca="1" si="5"/>
        <v>46217</v>
      </c>
    </row>
    <row r="71" spans="2:11" s="20" customFormat="1" ht="39.75" hidden="1" customHeight="1" outlineLevel="2" x14ac:dyDescent="0.25">
      <c r="B71" s="172" t="str">
        <f t="shared" si="2"/>
        <v>Varios</v>
      </c>
      <c r="C71" s="173"/>
      <c r="D71" s="36" t="e">
        <f t="shared" si="3"/>
        <v>#REF!</v>
      </c>
      <c r="E71" s="173" t="e">
        <f t="shared" si="3"/>
        <v>#REF!</v>
      </c>
      <c r="F71" s="173"/>
      <c r="G71" s="36" t="e">
        <f t="shared" si="4"/>
        <v>#REF!</v>
      </c>
      <c r="H71" s="173" t="str">
        <f t="shared" si="4"/>
        <v>Ninguna</v>
      </c>
      <c r="I71" s="173"/>
      <c r="J71" s="32" t="e">
        <f t="shared" si="5"/>
        <v>#REF!</v>
      </c>
      <c r="K71" s="33">
        <f t="shared" ca="1" si="5"/>
        <v>46217</v>
      </c>
    </row>
    <row r="72" spans="2:11" s="20" customFormat="1" ht="39.75" hidden="1" customHeight="1" outlineLevel="2" x14ac:dyDescent="0.25">
      <c r="B72" s="172" t="str">
        <f t="shared" si="2"/>
        <v>Varios</v>
      </c>
      <c r="C72" s="173"/>
      <c r="D72" s="36" t="e">
        <f t="shared" si="3"/>
        <v>#REF!</v>
      </c>
      <c r="E72" s="173" t="e">
        <f t="shared" si="3"/>
        <v>#REF!</v>
      </c>
      <c r="F72" s="173"/>
      <c r="G72" s="36" t="e">
        <f t="shared" si="4"/>
        <v>#REF!</v>
      </c>
      <c r="H72" s="173" t="str">
        <f t="shared" si="4"/>
        <v>Ninguna</v>
      </c>
      <c r="I72" s="173"/>
      <c r="J72" s="32" t="e">
        <f t="shared" si="5"/>
        <v>#REF!</v>
      </c>
      <c r="K72" s="33">
        <f t="shared" ca="1" si="5"/>
        <v>46217</v>
      </c>
    </row>
    <row r="73" spans="2:11" s="20" customFormat="1" ht="39.75" hidden="1" customHeight="1" outlineLevel="2" x14ac:dyDescent="0.25">
      <c r="B73" s="172" t="str">
        <f t="shared" si="2"/>
        <v>Varios</v>
      </c>
      <c r="C73" s="173"/>
      <c r="D73" s="36" t="e">
        <f t="shared" si="3"/>
        <v>#REF!</v>
      </c>
      <c r="E73" s="173" t="e">
        <f t="shared" si="3"/>
        <v>#REF!</v>
      </c>
      <c r="F73" s="173"/>
      <c r="G73" s="36" t="e">
        <f t="shared" si="4"/>
        <v>#REF!</v>
      </c>
      <c r="H73" s="173" t="str">
        <f t="shared" si="4"/>
        <v>Ninguna</v>
      </c>
      <c r="I73" s="173"/>
      <c r="J73" s="32" t="e">
        <f t="shared" si="5"/>
        <v>#REF!</v>
      </c>
      <c r="K73" s="33">
        <f t="shared" ca="1" si="5"/>
        <v>46217</v>
      </c>
    </row>
    <row r="74" spans="2:11" s="20" customFormat="1" ht="39.75" hidden="1" customHeight="1" outlineLevel="2" x14ac:dyDescent="0.25">
      <c r="B74" s="172" t="str">
        <f t="shared" si="2"/>
        <v>Varios</v>
      </c>
      <c r="C74" s="173"/>
      <c r="D74" s="36" t="e">
        <f t="shared" si="3"/>
        <v>#REF!</v>
      </c>
      <c r="E74" s="173" t="e">
        <f t="shared" si="3"/>
        <v>#REF!</v>
      </c>
      <c r="F74" s="173"/>
      <c r="G74" s="36" t="e">
        <f t="shared" si="4"/>
        <v>#REF!</v>
      </c>
      <c r="H74" s="173" t="str">
        <f t="shared" si="4"/>
        <v>Ninguna</v>
      </c>
      <c r="I74" s="173"/>
      <c r="J74" s="32" t="e">
        <f t="shared" si="5"/>
        <v>#REF!</v>
      </c>
      <c r="K74" s="33">
        <f t="shared" ca="1" si="5"/>
        <v>46217</v>
      </c>
    </row>
    <row r="75" spans="2:11" s="20" customFormat="1" ht="39.75" hidden="1" customHeight="1" outlineLevel="2" x14ac:dyDescent="0.25">
      <c r="B75" s="172" t="str">
        <f t="shared" si="2"/>
        <v>Varios</v>
      </c>
      <c r="C75" s="173"/>
      <c r="D75" s="36" t="e">
        <f t="shared" si="3"/>
        <v>#REF!</v>
      </c>
      <c r="E75" s="173" t="e">
        <f t="shared" si="3"/>
        <v>#REF!</v>
      </c>
      <c r="F75" s="173"/>
      <c r="G75" s="36" t="e">
        <f t="shared" si="4"/>
        <v>#REF!</v>
      </c>
      <c r="H75" s="173" t="str">
        <f t="shared" si="4"/>
        <v>Ninguna</v>
      </c>
      <c r="I75" s="173"/>
      <c r="J75" s="32" t="e">
        <f t="shared" si="5"/>
        <v>#REF!</v>
      </c>
      <c r="K75" s="33">
        <f t="shared" ca="1" si="5"/>
        <v>46217</v>
      </c>
    </row>
    <row r="76" spans="2:11" s="20" customFormat="1" ht="39.75" hidden="1" customHeight="1" outlineLevel="2" x14ac:dyDescent="0.25">
      <c r="B76" s="172" t="str">
        <f t="shared" si="2"/>
        <v>Varios</v>
      </c>
      <c r="C76" s="173"/>
      <c r="D76" s="36" t="e">
        <f t="shared" si="3"/>
        <v>#REF!</v>
      </c>
      <c r="E76" s="173" t="e">
        <f t="shared" si="3"/>
        <v>#REF!</v>
      </c>
      <c r="F76" s="173"/>
      <c r="G76" s="36" t="e">
        <f t="shared" si="4"/>
        <v>#REF!</v>
      </c>
      <c r="H76" s="173" t="str">
        <f t="shared" si="4"/>
        <v>Ninguna</v>
      </c>
      <c r="I76" s="173"/>
      <c r="J76" s="32" t="e">
        <f t="shared" si="5"/>
        <v>#REF!</v>
      </c>
      <c r="K76" s="33">
        <f t="shared" ca="1" si="5"/>
        <v>46217</v>
      </c>
    </row>
    <row r="77" spans="2:11" s="20" customFormat="1" ht="39.75" hidden="1" customHeight="1" outlineLevel="2" x14ac:dyDescent="0.25">
      <c r="B77" s="172">
        <f t="shared" si="2"/>
        <v>0</v>
      </c>
      <c r="C77" s="173"/>
      <c r="D77" s="36">
        <f t="shared" si="3"/>
        <v>0</v>
      </c>
      <c r="E77" s="173">
        <f t="shared" si="3"/>
        <v>0</v>
      </c>
      <c r="F77" s="173"/>
      <c r="G77" s="36">
        <f t="shared" si="4"/>
        <v>0</v>
      </c>
      <c r="H77" s="173" t="str">
        <f t="shared" si="4"/>
        <v xml:space="preserve">Se entrega todas las muestras incluidas las que no se ensayaron en nyce </v>
      </c>
      <c r="I77" s="173"/>
      <c r="J77" s="32" t="e">
        <f t="shared" si="5"/>
        <v>#REF!</v>
      </c>
      <c r="K77" s="33" t="str">
        <f t="shared" ca="1" si="5"/>
        <v/>
      </c>
    </row>
    <row r="78" spans="2:11" s="20" customFormat="1" ht="39.75" hidden="1" customHeight="1" outlineLevel="2" x14ac:dyDescent="0.25">
      <c r="B78" s="172">
        <f t="shared" si="2"/>
        <v>0</v>
      </c>
      <c r="C78" s="173"/>
      <c r="D78" s="36" t="str">
        <f t="shared" si="3"/>
        <v/>
      </c>
      <c r="E78" s="173" t="str">
        <f t="shared" si="3"/>
        <v/>
      </c>
      <c r="F78" s="173"/>
      <c r="G78" s="36" t="str">
        <f t="shared" si="4"/>
        <v/>
      </c>
      <c r="H78" s="173">
        <f t="shared" si="4"/>
        <v>0</v>
      </c>
      <c r="I78" s="173"/>
      <c r="J78" s="32" t="e">
        <f t="shared" si="5"/>
        <v>#REF!</v>
      </c>
      <c r="K78" s="33" t="str">
        <f t="shared" ca="1" si="5"/>
        <v/>
      </c>
    </row>
    <row r="79" spans="2:11" s="20" customFormat="1" ht="39.75" hidden="1" customHeight="1" outlineLevel="2" x14ac:dyDescent="0.25">
      <c r="B79" s="172">
        <f t="shared" si="2"/>
        <v>0</v>
      </c>
      <c r="C79" s="173"/>
      <c r="D79" s="36">
        <f t="shared" ref="D79:E84" si="6">D30</f>
        <v>0</v>
      </c>
      <c r="E79" s="173">
        <f t="shared" si="6"/>
        <v>0</v>
      </c>
      <c r="F79" s="173"/>
      <c r="G79" s="36">
        <f t="shared" ref="G79:H84" si="7">G30</f>
        <v>0</v>
      </c>
      <c r="H79" s="173">
        <f t="shared" si="7"/>
        <v>0</v>
      </c>
      <c r="I79" s="173"/>
      <c r="J79" s="32">
        <f t="shared" ref="J79:K84" si="8">J30</f>
        <v>0</v>
      </c>
      <c r="K79" s="33">
        <f t="shared" si="8"/>
        <v>0</v>
      </c>
    </row>
    <row r="80" spans="2:11" s="20" customFormat="1" ht="39.75" hidden="1" customHeight="1" outlineLevel="2" x14ac:dyDescent="0.25">
      <c r="B80" s="172">
        <f t="shared" si="2"/>
        <v>0</v>
      </c>
      <c r="C80" s="173"/>
      <c r="D80" s="36">
        <f t="shared" si="6"/>
        <v>0</v>
      </c>
      <c r="E80" s="173">
        <f t="shared" si="6"/>
        <v>0</v>
      </c>
      <c r="F80" s="173"/>
      <c r="G80" s="36">
        <f t="shared" si="7"/>
        <v>0</v>
      </c>
      <c r="H80" s="173">
        <f t="shared" si="7"/>
        <v>0</v>
      </c>
      <c r="I80" s="173"/>
      <c r="J80" s="32">
        <f t="shared" si="8"/>
        <v>0</v>
      </c>
      <c r="K80" s="33">
        <f t="shared" si="8"/>
        <v>0</v>
      </c>
    </row>
    <row r="81" spans="1:12" s="20" customFormat="1" ht="39.75" hidden="1" customHeight="1" outlineLevel="2" x14ac:dyDescent="0.25">
      <c r="B81" s="172">
        <f t="shared" si="2"/>
        <v>0</v>
      </c>
      <c r="C81" s="173"/>
      <c r="D81" s="36">
        <f t="shared" si="6"/>
        <v>0</v>
      </c>
      <c r="E81" s="173">
        <f t="shared" si="6"/>
        <v>0</v>
      </c>
      <c r="F81" s="173"/>
      <c r="G81" s="36">
        <f t="shared" si="7"/>
        <v>0</v>
      </c>
      <c r="H81" s="173">
        <f t="shared" si="7"/>
        <v>0</v>
      </c>
      <c r="I81" s="173"/>
      <c r="J81" s="32">
        <f t="shared" si="8"/>
        <v>0</v>
      </c>
      <c r="K81" s="33">
        <f t="shared" si="8"/>
        <v>0</v>
      </c>
    </row>
    <row r="82" spans="1:12" s="20" customFormat="1" ht="39.75" hidden="1" customHeight="1" outlineLevel="2" x14ac:dyDescent="0.25">
      <c r="B82" s="172">
        <f t="shared" si="2"/>
        <v>0</v>
      </c>
      <c r="C82" s="173"/>
      <c r="D82" s="36">
        <f t="shared" si="6"/>
        <v>0</v>
      </c>
      <c r="E82" s="173">
        <f t="shared" si="6"/>
        <v>0</v>
      </c>
      <c r="F82" s="173"/>
      <c r="G82" s="36">
        <f t="shared" si="7"/>
        <v>0</v>
      </c>
      <c r="H82" s="173">
        <f t="shared" si="7"/>
        <v>0</v>
      </c>
      <c r="I82" s="173"/>
      <c r="J82" s="32">
        <f t="shared" si="8"/>
        <v>0</v>
      </c>
      <c r="K82" s="33">
        <f t="shared" si="8"/>
        <v>0</v>
      </c>
    </row>
    <row r="83" spans="1:12" s="20" customFormat="1" ht="39.75" hidden="1" customHeight="1" outlineLevel="2" x14ac:dyDescent="0.25">
      <c r="B83" s="172">
        <f t="shared" si="2"/>
        <v>0</v>
      </c>
      <c r="C83" s="173"/>
      <c r="D83" s="36">
        <f t="shared" si="6"/>
        <v>0</v>
      </c>
      <c r="E83" s="173">
        <f t="shared" si="6"/>
        <v>0</v>
      </c>
      <c r="F83" s="173"/>
      <c r="G83" s="36">
        <f t="shared" si="7"/>
        <v>0</v>
      </c>
      <c r="H83" s="173">
        <f t="shared" si="7"/>
        <v>0</v>
      </c>
      <c r="I83" s="173"/>
      <c r="J83" s="32">
        <f t="shared" si="8"/>
        <v>0</v>
      </c>
      <c r="K83" s="33">
        <f t="shared" si="8"/>
        <v>0</v>
      </c>
    </row>
    <row r="84" spans="1:12" s="20" customFormat="1" ht="39.75" hidden="1" customHeight="1" outlineLevel="2" x14ac:dyDescent="0.25">
      <c r="B84" s="172">
        <f t="shared" si="2"/>
        <v>0</v>
      </c>
      <c r="C84" s="173"/>
      <c r="D84" s="36">
        <f t="shared" si="6"/>
        <v>0</v>
      </c>
      <c r="E84" s="173">
        <f t="shared" si="6"/>
        <v>0</v>
      </c>
      <c r="F84" s="173"/>
      <c r="G84" s="36">
        <f t="shared" si="7"/>
        <v>0</v>
      </c>
      <c r="H84" s="173" t="e">
        <f>#REF!</f>
        <v>#REF!</v>
      </c>
      <c r="I84" s="173"/>
      <c r="J84" s="32" t="e">
        <f t="shared" si="8"/>
        <v>#REF!</v>
      </c>
      <c r="K84" s="33" t="str">
        <f t="shared" ca="1" si="8"/>
        <v/>
      </c>
    </row>
    <row r="85" spans="1:12" s="20" customFormat="1" ht="39.75" customHeight="1" outlineLevel="1" collapsed="1" x14ac:dyDescent="0.25">
      <c r="B85" s="174">
        <f>B35</f>
        <v>0</v>
      </c>
      <c r="C85" s="175"/>
      <c r="D85" s="28">
        <f>D35</f>
        <v>0</v>
      </c>
      <c r="E85" s="175">
        <f>E35</f>
        <v>0</v>
      </c>
      <c r="F85" s="175"/>
      <c r="G85" s="28">
        <f>G35</f>
        <v>0</v>
      </c>
      <c r="H85" s="175"/>
      <c r="I85" s="175"/>
      <c r="J85" s="25" t="e">
        <f>J35</f>
        <v>#REF!</v>
      </c>
      <c r="K85" s="26" t="str">
        <f ca="1">K35</f>
        <v/>
      </c>
    </row>
    <row r="86" spans="1:12" s="20" customFormat="1" ht="18.75" customHeight="1" outlineLevel="1" x14ac:dyDescent="0.25"/>
    <row r="87" spans="1:12" s="20" customFormat="1" ht="24" customHeight="1" outlineLevel="1" x14ac:dyDescent="0.25">
      <c r="B87" s="162" t="s">
        <v>20</v>
      </c>
      <c r="C87" s="164">
        <f>C37</f>
        <v>17</v>
      </c>
      <c r="D87" s="166" t="s">
        <v>21</v>
      </c>
      <c r="E87" s="164">
        <f>E37</f>
        <v>17</v>
      </c>
      <c r="F87" s="166" t="s">
        <v>22</v>
      </c>
      <c r="G87" s="166"/>
      <c r="H87" s="168" t="str">
        <f>H37</f>
        <v>Todas las muestras fueron ensayadas, por lo tanto, ninguna se encuentra en buen estado estético, debido al procedimiento de ensayo y manipulación de la muestra.</v>
      </c>
      <c r="I87" s="168"/>
      <c r="J87" s="168"/>
      <c r="K87" s="169"/>
    </row>
    <row r="88" spans="1:12" s="20" customFormat="1" ht="24" customHeight="1" outlineLevel="1" x14ac:dyDescent="0.25">
      <c r="B88" s="163"/>
      <c r="C88" s="165"/>
      <c r="D88" s="167"/>
      <c r="E88" s="165"/>
      <c r="F88" s="167"/>
      <c r="G88" s="167"/>
      <c r="H88" s="170"/>
      <c r="I88" s="170"/>
      <c r="J88" s="170"/>
      <c r="K88" s="171"/>
    </row>
    <row r="89" spans="1:12" s="20" customFormat="1" ht="8.25" customHeight="1" outlineLevel="1" x14ac:dyDescent="0.25"/>
    <row r="90" spans="1:12" s="20" customFormat="1" ht="28.5" customHeight="1" outlineLevel="1" x14ac:dyDescent="0.25">
      <c r="C90" s="148" t="s">
        <v>25</v>
      </c>
      <c r="D90" s="149"/>
      <c r="E90" s="149"/>
      <c r="F90" s="150"/>
      <c r="G90" s="151" t="s">
        <v>26</v>
      </c>
      <c r="H90" s="149"/>
      <c r="I90" s="149"/>
      <c r="J90" s="149"/>
    </row>
    <row r="91" spans="1:12" s="20" customFormat="1" ht="33.75" customHeight="1" outlineLevel="1" x14ac:dyDescent="0.25">
      <c r="C91" s="152"/>
      <c r="D91" s="153"/>
      <c r="E91" s="153"/>
      <c r="F91" s="154"/>
      <c r="G91" s="155" t="str">
        <f>G41</f>
        <v>FIRMA</v>
      </c>
      <c r="H91" s="156"/>
      <c r="I91" s="156"/>
      <c r="J91" s="157"/>
    </row>
    <row r="92" spans="1:12" s="20" customFormat="1" ht="22.5" customHeight="1" outlineLevel="1" x14ac:dyDescent="0.25">
      <c r="C92" s="158" t="s">
        <v>29</v>
      </c>
      <c r="D92" s="159"/>
      <c r="E92" s="159"/>
      <c r="F92" s="160"/>
      <c r="G92" s="161" t="s">
        <v>30</v>
      </c>
      <c r="H92" s="161"/>
      <c r="I92" s="161"/>
      <c r="J92" s="161"/>
    </row>
    <row r="93" spans="1:12" s="20" customFormat="1" ht="3.75" customHeight="1" outlineLevel="1" x14ac:dyDescent="0.25"/>
    <row r="94" spans="1:12" ht="10.5" customHeight="1" outlineLevel="1" x14ac:dyDescent="0.25">
      <c r="B94" s="27" t="s">
        <v>31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</row>
    <row r="95" spans="1:12" ht="18" customHeight="1" outlineLevel="1" x14ac:dyDescent="0.25">
      <c r="A95" s="146" t="s">
        <v>32</v>
      </c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</row>
    <row r="96" spans="1:12" ht="26.25" customHeight="1" outlineLevel="1" x14ac:dyDescent="0.25">
      <c r="A96" s="147" t="s">
        <v>33</v>
      </c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</row>
    <row r="97" outlineLevel="1" x14ac:dyDescent="0.25"/>
    <row r="98" hidden="1" x14ac:dyDescent="0.25"/>
  </sheetData>
  <sheetProtection formatCells="0" formatColumns="0" formatRows="0" insertColumns="0" insertRows="0" insertHyperlinks="0" deleteColumns="0" deleteRows="0" sort="0" autoFilter="0" pivotTables="0"/>
  <mergeCells count="206">
    <mergeCell ref="B7:K7"/>
    <mergeCell ref="B9:C9"/>
    <mergeCell ref="D9:E9"/>
    <mergeCell ref="G9:H9"/>
    <mergeCell ref="I9:K9"/>
    <mergeCell ref="B11:C11"/>
    <mergeCell ref="E11:F11"/>
    <mergeCell ref="H11:I11"/>
    <mergeCell ref="A2:L2"/>
    <mergeCell ref="F4:F5"/>
    <mergeCell ref="G4:H5"/>
    <mergeCell ref="I4:I5"/>
    <mergeCell ref="J4:K5"/>
    <mergeCell ref="J6:K6"/>
    <mergeCell ref="B14:C14"/>
    <mergeCell ref="E14:F14"/>
    <mergeCell ref="H14:I14"/>
    <mergeCell ref="B15:C15"/>
    <mergeCell ref="E15:F15"/>
    <mergeCell ref="H15:I15"/>
    <mergeCell ref="B12:C12"/>
    <mergeCell ref="E12:F12"/>
    <mergeCell ref="H12:I12"/>
    <mergeCell ref="B13:C13"/>
    <mergeCell ref="E13:F13"/>
    <mergeCell ref="H13:I13"/>
    <mergeCell ref="B18:C18"/>
    <mergeCell ref="E18:F18"/>
    <mergeCell ref="H18:I18"/>
    <mergeCell ref="B19:C19"/>
    <mergeCell ref="E19:F19"/>
    <mergeCell ref="H19:I19"/>
    <mergeCell ref="B16:C16"/>
    <mergeCell ref="E16:F16"/>
    <mergeCell ref="H16:I16"/>
    <mergeCell ref="B17:C17"/>
    <mergeCell ref="E17:F17"/>
    <mergeCell ref="H17:I17"/>
    <mergeCell ref="B22:C22"/>
    <mergeCell ref="E22:F22"/>
    <mergeCell ref="H22:I22"/>
    <mergeCell ref="B23:C23"/>
    <mergeCell ref="E23:F23"/>
    <mergeCell ref="H23:I23"/>
    <mergeCell ref="B20:C20"/>
    <mergeCell ref="E20:F20"/>
    <mergeCell ref="H20:I20"/>
    <mergeCell ref="B21:C21"/>
    <mergeCell ref="E21:F21"/>
    <mergeCell ref="H21:I21"/>
    <mergeCell ref="B26:C26"/>
    <mergeCell ref="E26:F26"/>
    <mergeCell ref="H26:I26"/>
    <mergeCell ref="B27:C27"/>
    <mergeCell ref="E27:F27"/>
    <mergeCell ref="H27:I27"/>
    <mergeCell ref="B24:C24"/>
    <mergeCell ref="E24:F24"/>
    <mergeCell ref="H24:I24"/>
    <mergeCell ref="B25:C25"/>
    <mergeCell ref="E25:F25"/>
    <mergeCell ref="H25:I25"/>
    <mergeCell ref="B30:C30"/>
    <mergeCell ref="E30:F30"/>
    <mergeCell ref="H30:I30"/>
    <mergeCell ref="B31:C31"/>
    <mergeCell ref="E31:F31"/>
    <mergeCell ref="H31:I31"/>
    <mergeCell ref="B28:C28"/>
    <mergeCell ref="E28:F28"/>
    <mergeCell ref="B29:C29"/>
    <mergeCell ref="E29:F29"/>
    <mergeCell ref="H28:I29"/>
    <mergeCell ref="B34:C34"/>
    <mergeCell ref="E34:F34"/>
    <mergeCell ref="H34:I34"/>
    <mergeCell ref="B35:C35"/>
    <mergeCell ref="E35:F35"/>
    <mergeCell ref="H35:I35"/>
    <mergeCell ref="B32:C32"/>
    <mergeCell ref="E32:F32"/>
    <mergeCell ref="H32:I32"/>
    <mergeCell ref="B33:C33"/>
    <mergeCell ref="E33:F33"/>
    <mergeCell ref="H33:I33"/>
    <mergeCell ref="M40:P41"/>
    <mergeCell ref="C41:F41"/>
    <mergeCell ref="G41:J41"/>
    <mergeCell ref="C42:F42"/>
    <mergeCell ref="G42:J42"/>
    <mergeCell ref="H36:I36"/>
    <mergeCell ref="M36:P36"/>
    <mergeCell ref="B37:B38"/>
    <mergeCell ref="C37:C38"/>
    <mergeCell ref="D37:D38"/>
    <mergeCell ref="E37:E38"/>
    <mergeCell ref="F37:G38"/>
    <mergeCell ref="H37:K38"/>
    <mergeCell ref="M37:P38"/>
    <mergeCell ref="A45:L45"/>
    <mergeCell ref="A46:L46"/>
    <mergeCell ref="A51:L51"/>
    <mergeCell ref="F53:F54"/>
    <mergeCell ref="G53:H54"/>
    <mergeCell ref="I53:I54"/>
    <mergeCell ref="J53:K54"/>
    <mergeCell ref="C40:F40"/>
    <mergeCell ref="G40:J40"/>
    <mergeCell ref="B60:C60"/>
    <mergeCell ref="E60:F60"/>
    <mergeCell ref="H60:I60"/>
    <mergeCell ref="B61:C61"/>
    <mergeCell ref="E61:F61"/>
    <mergeCell ref="H61:I61"/>
    <mergeCell ref="J55:K55"/>
    <mergeCell ref="B56:K56"/>
    <mergeCell ref="B58:C58"/>
    <mergeCell ref="D58:E58"/>
    <mergeCell ref="G58:H58"/>
    <mergeCell ref="I58:K58"/>
    <mergeCell ref="B64:C64"/>
    <mergeCell ref="E64:F64"/>
    <mergeCell ref="H64:I64"/>
    <mergeCell ref="B65:C65"/>
    <mergeCell ref="E65:F65"/>
    <mergeCell ref="H65:I65"/>
    <mergeCell ref="B62:C62"/>
    <mergeCell ref="E62:F62"/>
    <mergeCell ref="H62:I62"/>
    <mergeCell ref="B63:C63"/>
    <mergeCell ref="E63:F63"/>
    <mergeCell ref="H63:I63"/>
    <mergeCell ref="B68:C68"/>
    <mergeCell ref="E68:F68"/>
    <mergeCell ref="H68:I68"/>
    <mergeCell ref="B69:C69"/>
    <mergeCell ref="E69:F69"/>
    <mergeCell ref="H69:I69"/>
    <mergeCell ref="B66:C66"/>
    <mergeCell ref="E66:F66"/>
    <mergeCell ref="H66:I66"/>
    <mergeCell ref="B67:C67"/>
    <mergeCell ref="E67:F67"/>
    <mergeCell ref="H67:I67"/>
    <mergeCell ref="B72:C72"/>
    <mergeCell ref="E72:F72"/>
    <mergeCell ref="H72:I72"/>
    <mergeCell ref="B73:C73"/>
    <mergeCell ref="E73:F73"/>
    <mergeCell ref="H73:I73"/>
    <mergeCell ref="B70:C70"/>
    <mergeCell ref="E70:F70"/>
    <mergeCell ref="H70:I70"/>
    <mergeCell ref="B71:C71"/>
    <mergeCell ref="E71:F71"/>
    <mergeCell ref="H71:I71"/>
    <mergeCell ref="B76:C76"/>
    <mergeCell ref="E76:F76"/>
    <mergeCell ref="H76:I76"/>
    <mergeCell ref="B77:C77"/>
    <mergeCell ref="E77:F77"/>
    <mergeCell ref="H77:I77"/>
    <mergeCell ref="B74:C74"/>
    <mergeCell ref="E74:F74"/>
    <mergeCell ref="H74:I74"/>
    <mergeCell ref="B75:C75"/>
    <mergeCell ref="E75:F75"/>
    <mergeCell ref="H75:I75"/>
    <mergeCell ref="B80:C80"/>
    <mergeCell ref="E80:F80"/>
    <mergeCell ref="H80:I80"/>
    <mergeCell ref="B81:C81"/>
    <mergeCell ref="E81:F81"/>
    <mergeCell ref="H81:I81"/>
    <mergeCell ref="B78:C78"/>
    <mergeCell ref="E78:F78"/>
    <mergeCell ref="H78:I78"/>
    <mergeCell ref="B79:C79"/>
    <mergeCell ref="E79:F79"/>
    <mergeCell ref="H79:I79"/>
    <mergeCell ref="B84:C84"/>
    <mergeCell ref="E84:F84"/>
    <mergeCell ref="H84:I84"/>
    <mergeCell ref="B85:C85"/>
    <mergeCell ref="E85:F85"/>
    <mergeCell ref="H85:I85"/>
    <mergeCell ref="B82:C82"/>
    <mergeCell ref="E82:F82"/>
    <mergeCell ref="H82:I82"/>
    <mergeCell ref="B83:C83"/>
    <mergeCell ref="E83:F83"/>
    <mergeCell ref="H83:I83"/>
    <mergeCell ref="A95:L95"/>
    <mergeCell ref="A96:L96"/>
    <mergeCell ref="C90:F90"/>
    <mergeCell ref="G90:J90"/>
    <mergeCell ref="C91:F91"/>
    <mergeCell ref="G91:J91"/>
    <mergeCell ref="C92:F92"/>
    <mergeCell ref="G92:J92"/>
    <mergeCell ref="B87:B88"/>
    <mergeCell ref="C87:C88"/>
    <mergeCell ref="D87:D88"/>
    <mergeCell ref="E87:E88"/>
    <mergeCell ref="F87:G88"/>
    <mergeCell ref="H87:K88"/>
  </mergeCells>
  <phoneticPr fontId="7" type="noConversion"/>
  <conditionalFormatting sqref="G91">
    <cfRule type="expression" dxfId="67" priority="5">
      <formula>$M$12</formula>
    </cfRule>
    <cfRule type="expression" dxfId="66" priority="6">
      <formula>M91&lt;1</formula>
    </cfRule>
  </conditionalFormatting>
  <conditionalFormatting sqref="G91:J91">
    <cfRule type="expression" dxfId="65" priority="4">
      <formula>$G$41&gt;1</formula>
    </cfRule>
    <cfRule type="expression" dxfId="64" priority="7">
      <formula>$G$41=$M$37</formula>
    </cfRule>
  </conditionalFormatting>
  <conditionalFormatting sqref="H12:I27 H28 H30:I35">
    <cfRule type="expression" dxfId="63" priority="1">
      <formula>M12&lt;1</formula>
    </cfRule>
    <cfRule type="cellIs" dxfId="62" priority="2" operator="lessThan">
      <formula>1</formula>
    </cfRule>
  </conditionalFormatting>
  <conditionalFormatting sqref="I9">
    <cfRule type="cellIs" dxfId="61" priority="10" stopIfTrue="1" operator="lessThan">
      <formula>1</formula>
    </cfRule>
  </conditionalFormatting>
  <conditionalFormatting sqref="J4:K5">
    <cfRule type="expression" dxfId="60" priority="3">
      <formula>_xlfn.XLOOKUP(J4,#REF!,#REF!)&gt;0</formula>
    </cfRule>
  </conditionalFormatting>
  <printOptions horizontalCentered="1"/>
  <pageMargins left="0.25" right="0.25" top="0.75" bottom="0.75" header="0.3" footer="0.3"/>
  <pageSetup scale="5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0FB7D4-1CF5-4118-AB34-30EFA0ED95DF}">
          <x14:formula1>
            <xm:f>DATOS!$D$20:$D$23</xm:f>
          </x14:formula1>
          <xm:sqref>I9:K9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3F52-581C-4EBD-9502-3D1B3B09184F}">
  <sheetPr codeName="Hoja1"/>
  <dimension ref="A1"/>
  <sheetViews>
    <sheetView workbookViewId="0">
      <selection sqref="A1:XFD1048576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E6BB-621D-4A86-89F4-DB4A9B6A36AB}">
  <sheetPr codeName="Hoja2">
    <pageSetUpPr fitToPage="1"/>
  </sheetPr>
  <dimension ref="D1:M54"/>
  <sheetViews>
    <sheetView topLeftCell="B1" workbookViewId="0">
      <selection activeCell="F52" sqref="F52:G52"/>
    </sheetView>
  </sheetViews>
  <sheetFormatPr baseColWidth="10" defaultColWidth="11.42578125" defaultRowHeight="15" x14ac:dyDescent="0.25"/>
  <cols>
    <col min="6" max="6" width="16.42578125" customWidth="1"/>
  </cols>
  <sheetData>
    <row r="1" spans="4:13" ht="15" customHeight="1" x14ac:dyDescent="0.25">
      <c r="D1" s="220" t="s">
        <v>35</v>
      </c>
      <c r="E1" s="220"/>
      <c r="F1" s="220"/>
      <c r="G1" s="220"/>
      <c r="H1" s="220"/>
      <c r="I1" s="220"/>
      <c r="J1" s="220"/>
      <c r="K1" s="220"/>
      <c r="L1" s="220"/>
      <c r="M1" s="220"/>
    </row>
    <row r="2" spans="4:13" ht="15" customHeight="1" x14ac:dyDescent="0.25">
      <c r="D2" s="220"/>
      <c r="E2" s="220"/>
      <c r="F2" s="220"/>
      <c r="G2" s="220"/>
      <c r="H2" s="220"/>
      <c r="I2" s="220"/>
      <c r="J2" s="220"/>
      <c r="K2" s="220"/>
      <c r="L2" s="220"/>
      <c r="M2" s="220"/>
    </row>
    <row r="3" spans="4:13" ht="15" customHeight="1" x14ac:dyDescent="0.25">
      <c r="D3" s="220"/>
      <c r="E3" s="220"/>
      <c r="F3" s="220"/>
      <c r="G3" s="220"/>
      <c r="H3" s="220"/>
      <c r="I3" s="220"/>
      <c r="J3" s="220"/>
      <c r="K3" s="220"/>
      <c r="L3" s="220"/>
      <c r="M3" s="220"/>
    </row>
    <row r="4" spans="4:13" ht="15" customHeight="1" x14ac:dyDescent="0.25">
      <c r="D4" s="220"/>
      <c r="E4" s="220"/>
      <c r="F4" s="220"/>
      <c r="G4" s="220"/>
      <c r="H4" s="220"/>
      <c r="I4" s="220"/>
      <c r="J4" s="220"/>
      <c r="K4" s="220"/>
      <c r="L4" s="220"/>
      <c r="M4" s="220"/>
    </row>
    <row r="5" spans="4:13" ht="30" x14ac:dyDescent="0.25">
      <c r="D5" s="85">
        <v>45701</v>
      </c>
      <c r="E5" s="77" t="s">
        <v>36</v>
      </c>
      <c r="F5" s="77" t="s">
        <v>37</v>
      </c>
      <c r="G5" s="77" t="s">
        <v>38</v>
      </c>
      <c r="H5" s="77">
        <v>25008</v>
      </c>
      <c r="I5" s="86" t="s">
        <v>39</v>
      </c>
      <c r="J5" s="86">
        <v>25</v>
      </c>
      <c r="K5" s="77" t="s">
        <v>40</v>
      </c>
      <c r="L5" s="77">
        <v>1</v>
      </c>
      <c r="M5" s="77" t="s">
        <v>41</v>
      </c>
    </row>
    <row r="6" spans="4:13" ht="30" x14ac:dyDescent="0.25">
      <c r="D6" s="85">
        <v>45701</v>
      </c>
      <c r="E6" s="77" t="s">
        <v>36</v>
      </c>
      <c r="F6" s="77" t="s">
        <v>37</v>
      </c>
      <c r="G6" s="77" t="s">
        <v>38</v>
      </c>
      <c r="H6" s="77">
        <v>25009</v>
      </c>
      <c r="I6" s="86" t="s">
        <v>39</v>
      </c>
      <c r="J6" s="86">
        <v>25</v>
      </c>
      <c r="K6" s="77" t="s">
        <v>40</v>
      </c>
      <c r="L6" s="77">
        <v>1</v>
      </c>
      <c r="M6" s="77" t="s">
        <v>41</v>
      </c>
    </row>
    <row r="7" spans="4:13" ht="30" x14ac:dyDescent="0.25">
      <c r="D7" s="85">
        <v>45701</v>
      </c>
      <c r="E7" s="77" t="s">
        <v>36</v>
      </c>
      <c r="F7" s="77" t="s">
        <v>37</v>
      </c>
      <c r="G7" s="77" t="s">
        <v>38</v>
      </c>
      <c r="H7" s="77">
        <v>25010</v>
      </c>
      <c r="I7" s="86" t="s">
        <v>39</v>
      </c>
      <c r="J7" s="86">
        <v>25</v>
      </c>
      <c r="K7" s="77" t="s">
        <v>40</v>
      </c>
      <c r="L7" s="77">
        <v>1</v>
      </c>
      <c r="M7" s="77" t="s">
        <v>41</v>
      </c>
    </row>
    <row r="8" spans="4:13" ht="45" x14ac:dyDescent="0.25">
      <c r="D8" s="85">
        <v>45719</v>
      </c>
      <c r="E8" s="77" t="s">
        <v>36</v>
      </c>
      <c r="F8" s="77" t="s">
        <v>42</v>
      </c>
      <c r="G8" s="77" t="s">
        <v>43</v>
      </c>
      <c r="H8" s="77">
        <v>20873</v>
      </c>
      <c r="I8" s="86" t="s">
        <v>39</v>
      </c>
      <c r="J8" s="86">
        <v>25</v>
      </c>
      <c r="K8" s="77" t="s">
        <v>44</v>
      </c>
      <c r="L8" s="77">
        <v>2</v>
      </c>
      <c r="M8" s="77" t="s">
        <v>45</v>
      </c>
    </row>
    <row r="9" spans="4:13" ht="45" x14ac:dyDescent="0.25">
      <c r="D9" s="85">
        <v>45719</v>
      </c>
      <c r="E9" s="77" t="s">
        <v>36</v>
      </c>
      <c r="F9" s="77" t="s">
        <v>42</v>
      </c>
      <c r="G9" s="77" t="s">
        <v>43</v>
      </c>
      <c r="H9" s="77">
        <v>20872</v>
      </c>
      <c r="I9" s="86" t="s">
        <v>39</v>
      </c>
      <c r="J9" s="86">
        <v>25</v>
      </c>
      <c r="K9" s="77" t="s">
        <v>44</v>
      </c>
      <c r="L9" s="77">
        <v>2</v>
      </c>
      <c r="M9" s="77" t="s">
        <v>45</v>
      </c>
    </row>
    <row r="10" spans="4:13" ht="45" x14ac:dyDescent="0.25">
      <c r="D10" s="85">
        <v>45719</v>
      </c>
      <c r="E10" s="77" t="s">
        <v>36</v>
      </c>
      <c r="F10" s="77" t="s">
        <v>42</v>
      </c>
      <c r="G10" s="77" t="s">
        <v>43</v>
      </c>
      <c r="H10" s="77">
        <v>20871</v>
      </c>
      <c r="I10" s="86" t="s">
        <v>39</v>
      </c>
      <c r="J10" s="86">
        <v>25</v>
      </c>
      <c r="K10" s="77" t="s">
        <v>44</v>
      </c>
      <c r="L10" s="77">
        <v>2</v>
      </c>
      <c r="M10" s="77" t="s">
        <v>45</v>
      </c>
    </row>
    <row r="11" spans="4:13" ht="45" x14ac:dyDescent="0.25">
      <c r="D11" s="85">
        <v>45719</v>
      </c>
      <c r="E11" s="77" t="s">
        <v>36</v>
      </c>
      <c r="F11" s="77" t="s">
        <v>46</v>
      </c>
      <c r="G11" s="77" t="s">
        <v>43</v>
      </c>
      <c r="H11" s="77">
        <v>20877</v>
      </c>
      <c r="I11" s="86" t="s">
        <v>39</v>
      </c>
      <c r="J11" s="86">
        <v>25</v>
      </c>
      <c r="K11" s="77" t="s">
        <v>44</v>
      </c>
      <c r="L11" s="77">
        <v>2</v>
      </c>
      <c r="M11" s="77" t="s">
        <v>45</v>
      </c>
    </row>
    <row r="12" spans="4:13" ht="45" x14ac:dyDescent="0.25">
      <c r="D12" s="85">
        <v>45719</v>
      </c>
      <c r="E12" s="77" t="s">
        <v>36</v>
      </c>
      <c r="F12" s="77" t="s">
        <v>46</v>
      </c>
      <c r="G12" s="77" t="s">
        <v>43</v>
      </c>
      <c r="H12" s="77">
        <v>20879</v>
      </c>
      <c r="I12" s="86" t="s">
        <v>39</v>
      </c>
      <c r="J12" s="86">
        <v>25</v>
      </c>
      <c r="K12" s="77" t="s">
        <v>44</v>
      </c>
      <c r="L12" s="77">
        <v>2</v>
      </c>
      <c r="M12" s="77" t="s">
        <v>45</v>
      </c>
    </row>
    <row r="13" spans="4:13" ht="45" x14ac:dyDescent="0.25">
      <c r="D13" s="85">
        <v>45719</v>
      </c>
      <c r="E13" s="77" t="s">
        <v>36</v>
      </c>
      <c r="F13" s="77" t="s">
        <v>46</v>
      </c>
      <c r="G13" s="77" t="s">
        <v>43</v>
      </c>
      <c r="H13" s="77">
        <v>20878</v>
      </c>
      <c r="I13" s="86" t="s">
        <v>39</v>
      </c>
      <c r="J13" s="86">
        <v>25</v>
      </c>
      <c r="K13" s="77" t="s">
        <v>44</v>
      </c>
      <c r="L13" s="77">
        <v>2</v>
      </c>
      <c r="M13" s="77" t="s">
        <v>45</v>
      </c>
    </row>
    <row r="14" spans="4:13" ht="45" x14ac:dyDescent="0.25">
      <c r="D14" s="85">
        <v>45719</v>
      </c>
      <c r="E14" s="77" t="s">
        <v>36</v>
      </c>
      <c r="F14" s="77" t="s">
        <v>47</v>
      </c>
      <c r="G14" s="77" t="s">
        <v>43</v>
      </c>
      <c r="H14" s="77">
        <v>20868</v>
      </c>
      <c r="I14" s="86" t="s">
        <v>39</v>
      </c>
      <c r="J14" s="86">
        <v>25</v>
      </c>
      <c r="K14" s="77" t="s">
        <v>44</v>
      </c>
      <c r="L14" s="77">
        <v>2</v>
      </c>
      <c r="M14" s="77" t="s">
        <v>45</v>
      </c>
    </row>
    <row r="15" spans="4:13" ht="45" x14ac:dyDescent="0.25">
      <c r="D15" s="85">
        <v>45719</v>
      </c>
      <c r="E15" s="77" t="s">
        <v>36</v>
      </c>
      <c r="F15" s="77" t="s">
        <v>47</v>
      </c>
      <c r="G15" s="77" t="s">
        <v>43</v>
      </c>
      <c r="H15" s="77">
        <v>20869</v>
      </c>
      <c r="I15" s="86" t="s">
        <v>39</v>
      </c>
      <c r="J15" s="86">
        <v>25</v>
      </c>
      <c r="K15" s="77" t="s">
        <v>44</v>
      </c>
      <c r="L15" s="77">
        <v>2</v>
      </c>
      <c r="M15" s="77" t="s">
        <v>45</v>
      </c>
    </row>
    <row r="16" spans="4:13" ht="45" x14ac:dyDescent="0.25">
      <c r="D16" s="85">
        <v>45719</v>
      </c>
      <c r="E16" s="77" t="s">
        <v>36</v>
      </c>
      <c r="F16" s="77" t="s">
        <v>47</v>
      </c>
      <c r="G16" s="77" t="s">
        <v>43</v>
      </c>
      <c r="H16" s="77">
        <v>20870</v>
      </c>
      <c r="I16" s="86" t="s">
        <v>39</v>
      </c>
      <c r="J16" s="86">
        <v>25</v>
      </c>
      <c r="K16" s="77" t="s">
        <v>44</v>
      </c>
      <c r="L16" s="77">
        <v>2</v>
      </c>
      <c r="M16" s="77" t="s">
        <v>45</v>
      </c>
    </row>
    <row r="17" spans="4:13" ht="45" x14ac:dyDescent="0.25">
      <c r="D17" s="85">
        <v>45719</v>
      </c>
      <c r="E17" s="77" t="s">
        <v>36</v>
      </c>
      <c r="F17" s="77" t="s">
        <v>47</v>
      </c>
      <c r="G17" s="77" t="s">
        <v>43</v>
      </c>
      <c r="H17" s="77">
        <v>20874</v>
      </c>
      <c r="I17" s="86" t="s">
        <v>39</v>
      </c>
      <c r="J17" s="86">
        <v>25</v>
      </c>
      <c r="K17" s="77" t="s">
        <v>44</v>
      </c>
      <c r="L17" s="77">
        <v>2</v>
      </c>
      <c r="M17" s="77" t="s">
        <v>45</v>
      </c>
    </row>
    <row r="18" spans="4:13" ht="45" x14ac:dyDescent="0.25">
      <c r="D18" s="85">
        <v>45719</v>
      </c>
      <c r="E18" s="77" t="s">
        <v>36</v>
      </c>
      <c r="F18" s="77" t="s">
        <v>47</v>
      </c>
      <c r="G18" s="77" t="s">
        <v>43</v>
      </c>
      <c r="H18" s="77">
        <v>20876</v>
      </c>
      <c r="I18" s="86" t="s">
        <v>39</v>
      </c>
      <c r="J18" s="86">
        <v>25</v>
      </c>
      <c r="K18" s="77" t="s">
        <v>44</v>
      </c>
      <c r="L18" s="77">
        <v>2</v>
      </c>
      <c r="M18" s="77" t="s">
        <v>45</v>
      </c>
    </row>
    <row r="19" spans="4:13" ht="45" x14ac:dyDescent="0.25">
      <c r="D19" s="85">
        <v>45719</v>
      </c>
      <c r="E19" s="77" t="s">
        <v>36</v>
      </c>
      <c r="F19" s="77" t="s">
        <v>47</v>
      </c>
      <c r="G19" s="77" t="s">
        <v>43</v>
      </c>
      <c r="H19" s="77">
        <v>20875</v>
      </c>
      <c r="I19" s="86" t="s">
        <v>39</v>
      </c>
      <c r="J19" s="86">
        <v>25</v>
      </c>
      <c r="K19" s="77" t="s">
        <v>44</v>
      </c>
      <c r="L19" s="77">
        <v>2</v>
      </c>
      <c r="M19" s="77" t="s">
        <v>45</v>
      </c>
    </row>
    <row r="20" spans="4:13" ht="30" x14ac:dyDescent="0.25">
      <c r="D20" s="85">
        <v>45567</v>
      </c>
      <c r="E20" s="77" t="s">
        <v>48</v>
      </c>
      <c r="F20" s="77" t="s">
        <v>49</v>
      </c>
      <c r="G20" s="86" t="s">
        <v>50</v>
      </c>
      <c r="H20" s="86">
        <v>21616</v>
      </c>
      <c r="I20" s="86" t="s">
        <v>39</v>
      </c>
      <c r="J20" s="86">
        <v>24</v>
      </c>
      <c r="K20" s="86" t="s">
        <v>51</v>
      </c>
      <c r="L20" s="77">
        <v>1</v>
      </c>
      <c r="M20" s="86" t="s">
        <v>52</v>
      </c>
    </row>
    <row r="21" spans="4:13" ht="30" x14ac:dyDescent="0.25">
      <c r="D21" s="85">
        <v>45567</v>
      </c>
      <c r="E21" s="77" t="s">
        <v>48</v>
      </c>
      <c r="F21" s="77" t="s">
        <v>49</v>
      </c>
      <c r="G21" s="86" t="s">
        <v>50</v>
      </c>
      <c r="H21" s="86">
        <v>21617</v>
      </c>
      <c r="I21" s="86" t="s">
        <v>39</v>
      </c>
      <c r="J21" s="86">
        <v>24</v>
      </c>
      <c r="K21" s="86" t="s">
        <v>51</v>
      </c>
      <c r="L21" s="77">
        <v>1</v>
      </c>
      <c r="M21" s="86" t="s">
        <v>52</v>
      </c>
    </row>
    <row r="22" spans="4:13" ht="45" x14ac:dyDescent="0.25">
      <c r="D22" s="85">
        <v>45567</v>
      </c>
      <c r="E22" s="77" t="s">
        <v>48</v>
      </c>
      <c r="F22" s="77" t="s">
        <v>53</v>
      </c>
      <c r="G22" s="86" t="s">
        <v>43</v>
      </c>
      <c r="H22" s="86">
        <v>21618</v>
      </c>
      <c r="I22" s="86" t="s">
        <v>39</v>
      </c>
      <c r="J22" s="86">
        <v>24</v>
      </c>
      <c r="K22" s="86" t="s">
        <v>54</v>
      </c>
      <c r="L22" s="77">
        <v>1</v>
      </c>
      <c r="M22" s="86" t="s">
        <v>55</v>
      </c>
    </row>
    <row r="23" spans="4:13" ht="45" x14ac:dyDescent="0.25">
      <c r="D23" s="85">
        <v>45587</v>
      </c>
      <c r="E23" s="77" t="s">
        <v>48</v>
      </c>
      <c r="F23" s="77" t="s">
        <v>53</v>
      </c>
      <c r="G23" s="86" t="s">
        <v>43</v>
      </c>
      <c r="H23" s="86">
        <v>21689</v>
      </c>
      <c r="I23" s="86" t="s">
        <v>39</v>
      </c>
      <c r="J23" s="86">
        <v>24</v>
      </c>
      <c r="K23" s="86" t="s">
        <v>56</v>
      </c>
      <c r="L23" s="77">
        <v>1</v>
      </c>
      <c r="M23" s="86" t="s">
        <v>57</v>
      </c>
    </row>
    <row r="24" spans="4:13" ht="45" x14ac:dyDescent="0.25">
      <c r="D24" s="85">
        <v>45623</v>
      </c>
      <c r="E24" s="77" t="s">
        <v>48</v>
      </c>
      <c r="F24" s="77" t="s">
        <v>58</v>
      </c>
      <c r="G24" s="86" t="s">
        <v>43</v>
      </c>
      <c r="H24" s="77">
        <v>21847</v>
      </c>
      <c r="I24" s="77" t="s">
        <v>39</v>
      </c>
      <c r="J24" s="77">
        <v>24</v>
      </c>
      <c r="K24" s="77" t="s">
        <v>59</v>
      </c>
      <c r="L24" s="77">
        <v>1</v>
      </c>
      <c r="M24" s="86" t="s">
        <v>60</v>
      </c>
    </row>
    <row r="25" spans="4:13" ht="30" x14ac:dyDescent="0.25">
      <c r="D25" s="85">
        <v>45625</v>
      </c>
      <c r="E25" s="77" t="s">
        <v>48</v>
      </c>
      <c r="F25" s="77" t="s">
        <v>61</v>
      </c>
      <c r="G25" s="86" t="s">
        <v>62</v>
      </c>
      <c r="H25" s="77">
        <v>21843</v>
      </c>
      <c r="I25" s="77" t="s">
        <v>39</v>
      </c>
      <c r="J25" s="77">
        <v>24</v>
      </c>
      <c r="K25" s="86" t="s">
        <v>63</v>
      </c>
      <c r="L25" s="77">
        <v>1</v>
      </c>
      <c r="M25" s="86" t="s">
        <v>64</v>
      </c>
    </row>
    <row r="26" spans="4:13" ht="45" x14ac:dyDescent="0.25">
      <c r="D26" s="85">
        <v>45625</v>
      </c>
      <c r="E26" s="77" t="s">
        <v>48</v>
      </c>
      <c r="F26" s="77" t="s">
        <v>65</v>
      </c>
      <c r="G26" s="86" t="s">
        <v>62</v>
      </c>
      <c r="H26" s="77">
        <v>21842</v>
      </c>
      <c r="I26" s="77" t="s">
        <v>39</v>
      </c>
      <c r="J26" s="77">
        <v>24</v>
      </c>
      <c r="K26" s="86" t="s">
        <v>66</v>
      </c>
      <c r="L26" s="77">
        <v>1</v>
      </c>
      <c r="M26" s="86" t="s">
        <v>67</v>
      </c>
    </row>
    <row r="27" spans="4:13" ht="30" x14ac:dyDescent="0.25">
      <c r="D27" s="85">
        <v>45580</v>
      </c>
      <c r="E27" s="77" t="s">
        <v>48</v>
      </c>
      <c r="F27" s="77" t="s">
        <v>68</v>
      </c>
      <c r="G27" s="86" t="s">
        <v>69</v>
      </c>
      <c r="H27" s="86">
        <v>21620</v>
      </c>
      <c r="I27" s="86" t="s">
        <v>39</v>
      </c>
      <c r="J27" s="86">
        <v>24</v>
      </c>
      <c r="K27" s="86" t="s">
        <v>70</v>
      </c>
      <c r="L27" s="77">
        <v>1</v>
      </c>
      <c r="M27" s="86" t="s">
        <v>71</v>
      </c>
    </row>
    <row r="28" spans="4:13" ht="30" x14ac:dyDescent="0.25">
      <c r="D28" s="85">
        <v>45587</v>
      </c>
      <c r="E28" s="77" t="s">
        <v>48</v>
      </c>
      <c r="F28" s="77" t="s">
        <v>72</v>
      </c>
      <c r="G28" s="86" t="s">
        <v>69</v>
      </c>
      <c r="H28" s="86">
        <v>21627</v>
      </c>
      <c r="I28" s="86" t="s">
        <v>39</v>
      </c>
      <c r="J28" s="86">
        <v>24</v>
      </c>
      <c r="K28" s="86" t="s">
        <v>70</v>
      </c>
      <c r="L28" s="77">
        <v>1</v>
      </c>
      <c r="M28" s="86" t="s">
        <v>71</v>
      </c>
    </row>
    <row r="29" spans="4:13" ht="30" x14ac:dyDescent="0.25">
      <c r="D29" s="85">
        <v>45588</v>
      </c>
      <c r="E29" s="77" t="s">
        <v>48</v>
      </c>
      <c r="F29" s="77" t="s">
        <v>73</v>
      </c>
      <c r="G29" s="86" t="s">
        <v>43</v>
      </c>
      <c r="H29" s="86">
        <v>21621</v>
      </c>
      <c r="I29" s="86" t="s">
        <v>39</v>
      </c>
      <c r="J29" s="86">
        <v>24</v>
      </c>
      <c r="K29" s="86" t="s">
        <v>70</v>
      </c>
      <c r="L29" s="77">
        <v>1</v>
      </c>
      <c r="M29" s="86" t="s">
        <v>71</v>
      </c>
    </row>
    <row r="30" spans="4:13" ht="30" x14ac:dyDescent="0.25">
      <c r="D30" s="85">
        <v>45588</v>
      </c>
      <c r="E30" s="77" t="s">
        <v>48</v>
      </c>
      <c r="F30" s="77" t="s">
        <v>73</v>
      </c>
      <c r="G30" s="86" t="s">
        <v>43</v>
      </c>
      <c r="H30" s="86">
        <v>21665</v>
      </c>
      <c r="I30" s="86" t="s">
        <v>39</v>
      </c>
      <c r="J30" s="86">
        <v>24</v>
      </c>
      <c r="K30" s="86" t="s">
        <v>70</v>
      </c>
      <c r="L30" s="77">
        <v>1</v>
      </c>
      <c r="M30" s="86" t="s">
        <v>71</v>
      </c>
    </row>
    <row r="31" spans="4:13" x14ac:dyDescent="0.25">
      <c r="D31" s="85">
        <v>45581</v>
      </c>
      <c r="E31" s="77" t="s">
        <v>48</v>
      </c>
      <c r="F31" s="77" t="s">
        <v>74</v>
      </c>
      <c r="G31" s="86" t="s">
        <v>69</v>
      </c>
      <c r="H31" s="86" t="s">
        <v>75</v>
      </c>
      <c r="I31" s="86" t="s">
        <v>39</v>
      </c>
      <c r="J31" s="86">
        <v>24</v>
      </c>
      <c r="K31" s="86" t="s">
        <v>76</v>
      </c>
      <c r="L31" s="77">
        <v>2</v>
      </c>
      <c r="M31" s="86" t="s">
        <v>77</v>
      </c>
    </row>
    <row r="32" spans="4:13" x14ac:dyDescent="0.25">
      <c r="D32" s="85">
        <v>45580</v>
      </c>
      <c r="E32" s="77" t="s">
        <v>48</v>
      </c>
      <c r="F32" s="77" t="s">
        <v>78</v>
      </c>
      <c r="G32" s="86" t="s">
        <v>69</v>
      </c>
      <c r="H32" s="86">
        <v>21633</v>
      </c>
      <c r="I32" s="86" t="s">
        <v>39</v>
      </c>
      <c r="J32" s="86">
        <v>24</v>
      </c>
      <c r="K32" s="86" t="s">
        <v>69</v>
      </c>
      <c r="L32" s="77">
        <v>1</v>
      </c>
      <c r="M32" s="86" t="s">
        <v>69</v>
      </c>
    </row>
    <row r="33" spans="4:13" x14ac:dyDescent="0.25">
      <c r="D33" s="85">
        <v>45580</v>
      </c>
      <c r="E33" s="77" t="s">
        <v>48</v>
      </c>
      <c r="F33" s="77" t="s">
        <v>78</v>
      </c>
      <c r="G33" s="86" t="s">
        <v>69</v>
      </c>
      <c r="H33" s="86">
        <v>21629</v>
      </c>
      <c r="I33" s="86" t="s">
        <v>39</v>
      </c>
      <c r="J33" s="86">
        <v>24</v>
      </c>
      <c r="K33" s="86" t="s">
        <v>69</v>
      </c>
      <c r="L33" s="77">
        <v>1</v>
      </c>
      <c r="M33" s="86" t="s">
        <v>69</v>
      </c>
    </row>
    <row r="34" spans="4:13" x14ac:dyDescent="0.25">
      <c r="D34" s="85">
        <v>45580</v>
      </c>
      <c r="E34" s="77" t="s">
        <v>48</v>
      </c>
      <c r="F34" s="77" t="s">
        <v>78</v>
      </c>
      <c r="G34" s="86" t="s">
        <v>69</v>
      </c>
      <c r="H34" s="86">
        <v>21626</v>
      </c>
      <c r="I34" s="86" t="s">
        <v>39</v>
      </c>
      <c r="J34" s="86">
        <v>24</v>
      </c>
      <c r="K34" s="86" t="s">
        <v>70</v>
      </c>
      <c r="L34" s="77">
        <v>1</v>
      </c>
      <c r="M34" s="86" t="s">
        <v>71</v>
      </c>
    </row>
    <row r="35" spans="4:13" x14ac:dyDescent="0.25">
      <c r="D35" s="85">
        <v>45580</v>
      </c>
      <c r="E35" s="77" t="s">
        <v>48</v>
      </c>
      <c r="F35" s="77" t="s">
        <v>78</v>
      </c>
      <c r="G35" s="86" t="s">
        <v>69</v>
      </c>
      <c r="H35" s="86">
        <v>21635</v>
      </c>
      <c r="I35" s="86" t="s">
        <v>39</v>
      </c>
      <c r="J35" s="86">
        <v>24</v>
      </c>
      <c r="K35" s="86" t="s">
        <v>69</v>
      </c>
      <c r="L35" s="77">
        <v>1</v>
      </c>
      <c r="M35" s="86" t="s">
        <v>69</v>
      </c>
    </row>
    <row r="36" spans="4:13" x14ac:dyDescent="0.25">
      <c r="D36" s="85">
        <v>45580</v>
      </c>
      <c r="E36" s="77" t="s">
        <v>48</v>
      </c>
      <c r="F36" s="77" t="s">
        <v>78</v>
      </c>
      <c r="G36" s="86" t="s">
        <v>69</v>
      </c>
      <c r="H36" s="86">
        <v>21636</v>
      </c>
      <c r="I36" s="86" t="s">
        <v>39</v>
      </c>
      <c r="J36" s="86">
        <v>24</v>
      </c>
      <c r="K36" s="86" t="s">
        <v>69</v>
      </c>
      <c r="L36" s="77">
        <v>1</v>
      </c>
      <c r="M36" s="86" t="s">
        <v>69</v>
      </c>
    </row>
    <row r="37" spans="4:13" x14ac:dyDescent="0.25">
      <c r="D37" s="85">
        <v>45580</v>
      </c>
      <c r="E37" s="77" t="s">
        <v>48</v>
      </c>
      <c r="F37" s="77" t="s">
        <v>78</v>
      </c>
      <c r="G37" s="86" t="s">
        <v>69</v>
      </c>
      <c r="H37" s="86">
        <v>21632</v>
      </c>
      <c r="I37" s="86" t="s">
        <v>39</v>
      </c>
      <c r="J37" s="86">
        <v>24</v>
      </c>
      <c r="K37" s="86" t="s">
        <v>69</v>
      </c>
      <c r="L37" s="77">
        <v>1</v>
      </c>
      <c r="M37" s="86" t="s">
        <v>69</v>
      </c>
    </row>
    <row r="38" spans="4:13" x14ac:dyDescent="0.25">
      <c r="D38" s="85">
        <v>45580</v>
      </c>
      <c r="E38" s="77" t="s">
        <v>48</v>
      </c>
      <c r="F38" s="77" t="s">
        <v>78</v>
      </c>
      <c r="G38" s="86" t="s">
        <v>69</v>
      </c>
      <c r="H38" s="86">
        <v>21631</v>
      </c>
      <c r="I38" s="86" t="s">
        <v>39</v>
      </c>
      <c r="J38" s="86">
        <v>24</v>
      </c>
      <c r="K38" s="86" t="s">
        <v>69</v>
      </c>
      <c r="L38" s="77">
        <v>1</v>
      </c>
      <c r="M38" s="86" t="s">
        <v>69</v>
      </c>
    </row>
    <row r="39" spans="4:13" x14ac:dyDescent="0.25">
      <c r="D39" s="85">
        <v>45580</v>
      </c>
      <c r="E39" s="77" t="s">
        <v>48</v>
      </c>
      <c r="F39" s="77" t="s">
        <v>78</v>
      </c>
      <c r="G39" s="86" t="s">
        <v>69</v>
      </c>
      <c r="H39" s="86">
        <v>21634</v>
      </c>
      <c r="I39" s="86" t="s">
        <v>39</v>
      </c>
      <c r="J39" s="86">
        <v>24</v>
      </c>
      <c r="K39" s="86" t="s">
        <v>69</v>
      </c>
      <c r="L39" s="77">
        <v>1</v>
      </c>
      <c r="M39" s="86" t="s">
        <v>69</v>
      </c>
    </row>
    <row r="40" spans="4:13" x14ac:dyDescent="0.25">
      <c r="D40" s="85">
        <v>45580</v>
      </c>
      <c r="E40" s="77" t="s">
        <v>48</v>
      </c>
      <c r="F40" s="77" t="s">
        <v>78</v>
      </c>
      <c r="G40" s="86" t="s">
        <v>69</v>
      </c>
      <c r="H40" s="86">
        <v>21637</v>
      </c>
      <c r="I40" s="86" t="s">
        <v>39</v>
      </c>
      <c r="J40" s="86">
        <v>24</v>
      </c>
      <c r="K40" s="86" t="s">
        <v>69</v>
      </c>
      <c r="L40" s="77">
        <v>1</v>
      </c>
      <c r="M40" s="86" t="s">
        <v>69</v>
      </c>
    </row>
    <row r="41" spans="4:13" x14ac:dyDescent="0.25">
      <c r="D41" s="85">
        <v>45580</v>
      </c>
      <c r="E41" s="77" t="s">
        <v>48</v>
      </c>
      <c r="F41" s="77" t="s">
        <v>78</v>
      </c>
      <c r="G41" s="86" t="s">
        <v>69</v>
      </c>
      <c r="H41" s="86">
        <v>21638</v>
      </c>
      <c r="I41" s="86" t="s">
        <v>39</v>
      </c>
      <c r="J41" s="86">
        <v>24</v>
      </c>
      <c r="K41" s="86" t="s">
        <v>69</v>
      </c>
      <c r="L41" s="77">
        <v>1</v>
      </c>
      <c r="M41" s="86" t="s">
        <v>69</v>
      </c>
    </row>
    <row r="42" spans="4:13" x14ac:dyDescent="0.25">
      <c r="D42" s="85">
        <v>45580</v>
      </c>
      <c r="E42" s="77" t="s">
        <v>48</v>
      </c>
      <c r="F42" s="77" t="s">
        <v>78</v>
      </c>
      <c r="G42" s="86" t="s">
        <v>69</v>
      </c>
      <c r="H42" s="86">
        <v>21630</v>
      </c>
      <c r="I42" s="86" t="s">
        <v>39</v>
      </c>
      <c r="J42" s="86">
        <v>24</v>
      </c>
      <c r="K42" s="86" t="s">
        <v>69</v>
      </c>
      <c r="L42" s="77">
        <v>1</v>
      </c>
      <c r="M42" s="86" t="s">
        <v>69</v>
      </c>
    </row>
    <row r="43" spans="4:13" ht="30" x14ac:dyDescent="0.25">
      <c r="D43" s="85">
        <v>45467</v>
      </c>
      <c r="E43" s="77" t="s">
        <v>48</v>
      </c>
      <c r="F43" s="77" t="s">
        <v>79</v>
      </c>
      <c r="G43" s="77" t="s">
        <v>80</v>
      </c>
      <c r="H43" s="77" t="s">
        <v>69</v>
      </c>
      <c r="I43" s="77" t="s">
        <v>39</v>
      </c>
      <c r="J43" s="77">
        <v>24</v>
      </c>
      <c r="K43" s="77" t="s">
        <v>81</v>
      </c>
      <c r="L43" s="77">
        <v>1</v>
      </c>
      <c r="M43" s="77" t="s">
        <v>82</v>
      </c>
    </row>
    <row r="44" spans="4:13" ht="30" x14ac:dyDescent="0.25">
      <c r="D44" s="85">
        <v>45608</v>
      </c>
      <c r="E44" s="77" t="s">
        <v>48</v>
      </c>
      <c r="F44" s="77" t="s">
        <v>83</v>
      </c>
      <c r="G44" s="86" t="s">
        <v>84</v>
      </c>
      <c r="H44" s="77">
        <v>21785</v>
      </c>
      <c r="I44" s="77" t="s">
        <v>39</v>
      </c>
      <c r="J44" s="77">
        <v>24</v>
      </c>
      <c r="K44" s="86" t="s">
        <v>85</v>
      </c>
      <c r="L44" s="77">
        <v>1</v>
      </c>
      <c r="M44" s="86" t="s">
        <v>86</v>
      </c>
    </row>
    <row r="45" spans="4:13" ht="30" x14ac:dyDescent="0.25">
      <c r="D45" s="85">
        <v>45608</v>
      </c>
      <c r="E45" s="77" t="s">
        <v>48</v>
      </c>
      <c r="F45" s="77" t="s">
        <v>83</v>
      </c>
      <c r="G45" s="86" t="s">
        <v>84</v>
      </c>
      <c r="H45" s="77">
        <v>21786</v>
      </c>
      <c r="I45" s="77" t="s">
        <v>39</v>
      </c>
      <c r="J45" s="77">
        <v>24</v>
      </c>
      <c r="K45" s="86" t="s">
        <v>85</v>
      </c>
      <c r="L45" s="77">
        <v>1</v>
      </c>
      <c r="M45" s="86" t="s">
        <v>86</v>
      </c>
    </row>
    <row r="46" spans="4:13" ht="30" x14ac:dyDescent="0.25">
      <c r="D46" s="85">
        <v>45608</v>
      </c>
      <c r="E46" s="77" t="s">
        <v>48</v>
      </c>
      <c r="F46" s="77" t="s">
        <v>83</v>
      </c>
      <c r="G46" s="86" t="s">
        <v>84</v>
      </c>
      <c r="H46" s="77">
        <v>21782</v>
      </c>
      <c r="I46" s="77" t="s">
        <v>39</v>
      </c>
      <c r="J46" s="77">
        <v>24</v>
      </c>
      <c r="K46" s="86" t="s">
        <v>85</v>
      </c>
      <c r="L46" s="77">
        <v>1</v>
      </c>
      <c r="M46" s="86" t="s">
        <v>86</v>
      </c>
    </row>
    <row r="47" spans="4:13" ht="30" x14ac:dyDescent="0.25">
      <c r="D47" s="85">
        <v>45608</v>
      </c>
      <c r="E47" s="77" t="s">
        <v>48</v>
      </c>
      <c r="F47" s="77" t="s">
        <v>83</v>
      </c>
      <c r="G47" s="86" t="s">
        <v>84</v>
      </c>
      <c r="H47" s="77">
        <v>21783</v>
      </c>
      <c r="I47" s="77" t="s">
        <v>39</v>
      </c>
      <c r="J47" s="77">
        <v>24</v>
      </c>
      <c r="K47" s="86" t="s">
        <v>85</v>
      </c>
      <c r="L47" s="77">
        <v>1</v>
      </c>
      <c r="M47" s="86" t="s">
        <v>86</v>
      </c>
    </row>
    <row r="48" spans="4:13" x14ac:dyDescent="0.25">
      <c r="D48" s="220" t="s">
        <v>87</v>
      </c>
      <c r="E48" s="220"/>
      <c r="F48" s="220"/>
      <c r="G48" s="220"/>
      <c r="H48" s="220"/>
      <c r="I48" s="220"/>
      <c r="J48" s="220"/>
      <c r="K48" s="220"/>
      <c r="L48" s="220"/>
      <c r="M48" s="220"/>
    </row>
    <row r="49" spans="4:13" x14ac:dyDescent="0.25">
      <c r="D49" s="220"/>
      <c r="E49" s="220"/>
      <c r="F49" s="220"/>
      <c r="G49" s="220"/>
      <c r="H49" s="220"/>
      <c r="I49" s="220"/>
      <c r="J49" s="220"/>
      <c r="K49" s="220"/>
      <c r="L49" s="220"/>
      <c r="M49" s="220"/>
    </row>
    <row r="50" spans="4:13" x14ac:dyDescent="0.25">
      <c r="D50" s="220"/>
      <c r="E50" s="220"/>
      <c r="F50" s="220"/>
      <c r="G50" s="220"/>
      <c r="H50" s="220"/>
      <c r="I50" s="220"/>
      <c r="J50" s="220"/>
      <c r="K50" s="220"/>
      <c r="L50" s="220"/>
      <c r="M50" s="220"/>
    </row>
    <row r="51" spans="4:13" x14ac:dyDescent="0.25">
      <c r="D51" s="220"/>
      <c r="E51" s="220"/>
      <c r="F51" s="220"/>
      <c r="G51" s="220"/>
      <c r="H51" s="220"/>
      <c r="I51" s="220"/>
      <c r="J51" s="220"/>
      <c r="K51" s="220"/>
      <c r="L51" s="220"/>
      <c r="M51" s="220"/>
    </row>
    <row r="52" spans="4:13" ht="30" x14ac:dyDescent="0.25">
      <c r="D52" s="85">
        <v>45727</v>
      </c>
      <c r="E52" s="77" t="s">
        <v>36</v>
      </c>
      <c r="F52" s="77" t="s">
        <v>88</v>
      </c>
      <c r="G52" s="86" t="s">
        <v>69</v>
      </c>
      <c r="H52" s="86" t="s">
        <v>69</v>
      </c>
      <c r="I52" s="86" t="s">
        <v>39</v>
      </c>
      <c r="J52" s="86">
        <v>25</v>
      </c>
      <c r="K52" s="77" t="s">
        <v>69</v>
      </c>
      <c r="L52" s="77">
        <v>1</v>
      </c>
      <c r="M52" s="77" t="s">
        <v>69</v>
      </c>
    </row>
    <row r="53" spans="4:13" ht="30" x14ac:dyDescent="0.25">
      <c r="D53" s="85">
        <v>45608</v>
      </c>
      <c r="E53" s="77" t="s">
        <v>48</v>
      </c>
      <c r="F53" s="77" t="s">
        <v>89</v>
      </c>
      <c r="G53" s="86" t="s">
        <v>84</v>
      </c>
      <c r="H53" s="77">
        <v>21781</v>
      </c>
      <c r="I53" s="77" t="s">
        <v>39</v>
      </c>
      <c r="J53" s="77">
        <v>24</v>
      </c>
      <c r="K53" s="86" t="s">
        <v>69</v>
      </c>
      <c r="L53" s="77">
        <v>1</v>
      </c>
      <c r="M53" s="86" t="s">
        <v>69</v>
      </c>
    </row>
    <row r="54" spans="4:13" ht="30" x14ac:dyDescent="0.25">
      <c r="D54" s="85">
        <v>45608</v>
      </c>
      <c r="E54" s="77" t="s">
        <v>48</v>
      </c>
      <c r="F54" s="77" t="s">
        <v>83</v>
      </c>
      <c r="G54" s="86" t="s">
        <v>84</v>
      </c>
      <c r="H54" s="77">
        <v>21784</v>
      </c>
      <c r="I54" s="77" t="s">
        <v>39</v>
      </c>
      <c r="J54" s="77">
        <v>24</v>
      </c>
      <c r="K54" s="86" t="s">
        <v>69</v>
      </c>
      <c r="L54" s="77">
        <v>1</v>
      </c>
      <c r="M54" s="86" t="s">
        <v>69</v>
      </c>
    </row>
  </sheetData>
  <mergeCells count="2">
    <mergeCell ref="D1:M4"/>
    <mergeCell ref="D48:M51"/>
  </mergeCells>
  <pageMargins left="0.7" right="0.7" top="0.75" bottom="0.75" header="0.3" footer="0.3"/>
  <pageSetup scale="38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FD36-555D-4A94-A245-340843CFF730}">
  <sheetPr codeName="Hoja6" filterMode="1">
    <pageSetUpPr autoPageBreaks="0" fitToPage="1"/>
  </sheetPr>
  <dimension ref="A1:S835"/>
  <sheetViews>
    <sheetView showGridLines="0" tabSelected="1" zoomScale="110" zoomScaleNormal="110" workbookViewId="0">
      <pane ySplit="7" topLeftCell="A797" activePane="bottomLeft" state="frozen"/>
      <selection activeCell="A6" sqref="A6"/>
      <selection pane="bottomLeft" activeCell="E815" sqref="E815"/>
    </sheetView>
  </sheetViews>
  <sheetFormatPr baseColWidth="10" defaultColWidth="11.42578125" defaultRowHeight="15" x14ac:dyDescent="0.25"/>
  <cols>
    <col min="1" max="1" width="8" style="52" customWidth="1"/>
    <col min="2" max="2" width="13.7109375" customWidth="1"/>
    <col min="3" max="3" width="17" customWidth="1"/>
    <col min="4" max="4" width="36.85546875" customWidth="1"/>
    <col min="5" max="6" width="15.85546875" customWidth="1"/>
    <col min="7" max="7" width="16.85546875" customWidth="1"/>
    <col min="8" max="8" width="15.42578125" customWidth="1"/>
    <col min="9" max="9" width="6.7109375" customWidth="1"/>
    <col min="10" max="10" width="7.28515625" customWidth="1"/>
    <col min="11" max="11" width="16" customWidth="1"/>
    <col min="12" max="12" width="5.140625" customWidth="1"/>
    <col min="13" max="13" width="16" customWidth="1"/>
    <col min="14" max="14" width="13.28515625" customWidth="1"/>
    <col min="15" max="15" width="12.28515625" customWidth="1"/>
    <col min="16" max="16" width="22.28515625" customWidth="1"/>
    <col min="17" max="17" width="11.42578125" customWidth="1"/>
    <col min="28" max="28" width="11.85546875" bestFit="1" customWidth="1"/>
  </cols>
  <sheetData>
    <row r="1" spans="1:18" ht="18.75" hidden="1" customHeight="1" x14ac:dyDescent="0.25">
      <c r="A1" s="100"/>
      <c r="B1" s="101"/>
      <c r="C1" s="101"/>
      <c r="D1" s="135" t="s">
        <v>90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8" ht="18.75" hidden="1" customHeight="1" x14ac:dyDescent="0.25">
      <c r="A2" s="100"/>
      <c r="B2" s="101"/>
      <c r="C2" s="101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</row>
    <row r="3" spans="1:18" ht="18.75" hidden="1" customHeight="1" x14ac:dyDescent="0.25">
      <c r="A3" s="100"/>
      <c r="B3" s="101"/>
      <c r="C3" s="101"/>
      <c r="D3" s="101"/>
      <c r="E3" s="101"/>
      <c r="F3" s="101"/>
      <c r="G3" s="102"/>
      <c r="H3" s="102"/>
      <c r="I3" s="101"/>
      <c r="J3" s="101"/>
      <c r="K3" s="101"/>
      <c r="L3" s="134"/>
      <c r="M3" s="132"/>
      <c r="N3" s="133"/>
      <c r="O3" s="132"/>
      <c r="P3" s="29"/>
    </row>
    <row r="4" spans="1:18" ht="18.75" hidden="1" customHeight="1" x14ac:dyDescent="0.25">
      <c r="A4" s="100"/>
      <c r="B4" s="101"/>
      <c r="C4" s="101"/>
      <c r="D4" s="103">
        <f ca="1">TODAY()</f>
        <v>46217</v>
      </c>
      <c r="E4" s="101"/>
      <c r="F4" s="101"/>
      <c r="G4" s="102"/>
      <c r="H4" s="102"/>
      <c r="I4" s="101"/>
      <c r="J4" s="101"/>
      <c r="K4" s="101"/>
      <c r="L4" s="134"/>
      <c r="M4" s="132"/>
      <c r="N4" s="133"/>
      <c r="O4" s="101"/>
      <c r="P4" s="101" t="s">
        <v>91</v>
      </c>
    </row>
    <row r="5" spans="1:18" ht="30" x14ac:dyDescent="0.25">
      <c r="A5" s="137" t="s">
        <v>92</v>
      </c>
      <c r="B5" s="1" t="s">
        <v>93</v>
      </c>
      <c r="C5" s="139" t="s">
        <v>94</v>
      </c>
      <c r="D5" s="139" t="s">
        <v>95</v>
      </c>
      <c r="E5" s="139" t="s">
        <v>96</v>
      </c>
      <c r="F5" s="139" t="s">
        <v>97</v>
      </c>
      <c r="G5" s="139" t="s">
        <v>98</v>
      </c>
      <c r="H5" s="139" t="s">
        <v>8</v>
      </c>
      <c r="I5" s="141" t="s">
        <v>99</v>
      </c>
      <c r="J5" s="142"/>
      <c r="K5" s="142"/>
      <c r="L5" s="142"/>
      <c r="M5" s="143"/>
      <c r="N5" s="2" t="s">
        <v>100</v>
      </c>
      <c r="O5" s="80" t="s">
        <v>101</v>
      </c>
      <c r="P5" s="80" t="s">
        <v>12</v>
      </c>
    </row>
    <row r="6" spans="1:18" ht="45" x14ac:dyDescent="0.25">
      <c r="A6" s="138"/>
      <c r="B6" s="3" t="s">
        <v>102</v>
      </c>
      <c r="C6" s="140"/>
      <c r="D6" s="140"/>
      <c r="E6" s="140"/>
      <c r="F6" s="140"/>
      <c r="G6" s="140"/>
      <c r="H6" s="140"/>
      <c r="I6" s="4" t="s">
        <v>103</v>
      </c>
      <c r="J6" s="4" t="s">
        <v>104</v>
      </c>
      <c r="K6" s="4" t="s">
        <v>105</v>
      </c>
      <c r="L6" s="5" t="s">
        <v>106</v>
      </c>
      <c r="M6" s="4" t="s">
        <v>107</v>
      </c>
      <c r="N6" s="6" t="s">
        <v>108</v>
      </c>
      <c r="O6" s="81"/>
      <c r="P6" s="81"/>
    </row>
    <row r="7" spans="1:18" ht="19.5" customHeight="1" x14ac:dyDescent="0.25">
      <c r="A7" s="58" t="s">
        <v>92</v>
      </c>
      <c r="B7" s="59" t="s">
        <v>109</v>
      </c>
      <c r="C7" s="60" t="s">
        <v>110</v>
      </c>
      <c r="D7" s="60" t="s">
        <v>10</v>
      </c>
      <c r="E7" s="60" t="s">
        <v>110</v>
      </c>
      <c r="F7" s="60"/>
      <c r="G7" s="59" t="s">
        <v>111</v>
      </c>
      <c r="H7" s="59"/>
      <c r="I7" s="60" t="s">
        <v>112</v>
      </c>
      <c r="J7" s="60" t="s">
        <v>104</v>
      </c>
      <c r="K7" s="60" t="s">
        <v>3</v>
      </c>
      <c r="L7" s="61" t="s">
        <v>113</v>
      </c>
      <c r="M7" s="60" t="s">
        <v>107</v>
      </c>
      <c r="N7" s="62" t="s">
        <v>100</v>
      </c>
      <c r="O7" s="60" t="s">
        <v>101</v>
      </c>
      <c r="P7" s="59" t="s">
        <v>114</v>
      </c>
    </row>
    <row r="8" spans="1:18" ht="39.75" hidden="1" customHeight="1" x14ac:dyDescent="0.25">
      <c r="A8" s="78">
        <f>IF(B8="","",COUNTA($B$7:B7))</f>
        <v>1</v>
      </c>
      <c r="B8" s="85">
        <v>46029</v>
      </c>
      <c r="C8" s="77" t="s">
        <v>115</v>
      </c>
      <c r="D8" s="77" t="s">
        <v>116</v>
      </c>
      <c r="E8" s="77" t="s">
        <v>117</v>
      </c>
      <c r="F8" s="77" t="s">
        <v>118</v>
      </c>
      <c r="G8" s="77" t="s">
        <v>119</v>
      </c>
      <c r="H8" s="131" t="s">
        <v>118</v>
      </c>
      <c r="I8" s="86" t="str">
        <f>IF(B8="","","LENC")</f>
        <v>LENC</v>
      </c>
      <c r="J8" s="86" t="str">
        <f>IF(B8="","",TEXT(B8,"yy"))</f>
        <v>26</v>
      </c>
      <c r="K8" s="77" t="str">
        <f>IF(B8="","","N/E")</f>
        <v>N/E</v>
      </c>
      <c r="L8" s="77">
        <v>1</v>
      </c>
      <c r="M8" s="77" t="str">
        <f>IF(D8="","","N/E")</f>
        <v>N/E</v>
      </c>
      <c r="N8" s="88" t="s">
        <v>120</v>
      </c>
      <c r="O8" s="77" t="s">
        <v>121</v>
      </c>
      <c r="P8" s="77"/>
      <c r="Q8" s="31"/>
      <c r="R8" s="63"/>
    </row>
    <row r="9" spans="1:18" ht="39.75" hidden="1" customHeight="1" x14ac:dyDescent="0.25">
      <c r="A9" s="78">
        <f>IF(B9="","",COUNTA($B$7:B8))</f>
        <v>2</v>
      </c>
      <c r="B9" s="85">
        <v>46031</v>
      </c>
      <c r="C9" s="77" t="s">
        <v>122</v>
      </c>
      <c r="D9" s="77" t="s">
        <v>123</v>
      </c>
      <c r="E9" s="77" t="s">
        <v>124</v>
      </c>
      <c r="F9" s="77" t="s">
        <v>118</v>
      </c>
      <c r="G9" s="77">
        <v>20099</v>
      </c>
      <c r="H9" s="131" t="s">
        <v>118</v>
      </c>
      <c r="I9" s="86" t="str">
        <f t="shared" ref="I9:I72" si="0">IF(B9="","","LENC")</f>
        <v>LENC</v>
      </c>
      <c r="J9" s="86" t="str">
        <f t="shared" ref="J9:J72" si="1">IF(B9="","",TEXT(B9,"yy"))</f>
        <v>26</v>
      </c>
      <c r="K9" s="77" t="s">
        <v>69</v>
      </c>
      <c r="L9" s="77">
        <v>1</v>
      </c>
      <c r="M9" s="77" t="s">
        <v>69</v>
      </c>
      <c r="N9" s="88" t="s">
        <v>125</v>
      </c>
      <c r="O9" s="77" t="s">
        <v>126</v>
      </c>
      <c r="P9" s="77"/>
      <c r="Q9" s="31"/>
      <c r="R9" s="63"/>
    </row>
    <row r="10" spans="1:18" ht="39.75" hidden="1" customHeight="1" x14ac:dyDescent="0.25">
      <c r="A10" s="78">
        <f>IF(B10="","",COUNTA($B$7:B9))</f>
        <v>3</v>
      </c>
      <c r="B10" s="85">
        <v>46031</v>
      </c>
      <c r="C10" s="77" t="s">
        <v>122</v>
      </c>
      <c r="D10" s="77" t="s">
        <v>127</v>
      </c>
      <c r="E10" s="77" t="s">
        <v>128</v>
      </c>
      <c r="F10" s="77" t="s">
        <v>118</v>
      </c>
      <c r="G10" s="77" t="s">
        <v>129</v>
      </c>
      <c r="H10" s="131" t="s">
        <v>118</v>
      </c>
      <c r="I10" s="86" t="str">
        <f t="shared" si="0"/>
        <v>LENC</v>
      </c>
      <c r="J10" s="86" t="str">
        <f t="shared" si="1"/>
        <v>26</v>
      </c>
      <c r="K10" s="77" t="s">
        <v>130</v>
      </c>
      <c r="L10" s="77">
        <v>3</v>
      </c>
      <c r="M10" s="77" t="s">
        <v>131</v>
      </c>
      <c r="N10" s="88" t="s">
        <v>132</v>
      </c>
      <c r="O10" s="77" t="s">
        <v>126</v>
      </c>
      <c r="P10" s="77"/>
      <c r="Q10" s="31"/>
      <c r="R10" s="63"/>
    </row>
    <row r="11" spans="1:18" ht="39.75" hidden="1" customHeight="1" x14ac:dyDescent="0.25">
      <c r="A11" s="78">
        <f>IF(B11="","",COUNTA($B$7:B10))</f>
        <v>4</v>
      </c>
      <c r="B11" s="85">
        <v>46031</v>
      </c>
      <c r="C11" s="77" t="s">
        <v>122</v>
      </c>
      <c r="D11" s="77" t="s">
        <v>133</v>
      </c>
      <c r="E11" s="77" t="s">
        <v>128</v>
      </c>
      <c r="F11" s="77" t="s">
        <v>118</v>
      </c>
      <c r="G11" s="77" t="s">
        <v>134</v>
      </c>
      <c r="H11" s="131" t="s">
        <v>118</v>
      </c>
      <c r="I11" s="86" t="str">
        <f t="shared" si="0"/>
        <v>LENC</v>
      </c>
      <c r="J11" s="86" t="str">
        <f t="shared" si="1"/>
        <v>26</v>
      </c>
      <c r="K11" s="77" t="s">
        <v>69</v>
      </c>
      <c r="L11" s="77">
        <v>3</v>
      </c>
      <c r="M11" s="77" t="s">
        <v>69</v>
      </c>
      <c r="N11" s="88" t="s">
        <v>132</v>
      </c>
      <c r="O11" s="77" t="s">
        <v>126</v>
      </c>
      <c r="P11" s="77"/>
      <c r="Q11" s="31"/>
      <c r="R11" s="63"/>
    </row>
    <row r="12" spans="1:18" ht="39.75" hidden="1" customHeight="1" x14ac:dyDescent="0.25">
      <c r="A12" s="78">
        <f>IF(B12="","",COUNTA($B$7:B11))</f>
        <v>5</v>
      </c>
      <c r="B12" s="85">
        <v>46031</v>
      </c>
      <c r="C12" s="77" t="s">
        <v>122</v>
      </c>
      <c r="D12" s="77" t="s">
        <v>135</v>
      </c>
      <c r="E12" s="77" t="s">
        <v>128</v>
      </c>
      <c r="F12" s="77" t="s">
        <v>118</v>
      </c>
      <c r="G12" s="77" t="s">
        <v>136</v>
      </c>
      <c r="H12" s="131" t="s">
        <v>118</v>
      </c>
      <c r="I12" s="86" t="str">
        <f t="shared" si="0"/>
        <v>LENC</v>
      </c>
      <c r="J12" s="86" t="str">
        <f t="shared" si="1"/>
        <v>26</v>
      </c>
      <c r="K12" s="77" t="s">
        <v>69</v>
      </c>
      <c r="L12" s="77">
        <v>3</v>
      </c>
      <c r="M12" s="77" t="s">
        <v>69</v>
      </c>
      <c r="N12" s="88" t="s">
        <v>137</v>
      </c>
      <c r="O12" s="77" t="s">
        <v>121</v>
      </c>
      <c r="P12" s="77"/>
      <c r="Q12" s="31"/>
      <c r="R12" s="63"/>
    </row>
    <row r="13" spans="1:18" ht="39.75" hidden="1" customHeight="1" x14ac:dyDescent="0.25">
      <c r="A13" s="78">
        <f>IF(B13="","",COUNTA($B$7:B12))</f>
        <v>6</v>
      </c>
      <c r="B13" s="85">
        <v>46035</v>
      </c>
      <c r="C13" s="77" t="s">
        <v>138</v>
      </c>
      <c r="D13" s="77" t="s">
        <v>139</v>
      </c>
      <c r="E13" s="77" t="s">
        <v>140</v>
      </c>
      <c r="F13" s="77" t="s">
        <v>118</v>
      </c>
      <c r="G13" s="77" t="s">
        <v>141</v>
      </c>
      <c r="H13" s="131" t="s">
        <v>118</v>
      </c>
      <c r="I13" s="86" t="str">
        <f t="shared" si="0"/>
        <v>LENC</v>
      </c>
      <c r="J13" s="86" t="str">
        <f t="shared" si="1"/>
        <v>26</v>
      </c>
      <c r="K13" s="77" t="s">
        <v>142</v>
      </c>
      <c r="L13" s="77">
        <v>1</v>
      </c>
      <c r="M13" s="77" t="s">
        <v>69</v>
      </c>
      <c r="N13" s="88" t="s">
        <v>143</v>
      </c>
      <c r="O13" s="77" t="s">
        <v>126</v>
      </c>
      <c r="P13" s="77" t="s">
        <v>144</v>
      </c>
      <c r="Q13" s="31"/>
      <c r="R13" s="63"/>
    </row>
    <row r="14" spans="1:18" ht="39.75" hidden="1" customHeight="1" x14ac:dyDescent="0.25">
      <c r="A14" s="78">
        <f>IF(B14="","",COUNTA($B$7:B13))</f>
        <v>7</v>
      </c>
      <c r="B14" s="85">
        <v>46035</v>
      </c>
      <c r="C14" s="77" t="s">
        <v>145</v>
      </c>
      <c r="D14" s="77" t="s">
        <v>146</v>
      </c>
      <c r="E14" s="77" t="s">
        <v>147</v>
      </c>
      <c r="F14" s="77" t="s">
        <v>118</v>
      </c>
      <c r="G14" s="77" t="s">
        <v>148</v>
      </c>
      <c r="H14" s="131" t="s">
        <v>118</v>
      </c>
      <c r="I14" s="86" t="str">
        <f t="shared" si="0"/>
        <v>LENC</v>
      </c>
      <c r="J14" s="86" t="str">
        <f t="shared" si="1"/>
        <v>26</v>
      </c>
      <c r="K14" s="77" t="s">
        <v>69</v>
      </c>
      <c r="L14" s="77">
        <v>1</v>
      </c>
      <c r="M14" s="77" t="s">
        <v>69</v>
      </c>
      <c r="N14" s="88" t="s">
        <v>149</v>
      </c>
      <c r="O14" s="77" t="s">
        <v>121</v>
      </c>
      <c r="P14" s="77"/>
      <c r="Q14" s="31"/>
      <c r="R14" s="63"/>
    </row>
    <row r="15" spans="1:18" ht="39.75" hidden="1" customHeight="1" x14ac:dyDescent="0.25">
      <c r="A15" s="78">
        <f>IF(B15="","",COUNTA($B$7:B14))</f>
        <v>8</v>
      </c>
      <c r="B15" s="85">
        <v>46035</v>
      </c>
      <c r="C15" s="77" t="s">
        <v>150</v>
      </c>
      <c r="D15" s="77" t="s">
        <v>151</v>
      </c>
      <c r="E15" s="77" t="s">
        <v>152</v>
      </c>
      <c r="F15" s="77" t="s">
        <v>118</v>
      </c>
      <c r="G15" s="77">
        <v>20832</v>
      </c>
      <c r="H15" s="131" t="s">
        <v>118</v>
      </c>
      <c r="I15" s="86" t="str">
        <f t="shared" si="0"/>
        <v>LENC</v>
      </c>
      <c r="J15" s="86" t="str">
        <f t="shared" si="1"/>
        <v>26</v>
      </c>
      <c r="K15" s="77" t="s">
        <v>69</v>
      </c>
      <c r="L15" s="77">
        <v>1</v>
      </c>
      <c r="M15" s="77" t="s">
        <v>69</v>
      </c>
      <c r="N15" s="88" t="s">
        <v>153</v>
      </c>
      <c r="O15" s="77" t="s">
        <v>121</v>
      </c>
      <c r="P15" s="77"/>
      <c r="Q15" s="31"/>
      <c r="R15" s="63"/>
    </row>
    <row r="16" spans="1:18" ht="39.75" hidden="1" customHeight="1" x14ac:dyDescent="0.25">
      <c r="A16" s="78">
        <f>IF(B16="","",COUNTA($B$7:B15))</f>
        <v>9</v>
      </c>
      <c r="B16" s="85">
        <v>46035</v>
      </c>
      <c r="C16" s="77" t="s">
        <v>115</v>
      </c>
      <c r="D16" s="77" t="s">
        <v>154</v>
      </c>
      <c r="E16" s="77" t="s">
        <v>155</v>
      </c>
      <c r="F16" s="77" t="s">
        <v>118</v>
      </c>
      <c r="G16" s="77" t="s">
        <v>156</v>
      </c>
      <c r="H16" s="131" t="s">
        <v>118</v>
      </c>
      <c r="I16" s="86" t="str">
        <f t="shared" si="0"/>
        <v>LENC</v>
      </c>
      <c r="J16" s="86" t="str">
        <f t="shared" si="1"/>
        <v>26</v>
      </c>
      <c r="K16" s="77" t="s">
        <v>157</v>
      </c>
      <c r="L16" s="77">
        <v>1</v>
      </c>
      <c r="M16" s="77" t="s">
        <v>158</v>
      </c>
      <c r="N16" s="88">
        <v>19</v>
      </c>
      <c r="O16" s="77" t="s">
        <v>159</v>
      </c>
      <c r="P16" s="77"/>
      <c r="Q16" s="31"/>
      <c r="R16" s="63"/>
    </row>
    <row r="17" spans="1:18" ht="39.75" hidden="1" customHeight="1" x14ac:dyDescent="0.25">
      <c r="A17" s="78">
        <f>IF(B17="","",COUNTA($B$7:B16))</f>
        <v>10</v>
      </c>
      <c r="B17" s="85">
        <v>46037</v>
      </c>
      <c r="C17" s="77" t="s">
        <v>150</v>
      </c>
      <c r="D17" s="77" t="s">
        <v>160</v>
      </c>
      <c r="E17" s="77" t="s">
        <v>161</v>
      </c>
      <c r="F17" s="77" t="s">
        <v>118</v>
      </c>
      <c r="G17" s="77" t="s">
        <v>69</v>
      </c>
      <c r="H17" s="131" t="s">
        <v>118</v>
      </c>
      <c r="I17" s="86" t="str">
        <f t="shared" si="0"/>
        <v>LENC</v>
      </c>
      <c r="J17" s="86" t="str">
        <f t="shared" si="1"/>
        <v>26</v>
      </c>
      <c r="K17" s="77" t="s">
        <v>69</v>
      </c>
      <c r="L17" s="77">
        <v>2</v>
      </c>
      <c r="M17" s="77" t="s">
        <v>69</v>
      </c>
      <c r="N17" s="88" t="s">
        <v>153</v>
      </c>
      <c r="O17" s="77" t="s">
        <v>121</v>
      </c>
      <c r="P17" s="77"/>
      <c r="Q17" s="31"/>
      <c r="R17" s="63"/>
    </row>
    <row r="18" spans="1:18" ht="39.75" hidden="1" customHeight="1" x14ac:dyDescent="0.25">
      <c r="A18" s="78">
        <f>IF(B18="","",COUNTA($B$7:B17))</f>
        <v>11</v>
      </c>
      <c r="B18" s="85">
        <v>46037</v>
      </c>
      <c r="C18" s="77" t="s">
        <v>150</v>
      </c>
      <c r="D18" s="77" t="s">
        <v>162</v>
      </c>
      <c r="E18" s="77" t="s">
        <v>163</v>
      </c>
      <c r="F18" s="77" t="s">
        <v>118</v>
      </c>
      <c r="G18" s="77" t="s">
        <v>69</v>
      </c>
      <c r="H18" s="131" t="s">
        <v>118</v>
      </c>
      <c r="I18" s="86" t="str">
        <f t="shared" si="0"/>
        <v>LENC</v>
      </c>
      <c r="J18" s="86" t="str">
        <f t="shared" si="1"/>
        <v>26</v>
      </c>
      <c r="K18" s="77" t="s">
        <v>69</v>
      </c>
      <c r="L18" s="77">
        <v>2</v>
      </c>
      <c r="M18" s="77" t="s">
        <v>69</v>
      </c>
      <c r="N18" s="88" t="s">
        <v>153</v>
      </c>
      <c r="O18" s="77" t="s">
        <v>121</v>
      </c>
      <c r="P18" s="77"/>
      <c r="Q18" s="31"/>
      <c r="R18" s="63"/>
    </row>
    <row r="19" spans="1:18" ht="39.75" hidden="1" customHeight="1" x14ac:dyDescent="0.25">
      <c r="A19" s="78">
        <f>IF(B19="","",COUNTA($B$7:B18))</f>
        <v>12</v>
      </c>
      <c r="B19" s="85">
        <v>46038</v>
      </c>
      <c r="C19" s="77" t="s">
        <v>150</v>
      </c>
      <c r="D19" s="77" t="s">
        <v>164</v>
      </c>
      <c r="E19" s="77" t="s">
        <v>165</v>
      </c>
      <c r="F19" s="77" t="s">
        <v>118</v>
      </c>
      <c r="G19" s="77" t="s">
        <v>69</v>
      </c>
      <c r="H19" s="131" t="s">
        <v>118</v>
      </c>
      <c r="I19" s="86" t="str">
        <f t="shared" si="0"/>
        <v>LENC</v>
      </c>
      <c r="J19" s="86" t="str">
        <f t="shared" si="1"/>
        <v>26</v>
      </c>
      <c r="K19" s="77" t="s">
        <v>69</v>
      </c>
      <c r="L19" s="77">
        <v>6</v>
      </c>
      <c r="M19" s="77" t="s">
        <v>69</v>
      </c>
      <c r="N19" s="88" t="s">
        <v>166</v>
      </c>
      <c r="O19" s="77" t="s">
        <v>121</v>
      </c>
      <c r="P19" s="77"/>
      <c r="Q19" s="31"/>
      <c r="R19" s="63"/>
    </row>
    <row r="20" spans="1:18" ht="39.75" hidden="1" customHeight="1" x14ac:dyDescent="0.25">
      <c r="A20" s="78">
        <f>IF(B20="","",COUNTA($B$7:B19))</f>
        <v>13</v>
      </c>
      <c r="B20" s="85">
        <v>46038</v>
      </c>
      <c r="C20" s="77" t="s">
        <v>138</v>
      </c>
      <c r="D20" s="77" t="s">
        <v>167</v>
      </c>
      <c r="E20" s="77" t="s">
        <v>168</v>
      </c>
      <c r="F20" s="77" t="s">
        <v>118</v>
      </c>
      <c r="G20" s="77" t="s">
        <v>169</v>
      </c>
      <c r="H20" s="131" t="s">
        <v>118</v>
      </c>
      <c r="I20" s="86" t="str">
        <f t="shared" si="0"/>
        <v>LENC</v>
      </c>
      <c r="J20" s="86" t="str">
        <f t="shared" si="1"/>
        <v>26</v>
      </c>
      <c r="K20" s="77" t="s">
        <v>170</v>
      </c>
      <c r="L20" s="77">
        <v>1</v>
      </c>
      <c r="M20" s="77" t="s">
        <v>171</v>
      </c>
      <c r="N20" s="88" t="s">
        <v>149</v>
      </c>
      <c r="O20" s="77" t="s">
        <v>172</v>
      </c>
      <c r="P20" s="77"/>
      <c r="Q20" s="31"/>
      <c r="R20" s="63"/>
    </row>
    <row r="21" spans="1:18" ht="39.75" hidden="1" customHeight="1" x14ac:dyDescent="0.25">
      <c r="A21" s="78">
        <f>IF(B21="","",COUNTA($B$7:B20))</f>
        <v>14</v>
      </c>
      <c r="B21" s="85">
        <v>46038</v>
      </c>
      <c r="C21" s="77" t="s">
        <v>138</v>
      </c>
      <c r="D21" s="77" t="s">
        <v>167</v>
      </c>
      <c r="E21" s="77" t="s">
        <v>173</v>
      </c>
      <c r="F21" s="77" t="s">
        <v>118</v>
      </c>
      <c r="G21" s="77" t="s">
        <v>174</v>
      </c>
      <c r="H21" s="131" t="s">
        <v>118</v>
      </c>
      <c r="I21" s="86" t="str">
        <f t="shared" si="0"/>
        <v>LENC</v>
      </c>
      <c r="J21" s="86" t="str">
        <f t="shared" si="1"/>
        <v>26</v>
      </c>
      <c r="K21" s="77" t="s">
        <v>175</v>
      </c>
      <c r="L21" s="77">
        <v>1</v>
      </c>
      <c r="M21" s="77" t="s">
        <v>69</v>
      </c>
      <c r="N21" s="88" t="s">
        <v>176</v>
      </c>
      <c r="O21" s="77" t="s">
        <v>126</v>
      </c>
      <c r="P21" s="77" t="s">
        <v>144</v>
      </c>
      <c r="Q21" s="31"/>
      <c r="R21" s="63"/>
    </row>
    <row r="22" spans="1:18" ht="39.75" hidden="1" customHeight="1" x14ac:dyDescent="0.25">
      <c r="A22" s="78">
        <f>IF(B22="","",COUNTA($B$7:B21))</f>
        <v>15</v>
      </c>
      <c r="B22" s="85">
        <v>46038</v>
      </c>
      <c r="C22" s="77" t="s">
        <v>150</v>
      </c>
      <c r="D22" s="77" t="s">
        <v>177</v>
      </c>
      <c r="E22" s="77" t="s">
        <v>178</v>
      </c>
      <c r="F22" s="77" t="s">
        <v>118</v>
      </c>
      <c r="G22" s="77" t="s">
        <v>69</v>
      </c>
      <c r="H22" s="131" t="s">
        <v>118</v>
      </c>
      <c r="I22" s="86" t="str">
        <f t="shared" si="0"/>
        <v>LENC</v>
      </c>
      <c r="J22" s="86" t="str">
        <f t="shared" si="1"/>
        <v>26</v>
      </c>
      <c r="K22" s="77" t="s">
        <v>179</v>
      </c>
      <c r="L22" s="77">
        <v>2</v>
      </c>
      <c r="M22" s="77" t="s">
        <v>180</v>
      </c>
      <c r="N22" s="88" t="s">
        <v>149</v>
      </c>
      <c r="O22" s="77" t="s">
        <v>172</v>
      </c>
      <c r="P22" s="77"/>
      <c r="Q22" s="31"/>
      <c r="R22" s="63"/>
    </row>
    <row r="23" spans="1:18" ht="39.75" hidden="1" customHeight="1" x14ac:dyDescent="0.25">
      <c r="A23" s="78">
        <f>IF(B23="","",COUNTA($B$7:B22))</f>
        <v>16</v>
      </c>
      <c r="B23" s="85">
        <v>46041</v>
      </c>
      <c r="C23" s="77" t="s">
        <v>181</v>
      </c>
      <c r="D23" s="77" t="s">
        <v>182</v>
      </c>
      <c r="E23" s="77" t="s">
        <v>181</v>
      </c>
      <c r="F23" s="77" t="s">
        <v>118</v>
      </c>
      <c r="G23" s="77" t="s">
        <v>69</v>
      </c>
      <c r="H23" s="131" t="s">
        <v>118</v>
      </c>
      <c r="I23" s="86" t="str">
        <f t="shared" si="0"/>
        <v>LENC</v>
      </c>
      <c r="J23" s="86" t="str">
        <f t="shared" si="1"/>
        <v>26</v>
      </c>
      <c r="K23" s="77" t="s">
        <v>69</v>
      </c>
      <c r="L23" s="77">
        <v>6</v>
      </c>
      <c r="M23" s="77" t="s">
        <v>69</v>
      </c>
      <c r="N23" s="88">
        <v>33</v>
      </c>
      <c r="O23" s="77" t="s">
        <v>159</v>
      </c>
      <c r="P23" s="77" t="s">
        <v>183</v>
      </c>
      <c r="Q23" s="31"/>
      <c r="R23" s="63"/>
    </row>
    <row r="24" spans="1:18" ht="39.75" hidden="1" customHeight="1" x14ac:dyDescent="0.25">
      <c r="A24" s="78">
        <f>IF(B24="","",COUNTA($B$7:B23))</f>
        <v>17</v>
      </c>
      <c r="B24" s="85">
        <v>46013</v>
      </c>
      <c r="C24" s="77" t="s">
        <v>115</v>
      </c>
      <c r="D24" s="77" t="s">
        <v>184</v>
      </c>
      <c r="E24" s="77" t="s">
        <v>69</v>
      </c>
      <c r="F24" s="77" t="s">
        <v>118</v>
      </c>
      <c r="G24" s="77" t="s">
        <v>185</v>
      </c>
      <c r="H24" s="131" t="s">
        <v>118</v>
      </c>
      <c r="I24" s="86" t="str">
        <f t="shared" si="0"/>
        <v>LENC</v>
      </c>
      <c r="J24" s="86" t="str">
        <f t="shared" si="1"/>
        <v>25</v>
      </c>
      <c r="K24" s="77" t="s">
        <v>186</v>
      </c>
      <c r="L24" s="77">
        <v>2</v>
      </c>
      <c r="M24" s="77" t="s">
        <v>187</v>
      </c>
      <c r="N24" s="88" t="s">
        <v>153</v>
      </c>
      <c r="O24" s="77" t="s">
        <v>121</v>
      </c>
      <c r="P24" s="77"/>
      <c r="Q24" s="31"/>
      <c r="R24" s="63"/>
    </row>
    <row r="25" spans="1:18" ht="39.75" hidden="1" customHeight="1" x14ac:dyDescent="0.25">
      <c r="A25" s="78">
        <f>IF(B25="","",COUNTA($B$7:B24))</f>
        <v>18</v>
      </c>
      <c r="B25" s="85">
        <v>46029</v>
      </c>
      <c r="C25" s="77" t="s">
        <v>115</v>
      </c>
      <c r="D25" s="77" t="s">
        <v>188</v>
      </c>
      <c r="E25" s="77" t="s">
        <v>189</v>
      </c>
      <c r="F25" s="77" t="s">
        <v>118</v>
      </c>
      <c r="G25" s="77" t="s">
        <v>190</v>
      </c>
      <c r="H25" s="131" t="s">
        <v>118</v>
      </c>
      <c r="I25" s="86" t="str">
        <f t="shared" si="0"/>
        <v>LENC</v>
      </c>
      <c r="J25" s="86" t="str">
        <f t="shared" si="1"/>
        <v>26</v>
      </c>
      <c r="K25" s="77" t="s">
        <v>191</v>
      </c>
      <c r="L25" s="77">
        <v>1</v>
      </c>
      <c r="M25" s="77" t="s">
        <v>192</v>
      </c>
      <c r="N25" s="88">
        <v>10</v>
      </c>
      <c r="O25" s="77" t="s">
        <v>159</v>
      </c>
      <c r="P25" s="77"/>
      <c r="Q25" s="31"/>
      <c r="R25" s="63"/>
    </row>
    <row r="26" spans="1:18" ht="39.75" hidden="1" customHeight="1" x14ac:dyDescent="0.25">
      <c r="A26" s="78">
        <f>IF(B26="","",COUNTA($B$7:B25))</f>
        <v>19</v>
      </c>
      <c r="B26" s="85">
        <v>46046</v>
      </c>
      <c r="C26" s="77" t="s">
        <v>193</v>
      </c>
      <c r="D26" s="77" t="s">
        <v>194</v>
      </c>
      <c r="E26" s="77" t="s">
        <v>161</v>
      </c>
      <c r="F26" s="77" t="s">
        <v>118</v>
      </c>
      <c r="G26" s="77" t="s">
        <v>195</v>
      </c>
      <c r="H26" s="131" t="s">
        <v>118</v>
      </c>
      <c r="I26" s="86" t="str">
        <f t="shared" si="0"/>
        <v>LENC</v>
      </c>
      <c r="J26" s="86" t="str">
        <f t="shared" si="1"/>
        <v>26</v>
      </c>
      <c r="K26" s="77" t="s">
        <v>196</v>
      </c>
      <c r="L26" s="77">
        <v>2</v>
      </c>
      <c r="M26" s="77" t="s">
        <v>197</v>
      </c>
      <c r="N26" s="88" t="s">
        <v>198</v>
      </c>
      <c r="O26" s="77" t="s">
        <v>172</v>
      </c>
      <c r="P26" s="77"/>
      <c r="Q26" s="31"/>
      <c r="R26" s="63"/>
    </row>
    <row r="27" spans="1:18" ht="39.75" hidden="1" customHeight="1" x14ac:dyDescent="0.25">
      <c r="A27" s="78">
        <f>IF(B27="","",COUNTA($B$7:B26))</f>
        <v>20</v>
      </c>
      <c r="B27" s="85">
        <v>46048</v>
      </c>
      <c r="C27" s="77" t="s">
        <v>199</v>
      </c>
      <c r="D27" s="77" t="s">
        <v>200</v>
      </c>
      <c r="E27" s="77" t="s">
        <v>199</v>
      </c>
      <c r="F27" s="77" t="s">
        <v>118</v>
      </c>
      <c r="G27" s="77" t="s">
        <v>201</v>
      </c>
      <c r="H27" s="131" t="s">
        <v>118</v>
      </c>
      <c r="I27" s="86" t="str">
        <f t="shared" si="0"/>
        <v>LENC</v>
      </c>
      <c r="J27" s="86" t="str">
        <f t="shared" si="1"/>
        <v>26</v>
      </c>
      <c r="K27" s="77" t="s">
        <v>69</v>
      </c>
      <c r="L27" s="77">
        <v>10</v>
      </c>
      <c r="M27" s="77" t="s">
        <v>69</v>
      </c>
      <c r="N27" s="88" t="s">
        <v>153</v>
      </c>
      <c r="O27" s="77" t="s">
        <v>121</v>
      </c>
      <c r="P27" s="77"/>
      <c r="Q27" s="31"/>
      <c r="R27" s="63"/>
    </row>
    <row r="28" spans="1:18" ht="39.75" hidden="1" customHeight="1" x14ac:dyDescent="0.25">
      <c r="A28" s="78">
        <f>IF(B28="","",COUNTA($B$7:B27))</f>
        <v>21</v>
      </c>
      <c r="B28" s="85">
        <v>46052</v>
      </c>
      <c r="C28" s="77" t="s">
        <v>150</v>
      </c>
      <c r="D28" s="77" t="s">
        <v>202</v>
      </c>
      <c r="E28" s="77"/>
      <c r="F28" s="77" t="s">
        <v>118</v>
      </c>
      <c r="G28" s="77" t="s">
        <v>69</v>
      </c>
      <c r="H28" s="131" t="s">
        <v>118</v>
      </c>
      <c r="I28" s="86" t="str">
        <f t="shared" si="0"/>
        <v>LENC</v>
      </c>
      <c r="J28" s="86" t="str">
        <f t="shared" si="1"/>
        <v>26</v>
      </c>
      <c r="K28" s="77" t="s">
        <v>69</v>
      </c>
      <c r="L28" s="77">
        <v>1</v>
      </c>
      <c r="M28" s="77" t="s">
        <v>69</v>
      </c>
      <c r="N28" s="88" t="s">
        <v>203</v>
      </c>
      <c r="O28" s="77" t="s">
        <v>121</v>
      </c>
      <c r="P28" s="77"/>
      <c r="Q28" s="31"/>
      <c r="R28" s="63"/>
    </row>
    <row r="29" spans="1:18" ht="39.75" hidden="1" customHeight="1" x14ac:dyDescent="0.25">
      <c r="A29" s="78">
        <f>IF(B29="","",COUNTA($B$7:B28))</f>
        <v>22</v>
      </c>
      <c r="B29" s="85">
        <v>46052</v>
      </c>
      <c r="C29" s="77" t="s">
        <v>204</v>
      </c>
      <c r="D29" s="77" t="s">
        <v>188</v>
      </c>
      <c r="E29" s="77" t="s">
        <v>205</v>
      </c>
      <c r="F29" s="77" t="s">
        <v>118</v>
      </c>
      <c r="G29" s="77" t="s">
        <v>69</v>
      </c>
      <c r="H29" s="131" t="s">
        <v>118</v>
      </c>
      <c r="I29" s="86" t="str">
        <f t="shared" si="0"/>
        <v>LENC</v>
      </c>
      <c r="J29" s="86" t="str">
        <f t="shared" si="1"/>
        <v>26</v>
      </c>
      <c r="K29" s="77" t="s">
        <v>206</v>
      </c>
      <c r="L29" s="77">
        <v>1</v>
      </c>
      <c r="M29" s="77" t="s">
        <v>207</v>
      </c>
      <c r="N29" s="88">
        <v>69</v>
      </c>
      <c r="O29" s="77" t="s">
        <v>159</v>
      </c>
      <c r="P29" s="77"/>
      <c r="Q29" s="31"/>
      <c r="R29" s="63"/>
    </row>
    <row r="30" spans="1:18" ht="39.75" hidden="1" customHeight="1" x14ac:dyDescent="0.25">
      <c r="A30" s="78">
        <f>IF(B30="","",COUNTA($B$7:B29))</f>
        <v>23</v>
      </c>
      <c r="B30" s="85">
        <v>46051</v>
      </c>
      <c r="C30" s="77" t="s">
        <v>208</v>
      </c>
      <c r="D30" s="77" t="s">
        <v>209</v>
      </c>
      <c r="E30" s="77" t="s">
        <v>69</v>
      </c>
      <c r="F30" s="77" t="s">
        <v>118</v>
      </c>
      <c r="G30" s="77" t="s">
        <v>210</v>
      </c>
      <c r="H30" s="131" t="s">
        <v>118</v>
      </c>
      <c r="I30" s="86" t="str">
        <f t="shared" si="0"/>
        <v>LENC</v>
      </c>
      <c r="J30" s="86" t="str">
        <f t="shared" si="1"/>
        <v>26</v>
      </c>
      <c r="K30" s="77" t="s">
        <v>69</v>
      </c>
      <c r="L30" s="77">
        <v>1</v>
      </c>
      <c r="M30" s="77" t="s">
        <v>69</v>
      </c>
      <c r="N30" s="88" t="s">
        <v>166</v>
      </c>
      <c r="O30" s="77" t="s">
        <v>121</v>
      </c>
      <c r="P30" s="77"/>
      <c r="Q30" s="31"/>
      <c r="R30" s="63"/>
    </row>
    <row r="31" spans="1:18" ht="39.75" hidden="1" customHeight="1" x14ac:dyDescent="0.25">
      <c r="A31" s="78">
        <f>IF(B31="","",COUNTA($B$7:B30))</f>
        <v>24</v>
      </c>
      <c r="B31" s="85">
        <v>46051</v>
      </c>
      <c r="C31" s="77" t="s">
        <v>150</v>
      </c>
      <c r="D31" s="77" t="s">
        <v>211</v>
      </c>
      <c r="E31" s="77" t="s">
        <v>212</v>
      </c>
      <c r="F31" s="77" t="s">
        <v>118</v>
      </c>
      <c r="G31" s="77" t="s">
        <v>69</v>
      </c>
      <c r="H31" s="131" t="s">
        <v>118</v>
      </c>
      <c r="I31" s="86" t="str">
        <f t="shared" si="0"/>
        <v>LENC</v>
      </c>
      <c r="J31" s="86" t="str">
        <f t="shared" si="1"/>
        <v>26</v>
      </c>
      <c r="K31" s="77" t="s">
        <v>213</v>
      </c>
      <c r="L31" s="77">
        <v>6</v>
      </c>
      <c r="M31" s="77" t="s">
        <v>214</v>
      </c>
      <c r="N31" s="88" t="s">
        <v>215</v>
      </c>
      <c r="O31" s="77" t="s">
        <v>126</v>
      </c>
      <c r="P31" s="77" t="s">
        <v>144</v>
      </c>
      <c r="Q31" s="31"/>
      <c r="R31" s="63"/>
    </row>
    <row r="32" spans="1:18" ht="39.75" hidden="1" customHeight="1" x14ac:dyDescent="0.25">
      <c r="A32" s="78">
        <f>IF(B32="","",COUNTA($B$7:B31))</f>
        <v>25</v>
      </c>
      <c r="B32" s="85">
        <v>46051</v>
      </c>
      <c r="C32" s="77" t="s">
        <v>216</v>
      </c>
      <c r="D32" s="77" t="s">
        <v>217</v>
      </c>
      <c r="E32" s="77" t="s">
        <v>218</v>
      </c>
      <c r="F32" s="77" t="s">
        <v>118</v>
      </c>
      <c r="G32" s="77" t="s">
        <v>69</v>
      </c>
      <c r="H32" s="131" t="s">
        <v>118</v>
      </c>
      <c r="I32" s="86" t="str">
        <f t="shared" si="0"/>
        <v>LENC</v>
      </c>
      <c r="J32" s="86" t="str">
        <f t="shared" si="1"/>
        <v>26</v>
      </c>
      <c r="K32" s="77" t="s">
        <v>219</v>
      </c>
      <c r="L32" s="77">
        <v>4</v>
      </c>
      <c r="M32" s="77" t="s">
        <v>220</v>
      </c>
      <c r="N32" s="88">
        <v>38</v>
      </c>
      <c r="O32" s="77" t="s">
        <v>159</v>
      </c>
      <c r="P32" s="77" t="s">
        <v>221</v>
      </c>
      <c r="Q32" s="31"/>
      <c r="R32" s="63"/>
    </row>
    <row r="33" spans="1:18" ht="39.75" hidden="1" customHeight="1" x14ac:dyDescent="0.25">
      <c r="A33" s="78">
        <f>IF(B33="","",COUNTA($B$7:B32))</f>
        <v>26</v>
      </c>
      <c r="B33" s="85">
        <v>46051</v>
      </c>
      <c r="C33" s="77" t="s">
        <v>216</v>
      </c>
      <c r="D33" s="77" t="s">
        <v>222</v>
      </c>
      <c r="E33" s="77" t="s">
        <v>218</v>
      </c>
      <c r="F33" s="77" t="s">
        <v>118</v>
      </c>
      <c r="G33" s="77" t="s">
        <v>69</v>
      </c>
      <c r="H33" s="131" t="s">
        <v>118</v>
      </c>
      <c r="I33" s="86" t="str">
        <f t="shared" si="0"/>
        <v>LENC</v>
      </c>
      <c r="J33" s="86" t="str">
        <f t="shared" si="1"/>
        <v>26</v>
      </c>
      <c r="K33" s="77" t="s">
        <v>219</v>
      </c>
      <c r="L33" s="77">
        <v>2</v>
      </c>
      <c r="M33" s="77" t="s">
        <v>220</v>
      </c>
      <c r="N33" s="88">
        <v>38</v>
      </c>
      <c r="O33" s="77" t="s">
        <v>159</v>
      </c>
      <c r="P33" s="77" t="s">
        <v>221</v>
      </c>
      <c r="Q33" s="31"/>
      <c r="R33" s="63"/>
    </row>
    <row r="34" spans="1:18" ht="39.75" hidden="1" customHeight="1" x14ac:dyDescent="0.25">
      <c r="A34" s="78">
        <f>IF(B34="","",COUNTA($B$7:B33))</f>
        <v>27</v>
      </c>
      <c r="B34" s="85">
        <v>46050</v>
      </c>
      <c r="C34" s="77" t="s">
        <v>223</v>
      </c>
      <c r="D34" s="77" t="s">
        <v>224</v>
      </c>
      <c r="E34" s="77" t="s">
        <v>225</v>
      </c>
      <c r="F34" s="77" t="s">
        <v>118</v>
      </c>
      <c r="G34" s="77">
        <v>18879</v>
      </c>
      <c r="H34" s="131" t="s">
        <v>118</v>
      </c>
      <c r="I34" s="86" t="str">
        <f t="shared" si="0"/>
        <v>LENC</v>
      </c>
      <c r="J34" s="86" t="str">
        <f t="shared" si="1"/>
        <v>26</v>
      </c>
      <c r="K34" s="77" t="s">
        <v>226</v>
      </c>
      <c r="L34" s="77">
        <v>1</v>
      </c>
      <c r="M34" s="77" t="s">
        <v>227</v>
      </c>
      <c r="N34" s="88" t="s">
        <v>228</v>
      </c>
      <c r="O34" s="77" t="s">
        <v>126</v>
      </c>
      <c r="P34" s="77"/>
      <c r="Q34" s="31"/>
      <c r="R34" s="63"/>
    </row>
    <row r="35" spans="1:18" ht="39.75" hidden="1" customHeight="1" x14ac:dyDescent="0.25">
      <c r="A35" s="78">
        <f>IF(B35="","",COUNTA($B$7:B34))</f>
        <v>28</v>
      </c>
      <c r="B35" s="85">
        <v>46050</v>
      </c>
      <c r="C35" s="77" t="s">
        <v>223</v>
      </c>
      <c r="D35" s="77" t="s">
        <v>229</v>
      </c>
      <c r="E35" s="77" t="s">
        <v>225</v>
      </c>
      <c r="F35" s="77" t="s">
        <v>118</v>
      </c>
      <c r="G35" s="77">
        <v>18880</v>
      </c>
      <c r="H35" s="131" t="s">
        <v>118</v>
      </c>
      <c r="I35" s="86" t="str">
        <f t="shared" si="0"/>
        <v>LENC</v>
      </c>
      <c r="J35" s="86" t="str">
        <f t="shared" si="1"/>
        <v>26</v>
      </c>
      <c r="K35" s="77" t="s">
        <v>226</v>
      </c>
      <c r="L35" s="77">
        <v>1</v>
      </c>
      <c r="M35" s="77" t="s">
        <v>227</v>
      </c>
      <c r="N35" s="88" t="s">
        <v>228</v>
      </c>
      <c r="O35" s="77" t="s">
        <v>126</v>
      </c>
      <c r="P35" s="77"/>
      <c r="Q35" s="31"/>
      <c r="R35" s="63"/>
    </row>
    <row r="36" spans="1:18" ht="39.75" hidden="1" customHeight="1" x14ac:dyDescent="0.25">
      <c r="A36" s="78">
        <f>IF(B36="","",COUNTA($B$7:B35))</f>
        <v>29</v>
      </c>
      <c r="B36" s="85">
        <v>46050</v>
      </c>
      <c r="C36" s="77" t="s">
        <v>223</v>
      </c>
      <c r="D36" s="77" t="s">
        <v>230</v>
      </c>
      <c r="E36" s="77" t="s">
        <v>225</v>
      </c>
      <c r="F36" s="77" t="s">
        <v>118</v>
      </c>
      <c r="G36" s="77">
        <v>18878</v>
      </c>
      <c r="H36" s="131" t="s">
        <v>118</v>
      </c>
      <c r="I36" s="86" t="str">
        <f t="shared" si="0"/>
        <v>LENC</v>
      </c>
      <c r="J36" s="86" t="str">
        <f t="shared" si="1"/>
        <v>26</v>
      </c>
      <c r="K36" s="77" t="s">
        <v>226</v>
      </c>
      <c r="L36" s="77">
        <v>1</v>
      </c>
      <c r="M36" s="77" t="s">
        <v>227</v>
      </c>
      <c r="N36" s="88" t="s">
        <v>228</v>
      </c>
      <c r="O36" s="77" t="s">
        <v>126</v>
      </c>
      <c r="P36" s="77"/>
      <c r="Q36" s="31"/>
      <c r="R36" s="63"/>
    </row>
    <row r="37" spans="1:18" ht="39.75" hidden="1" customHeight="1" x14ac:dyDescent="0.25">
      <c r="A37" s="78">
        <f>IF(B37="","",COUNTA($B$7:B36))</f>
        <v>30</v>
      </c>
      <c r="B37" s="85">
        <v>46050</v>
      </c>
      <c r="C37" s="77" t="s">
        <v>223</v>
      </c>
      <c r="D37" s="77" t="s">
        <v>231</v>
      </c>
      <c r="E37" s="77" t="s">
        <v>225</v>
      </c>
      <c r="F37" s="77" t="s">
        <v>118</v>
      </c>
      <c r="G37" s="77">
        <v>18883</v>
      </c>
      <c r="H37" s="131" t="s">
        <v>118</v>
      </c>
      <c r="I37" s="86" t="str">
        <f t="shared" si="0"/>
        <v>LENC</v>
      </c>
      <c r="J37" s="86" t="str">
        <f t="shared" si="1"/>
        <v>26</v>
      </c>
      <c r="K37" s="77" t="s">
        <v>226</v>
      </c>
      <c r="L37" s="77">
        <v>1</v>
      </c>
      <c r="M37" s="77" t="s">
        <v>227</v>
      </c>
      <c r="N37" s="88" t="s">
        <v>228</v>
      </c>
      <c r="O37" s="77" t="s">
        <v>126</v>
      </c>
      <c r="P37" s="77"/>
      <c r="Q37" s="31"/>
      <c r="R37" s="63"/>
    </row>
    <row r="38" spans="1:18" ht="39.75" hidden="1" customHeight="1" x14ac:dyDescent="0.25">
      <c r="A38" s="78">
        <f>IF(B38="","",COUNTA($B$7:B37))</f>
        <v>31</v>
      </c>
      <c r="B38" s="85">
        <v>46050</v>
      </c>
      <c r="C38" s="77" t="s">
        <v>223</v>
      </c>
      <c r="D38" s="77" t="s">
        <v>232</v>
      </c>
      <c r="E38" s="77" t="s">
        <v>225</v>
      </c>
      <c r="F38" s="77" t="s">
        <v>118</v>
      </c>
      <c r="G38" s="77">
        <v>18884</v>
      </c>
      <c r="H38" s="131" t="s">
        <v>118</v>
      </c>
      <c r="I38" s="86" t="str">
        <f t="shared" si="0"/>
        <v>LENC</v>
      </c>
      <c r="J38" s="86" t="str">
        <f t="shared" si="1"/>
        <v>26</v>
      </c>
      <c r="K38" s="77" t="s">
        <v>226</v>
      </c>
      <c r="L38" s="77">
        <v>1</v>
      </c>
      <c r="M38" s="77" t="s">
        <v>227</v>
      </c>
      <c r="N38" s="88" t="s">
        <v>228</v>
      </c>
      <c r="O38" s="77" t="s">
        <v>126</v>
      </c>
      <c r="P38" s="77"/>
      <c r="Q38" s="31"/>
      <c r="R38" s="63"/>
    </row>
    <row r="39" spans="1:18" ht="39.75" hidden="1" customHeight="1" x14ac:dyDescent="0.25">
      <c r="A39" s="78">
        <f>IF(B39="","",COUNTA($B$7:B38))</f>
        <v>32</v>
      </c>
      <c r="B39" s="85">
        <v>46050</v>
      </c>
      <c r="C39" s="77" t="s">
        <v>223</v>
      </c>
      <c r="D39" s="77" t="s">
        <v>233</v>
      </c>
      <c r="E39" s="77" t="s">
        <v>225</v>
      </c>
      <c r="F39" s="77" t="s">
        <v>118</v>
      </c>
      <c r="G39" s="77">
        <v>18882</v>
      </c>
      <c r="H39" s="131" t="s">
        <v>118</v>
      </c>
      <c r="I39" s="86" t="str">
        <f t="shared" si="0"/>
        <v>LENC</v>
      </c>
      <c r="J39" s="86" t="str">
        <f t="shared" si="1"/>
        <v>26</v>
      </c>
      <c r="K39" s="77" t="s">
        <v>226</v>
      </c>
      <c r="L39" s="77">
        <v>1</v>
      </c>
      <c r="M39" s="77" t="s">
        <v>227</v>
      </c>
      <c r="N39" s="88" t="s">
        <v>228</v>
      </c>
      <c r="O39" s="77" t="s">
        <v>126</v>
      </c>
      <c r="P39" s="77"/>
      <c r="Q39" s="31"/>
      <c r="R39" s="63"/>
    </row>
    <row r="40" spans="1:18" ht="39.75" hidden="1" customHeight="1" x14ac:dyDescent="0.25">
      <c r="A40" s="78">
        <f>IF(B40="","",COUNTA($B$7:B39))</f>
        <v>33</v>
      </c>
      <c r="B40" s="85">
        <v>46050</v>
      </c>
      <c r="C40" s="77" t="s">
        <v>223</v>
      </c>
      <c r="D40" s="77" t="s">
        <v>234</v>
      </c>
      <c r="E40" s="77" t="s">
        <v>225</v>
      </c>
      <c r="F40" s="77" t="s">
        <v>118</v>
      </c>
      <c r="G40" s="77">
        <v>18881</v>
      </c>
      <c r="H40" s="131" t="s">
        <v>118</v>
      </c>
      <c r="I40" s="86" t="str">
        <f t="shared" si="0"/>
        <v>LENC</v>
      </c>
      <c r="J40" s="86" t="str">
        <f t="shared" si="1"/>
        <v>26</v>
      </c>
      <c r="K40" s="77" t="s">
        <v>226</v>
      </c>
      <c r="L40" s="77">
        <v>1</v>
      </c>
      <c r="M40" s="77" t="s">
        <v>227</v>
      </c>
      <c r="N40" s="88">
        <v>27</v>
      </c>
      <c r="O40" s="77" t="s">
        <v>235</v>
      </c>
      <c r="P40" s="77"/>
      <c r="Q40" s="31"/>
      <c r="R40" s="63"/>
    </row>
    <row r="41" spans="1:18" ht="39.75" hidden="1" customHeight="1" x14ac:dyDescent="0.25">
      <c r="A41" s="78">
        <f>IF(B41="","",COUNTA($B$7:B40))</f>
        <v>34</v>
      </c>
      <c r="B41" s="85">
        <v>46050</v>
      </c>
      <c r="C41" s="77" t="s">
        <v>223</v>
      </c>
      <c r="D41" s="77" t="s">
        <v>236</v>
      </c>
      <c r="E41" s="77" t="s">
        <v>225</v>
      </c>
      <c r="F41" s="77" t="s">
        <v>118</v>
      </c>
      <c r="G41" s="77">
        <v>18885</v>
      </c>
      <c r="H41" s="131" t="s">
        <v>118</v>
      </c>
      <c r="I41" s="86" t="str">
        <f t="shared" si="0"/>
        <v>LENC</v>
      </c>
      <c r="J41" s="86" t="str">
        <f t="shared" si="1"/>
        <v>26</v>
      </c>
      <c r="K41" s="77" t="s">
        <v>69</v>
      </c>
      <c r="L41" s="77">
        <v>1</v>
      </c>
      <c r="M41" s="77" t="s">
        <v>69</v>
      </c>
      <c r="N41" s="88" t="s">
        <v>198</v>
      </c>
      <c r="O41" s="77" t="s">
        <v>172</v>
      </c>
      <c r="P41" s="77"/>
      <c r="Q41" s="31"/>
      <c r="R41" s="63"/>
    </row>
    <row r="42" spans="1:18" ht="39.75" hidden="1" customHeight="1" x14ac:dyDescent="0.25">
      <c r="A42" s="78">
        <f>IF(B42="","",COUNTA($B$7:B41))</f>
        <v>35</v>
      </c>
      <c r="B42" s="85">
        <v>46051</v>
      </c>
      <c r="C42" s="77" t="s">
        <v>150</v>
      </c>
      <c r="D42" s="77" t="s">
        <v>237</v>
      </c>
      <c r="E42" s="77" t="s">
        <v>238</v>
      </c>
      <c r="F42" s="77" t="s">
        <v>118</v>
      </c>
      <c r="G42" s="77">
        <v>20859</v>
      </c>
      <c r="H42" s="131" t="s">
        <v>118</v>
      </c>
      <c r="I42" s="86" t="str">
        <f t="shared" si="0"/>
        <v>LENC</v>
      </c>
      <c r="J42" s="86" t="str">
        <f t="shared" si="1"/>
        <v>26</v>
      </c>
      <c r="K42" s="77" t="s">
        <v>239</v>
      </c>
      <c r="L42" s="77">
        <v>1</v>
      </c>
      <c r="M42" s="77" t="s">
        <v>69</v>
      </c>
      <c r="N42" s="88" t="s">
        <v>240</v>
      </c>
      <c r="O42" s="77" t="s">
        <v>126</v>
      </c>
      <c r="P42" s="77"/>
      <c r="Q42" s="31"/>
      <c r="R42" s="63"/>
    </row>
    <row r="43" spans="1:18" ht="39.75" hidden="1" customHeight="1" x14ac:dyDescent="0.25">
      <c r="A43" s="78">
        <f>IF(B43="","",COUNTA($B$7:B42))</f>
        <v>36</v>
      </c>
      <c r="B43" s="85">
        <v>46055</v>
      </c>
      <c r="C43" s="77" t="s">
        <v>122</v>
      </c>
      <c r="D43" s="77" t="s">
        <v>241</v>
      </c>
      <c r="E43" s="77" t="s">
        <v>122</v>
      </c>
      <c r="F43" s="77" t="s">
        <v>118</v>
      </c>
      <c r="G43" s="77">
        <v>20297</v>
      </c>
      <c r="H43" s="131" t="s">
        <v>118</v>
      </c>
      <c r="I43" s="86" t="str">
        <f t="shared" si="0"/>
        <v>LENC</v>
      </c>
      <c r="J43" s="86" t="str">
        <f t="shared" si="1"/>
        <v>26</v>
      </c>
      <c r="K43" s="77" t="s">
        <v>242</v>
      </c>
      <c r="L43" s="77">
        <v>1</v>
      </c>
      <c r="M43" s="77" t="s">
        <v>243</v>
      </c>
      <c r="N43" s="88" t="s">
        <v>166</v>
      </c>
      <c r="O43" s="77" t="s">
        <v>121</v>
      </c>
      <c r="P43" s="77"/>
      <c r="Q43" s="31"/>
      <c r="R43" s="63"/>
    </row>
    <row r="44" spans="1:18" ht="39.75" hidden="1" customHeight="1" x14ac:dyDescent="0.25">
      <c r="A44" s="78">
        <f>IF(B44="","",COUNTA($B$7:B43))</f>
        <v>37</v>
      </c>
      <c r="B44" s="85">
        <v>46051</v>
      </c>
      <c r="C44" s="77" t="s">
        <v>122</v>
      </c>
      <c r="D44" s="77" t="s">
        <v>244</v>
      </c>
      <c r="E44" s="77" t="s">
        <v>122</v>
      </c>
      <c r="F44" s="77" t="s">
        <v>118</v>
      </c>
      <c r="G44" s="77">
        <v>20260</v>
      </c>
      <c r="H44" s="131" t="s">
        <v>118</v>
      </c>
      <c r="I44" s="86" t="str">
        <f t="shared" si="0"/>
        <v>LENC</v>
      </c>
      <c r="J44" s="86" t="str">
        <f t="shared" si="1"/>
        <v>26</v>
      </c>
      <c r="K44" s="77" t="s">
        <v>245</v>
      </c>
      <c r="L44" s="77">
        <v>1</v>
      </c>
      <c r="M44" s="77" t="s">
        <v>246</v>
      </c>
      <c r="N44" s="88">
        <v>45</v>
      </c>
      <c r="O44" s="77" t="s">
        <v>159</v>
      </c>
      <c r="P44" s="77"/>
      <c r="Q44" s="31"/>
      <c r="R44" s="63"/>
    </row>
    <row r="45" spans="1:18" ht="39.75" hidden="1" customHeight="1" x14ac:dyDescent="0.25">
      <c r="A45" s="78">
        <f>IF(B45="","",COUNTA($B$7:B44))</f>
        <v>38</v>
      </c>
      <c r="B45" s="85">
        <v>46051</v>
      </c>
      <c r="C45" s="77" t="s">
        <v>122</v>
      </c>
      <c r="D45" s="77" t="s">
        <v>247</v>
      </c>
      <c r="E45" s="77" t="s">
        <v>122</v>
      </c>
      <c r="F45" s="77" t="s">
        <v>118</v>
      </c>
      <c r="G45" s="77">
        <v>20270</v>
      </c>
      <c r="H45" s="131" t="s">
        <v>118</v>
      </c>
      <c r="I45" s="86" t="str">
        <f t="shared" si="0"/>
        <v>LENC</v>
      </c>
      <c r="J45" s="86" t="str">
        <f t="shared" si="1"/>
        <v>26</v>
      </c>
      <c r="K45" s="77" t="s">
        <v>245</v>
      </c>
      <c r="L45" s="77">
        <v>1</v>
      </c>
      <c r="M45" s="77" t="s">
        <v>246</v>
      </c>
      <c r="N45" s="88">
        <v>45</v>
      </c>
      <c r="O45" s="77" t="s">
        <v>159</v>
      </c>
      <c r="P45" s="77"/>
      <c r="Q45" s="31"/>
      <c r="R45" s="63"/>
    </row>
    <row r="46" spans="1:18" ht="39.75" hidden="1" customHeight="1" x14ac:dyDescent="0.25">
      <c r="A46" s="78">
        <f>IF(B46="","",COUNTA($B$7:B45))</f>
        <v>39</v>
      </c>
      <c r="B46" s="85">
        <v>46051</v>
      </c>
      <c r="C46" s="77" t="s">
        <v>122</v>
      </c>
      <c r="D46" s="77" t="s">
        <v>247</v>
      </c>
      <c r="E46" s="77" t="s">
        <v>122</v>
      </c>
      <c r="F46" s="77" t="s">
        <v>118</v>
      </c>
      <c r="G46" s="77">
        <v>20269</v>
      </c>
      <c r="H46" s="131" t="s">
        <v>118</v>
      </c>
      <c r="I46" s="86" t="str">
        <f t="shared" si="0"/>
        <v>LENC</v>
      </c>
      <c r="J46" s="86" t="str">
        <f t="shared" si="1"/>
        <v>26</v>
      </c>
      <c r="K46" s="77" t="s">
        <v>245</v>
      </c>
      <c r="L46" s="77">
        <v>1</v>
      </c>
      <c r="M46" s="77" t="s">
        <v>246</v>
      </c>
      <c r="N46" s="88">
        <v>45</v>
      </c>
      <c r="O46" s="77" t="s">
        <v>159</v>
      </c>
      <c r="P46" s="77"/>
      <c r="Q46" s="31"/>
      <c r="R46" s="63"/>
    </row>
    <row r="47" spans="1:18" ht="39.75" hidden="1" customHeight="1" x14ac:dyDescent="0.25">
      <c r="A47" s="78">
        <f>IF(B47="","",COUNTA($B$7:B46))</f>
        <v>40</v>
      </c>
      <c r="B47" s="85">
        <v>46051</v>
      </c>
      <c r="C47" s="77" t="s">
        <v>122</v>
      </c>
      <c r="D47" s="77" t="s">
        <v>248</v>
      </c>
      <c r="E47" s="77" t="s">
        <v>122</v>
      </c>
      <c r="F47" s="77" t="s">
        <v>118</v>
      </c>
      <c r="G47" s="77">
        <v>20247</v>
      </c>
      <c r="H47" s="131" t="s">
        <v>118</v>
      </c>
      <c r="I47" s="86" t="str">
        <f t="shared" si="0"/>
        <v>LENC</v>
      </c>
      <c r="J47" s="86" t="str">
        <f t="shared" si="1"/>
        <v>26</v>
      </c>
      <c r="K47" s="77" t="s">
        <v>245</v>
      </c>
      <c r="L47" s="77">
        <v>1</v>
      </c>
      <c r="M47" s="77" t="s">
        <v>246</v>
      </c>
      <c r="N47" s="88">
        <v>45</v>
      </c>
      <c r="O47" s="77" t="s">
        <v>159</v>
      </c>
      <c r="P47" s="77"/>
      <c r="Q47" s="31"/>
      <c r="R47" s="63"/>
    </row>
    <row r="48" spans="1:18" ht="39.75" hidden="1" customHeight="1" x14ac:dyDescent="0.25">
      <c r="A48" s="78">
        <f>IF(B48="","",COUNTA($B$7:B47))</f>
        <v>41</v>
      </c>
      <c r="B48" s="85">
        <v>46051</v>
      </c>
      <c r="C48" s="77" t="s">
        <v>122</v>
      </c>
      <c r="D48" s="77" t="s">
        <v>249</v>
      </c>
      <c r="E48" s="77" t="s">
        <v>122</v>
      </c>
      <c r="F48" s="77" t="s">
        <v>118</v>
      </c>
      <c r="G48" s="77">
        <v>20253</v>
      </c>
      <c r="H48" s="131" t="s">
        <v>118</v>
      </c>
      <c r="I48" s="86" t="str">
        <f t="shared" si="0"/>
        <v>LENC</v>
      </c>
      <c r="J48" s="86" t="str">
        <f t="shared" si="1"/>
        <v>26</v>
      </c>
      <c r="K48" s="77" t="s">
        <v>245</v>
      </c>
      <c r="L48" s="77">
        <v>1</v>
      </c>
      <c r="M48" s="77" t="s">
        <v>246</v>
      </c>
      <c r="N48" s="88">
        <v>45</v>
      </c>
      <c r="O48" s="77" t="s">
        <v>159</v>
      </c>
      <c r="P48" s="77"/>
      <c r="Q48" s="31"/>
      <c r="R48" s="63"/>
    </row>
    <row r="49" spans="1:18" ht="39.75" hidden="1" customHeight="1" x14ac:dyDescent="0.25">
      <c r="A49" s="78">
        <f>IF(B49="","",COUNTA($B$7:B48))</f>
        <v>42</v>
      </c>
      <c r="B49" s="85">
        <v>46051</v>
      </c>
      <c r="C49" s="77" t="s">
        <v>122</v>
      </c>
      <c r="D49" s="77" t="s">
        <v>250</v>
      </c>
      <c r="E49" s="77" t="s">
        <v>122</v>
      </c>
      <c r="F49" s="77" t="s">
        <v>118</v>
      </c>
      <c r="G49" s="77">
        <v>20261</v>
      </c>
      <c r="H49" s="131" t="s">
        <v>118</v>
      </c>
      <c r="I49" s="86" t="str">
        <f t="shared" si="0"/>
        <v>LENC</v>
      </c>
      <c r="J49" s="86" t="str">
        <f t="shared" si="1"/>
        <v>26</v>
      </c>
      <c r="K49" s="77" t="s">
        <v>245</v>
      </c>
      <c r="L49" s="77">
        <v>1</v>
      </c>
      <c r="M49" s="77" t="s">
        <v>246</v>
      </c>
      <c r="N49" s="88">
        <v>45</v>
      </c>
      <c r="O49" s="77" t="s">
        <v>159</v>
      </c>
      <c r="P49" s="77"/>
      <c r="Q49" s="31"/>
      <c r="R49" s="63"/>
    </row>
    <row r="50" spans="1:18" ht="39.75" hidden="1" customHeight="1" x14ac:dyDescent="0.25">
      <c r="A50" s="78">
        <f>IF(B50="","",COUNTA($B$7:B49))</f>
        <v>43</v>
      </c>
      <c r="B50" s="85">
        <v>46051</v>
      </c>
      <c r="C50" s="77" t="s">
        <v>251</v>
      </c>
      <c r="D50" s="77" t="s">
        <v>252</v>
      </c>
      <c r="E50" s="77" t="s">
        <v>251</v>
      </c>
      <c r="F50" s="77" t="s">
        <v>118</v>
      </c>
      <c r="G50" s="77">
        <v>21326</v>
      </c>
      <c r="H50" s="131" t="s">
        <v>118</v>
      </c>
      <c r="I50" s="86" t="str">
        <f t="shared" si="0"/>
        <v>LENC</v>
      </c>
      <c r="J50" s="86" t="str">
        <f t="shared" si="1"/>
        <v>26</v>
      </c>
      <c r="K50" s="77" t="s">
        <v>69</v>
      </c>
      <c r="L50" s="77">
        <v>1</v>
      </c>
      <c r="M50" s="77" t="s">
        <v>69</v>
      </c>
      <c r="N50" s="88" t="s">
        <v>203</v>
      </c>
      <c r="O50" s="77" t="s">
        <v>121</v>
      </c>
      <c r="P50" s="77"/>
      <c r="Q50" s="31"/>
      <c r="R50" s="63"/>
    </row>
    <row r="51" spans="1:18" ht="39.75" hidden="1" customHeight="1" x14ac:dyDescent="0.25">
      <c r="A51" s="78">
        <f>IF(B51="","",COUNTA($B$7:B50))</f>
        <v>44</v>
      </c>
      <c r="B51" s="85">
        <v>46051</v>
      </c>
      <c r="C51" s="77" t="s">
        <v>251</v>
      </c>
      <c r="D51" s="77" t="s">
        <v>253</v>
      </c>
      <c r="E51" s="77" t="s">
        <v>251</v>
      </c>
      <c r="F51" s="77" t="s">
        <v>118</v>
      </c>
      <c r="G51" s="77">
        <v>21320</v>
      </c>
      <c r="H51" s="131" t="s">
        <v>118</v>
      </c>
      <c r="I51" s="86" t="str">
        <f t="shared" si="0"/>
        <v>LENC</v>
      </c>
      <c r="J51" s="86" t="str">
        <f t="shared" si="1"/>
        <v>26</v>
      </c>
      <c r="K51" s="77" t="s">
        <v>69</v>
      </c>
      <c r="L51" s="77">
        <v>1</v>
      </c>
      <c r="M51" s="77" t="s">
        <v>69</v>
      </c>
      <c r="N51" s="88" t="s">
        <v>203</v>
      </c>
      <c r="O51" s="77" t="s">
        <v>121</v>
      </c>
      <c r="P51" s="77"/>
      <c r="Q51" s="31"/>
      <c r="R51" s="63"/>
    </row>
    <row r="52" spans="1:18" ht="39.75" hidden="1" customHeight="1" x14ac:dyDescent="0.25">
      <c r="A52" s="78">
        <f>IF(B52="","",COUNTA($B$7:B51))</f>
        <v>45</v>
      </c>
      <c r="B52" s="85">
        <v>46051</v>
      </c>
      <c r="C52" s="77" t="s">
        <v>251</v>
      </c>
      <c r="D52" s="77" t="s">
        <v>188</v>
      </c>
      <c r="E52" s="77" t="s">
        <v>251</v>
      </c>
      <c r="F52" s="77" t="s">
        <v>118</v>
      </c>
      <c r="G52" s="77">
        <v>21327</v>
      </c>
      <c r="H52" s="131" t="s">
        <v>118</v>
      </c>
      <c r="I52" s="86" t="str">
        <f t="shared" si="0"/>
        <v>LENC</v>
      </c>
      <c r="J52" s="86" t="str">
        <f t="shared" si="1"/>
        <v>26</v>
      </c>
      <c r="K52" s="77" t="s">
        <v>254</v>
      </c>
      <c r="L52" s="77">
        <v>1</v>
      </c>
      <c r="M52" s="77" t="s">
        <v>255</v>
      </c>
      <c r="N52" s="88" t="s">
        <v>255</v>
      </c>
      <c r="O52" s="77" t="s">
        <v>172</v>
      </c>
      <c r="P52" s="77"/>
      <c r="Q52" s="31"/>
      <c r="R52" s="63"/>
    </row>
    <row r="53" spans="1:18" ht="39.75" hidden="1" customHeight="1" x14ac:dyDescent="0.25">
      <c r="A53" s="78">
        <f>IF(B53="","",COUNTA($B$7:B52))</f>
        <v>46</v>
      </c>
      <c r="B53" s="85">
        <v>46051</v>
      </c>
      <c r="C53" s="77" t="s">
        <v>251</v>
      </c>
      <c r="D53" s="77" t="s">
        <v>256</v>
      </c>
      <c r="E53" s="77" t="s">
        <v>251</v>
      </c>
      <c r="F53" s="77" t="s">
        <v>118</v>
      </c>
      <c r="G53" s="77">
        <v>21322</v>
      </c>
      <c r="H53" s="131" t="s">
        <v>118</v>
      </c>
      <c r="I53" s="86" t="str">
        <f t="shared" si="0"/>
        <v>LENC</v>
      </c>
      <c r="J53" s="86" t="str">
        <f t="shared" si="1"/>
        <v>26</v>
      </c>
      <c r="K53" s="77" t="s">
        <v>69</v>
      </c>
      <c r="L53" s="77">
        <v>1</v>
      </c>
      <c r="M53" s="77" t="s">
        <v>69</v>
      </c>
      <c r="N53" s="88" t="s">
        <v>203</v>
      </c>
      <c r="O53" s="77" t="s">
        <v>121</v>
      </c>
      <c r="P53" s="77"/>
      <c r="Q53" s="31"/>
      <c r="R53" s="63"/>
    </row>
    <row r="54" spans="1:18" ht="39.75" hidden="1" customHeight="1" x14ac:dyDescent="0.25">
      <c r="A54" s="78">
        <f>IF(B54="","",COUNTA($B$7:B53))</f>
        <v>47</v>
      </c>
      <c r="B54" s="85">
        <v>46051</v>
      </c>
      <c r="C54" s="77" t="s">
        <v>251</v>
      </c>
      <c r="D54" s="77" t="s">
        <v>257</v>
      </c>
      <c r="E54" s="77" t="s">
        <v>251</v>
      </c>
      <c r="F54" s="77" t="s">
        <v>118</v>
      </c>
      <c r="G54" s="77">
        <v>21321</v>
      </c>
      <c r="H54" s="131" t="s">
        <v>118</v>
      </c>
      <c r="I54" s="86" t="str">
        <f t="shared" si="0"/>
        <v>LENC</v>
      </c>
      <c r="J54" s="86" t="str">
        <f t="shared" si="1"/>
        <v>26</v>
      </c>
      <c r="K54" s="77" t="s">
        <v>69</v>
      </c>
      <c r="L54" s="77">
        <v>1</v>
      </c>
      <c r="M54" s="77" t="s">
        <v>69</v>
      </c>
      <c r="N54" s="88">
        <v>21</v>
      </c>
      <c r="O54" s="77" t="s">
        <v>159</v>
      </c>
      <c r="P54" s="77" t="s">
        <v>115</v>
      </c>
      <c r="Q54" s="31"/>
      <c r="R54" s="63"/>
    </row>
    <row r="55" spans="1:18" ht="39.75" hidden="1" customHeight="1" x14ac:dyDescent="0.25">
      <c r="A55" s="78">
        <f>IF(B55="","",COUNTA($B$7:B54))</f>
        <v>48</v>
      </c>
      <c r="B55" s="85">
        <v>46051</v>
      </c>
      <c r="C55" s="77" t="s">
        <v>251</v>
      </c>
      <c r="D55" s="77" t="s">
        <v>258</v>
      </c>
      <c r="E55" s="77" t="s">
        <v>251</v>
      </c>
      <c r="F55" s="77" t="s">
        <v>118</v>
      </c>
      <c r="G55" s="77" t="s">
        <v>259</v>
      </c>
      <c r="H55" s="131" t="s">
        <v>118</v>
      </c>
      <c r="I55" s="86" t="str">
        <f t="shared" si="0"/>
        <v>LENC</v>
      </c>
      <c r="J55" s="86" t="str">
        <f t="shared" si="1"/>
        <v>26</v>
      </c>
      <c r="K55" s="77" t="s">
        <v>260</v>
      </c>
      <c r="L55" s="77">
        <v>3</v>
      </c>
      <c r="M55" s="77" t="s">
        <v>69</v>
      </c>
      <c r="N55" s="88"/>
      <c r="O55" s="77" t="s">
        <v>126</v>
      </c>
      <c r="P55" s="77"/>
      <c r="Q55" s="31"/>
      <c r="R55" s="63"/>
    </row>
    <row r="56" spans="1:18" ht="39.75" hidden="1" customHeight="1" x14ac:dyDescent="0.25">
      <c r="A56" s="78">
        <f>IF(B56="","",COUNTA($B$7:B55))</f>
        <v>49</v>
      </c>
      <c r="B56" s="85">
        <v>46052</v>
      </c>
      <c r="C56" s="77" t="s">
        <v>138</v>
      </c>
      <c r="D56" s="77" t="s">
        <v>261</v>
      </c>
      <c r="E56" s="77" t="s">
        <v>262</v>
      </c>
      <c r="F56" s="77" t="s">
        <v>118</v>
      </c>
      <c r="G56" s="77" t="s">
        <v>263</v>
      </c>
      <c r="H56" s="131" t="s">
        <v>118</v>
      </c>
      <c r="I56" s="86" t="str">
        <f t="shared" si="0"/>
        <v>LENC</v>
      </c>
      <c r="J56" s="86" t="str">
        <f t="shared" si="1"/>
        <v>26</v>
      </c>
      <c r="K56" s="77" t="s">
        <v>264</v>
      </c>
      <c r="L56" s="77">
        <v>1</v>
      </c>
      <c r="M56" s="77" t="s">
        <v>265</v>
      </c>
      <c r="N56" s="88">
        <v>100</v>
      </c>
      <c r="O56" s="77" t="s">
        <v>159</v>
      </c>
      <c r="P56" s="77"/>
      <c r="Q56" s="31"/>
      <c r="R56" s="63"/>
    </row>
    <row r="57" spans="1:18" ht="39.75" hidden="1" customHeight="1" x14ac:dyDescent="0.25">
      <c r="A57" s="78">
        <f>IF(B57="","",COUNTA($B$7:B56))</f>
        <v>50</v>
      </c>
      <c r="B57" s="85">
        <v>46055</v>
      </c>
      <c r="C57" s="77" t="s">
        <v>204</v>
      </c>
      <c r="D57" s="77" t="s">
        <v>266</v>
      </c>
      <c r="E57" s="77" t="s">
        <v>267</v>
      </c>
      <c r="F57" s="77" t="s">
        <v>118</v>
      </c>
      <c r="G57" s="77">
        <v>88609</v>
      </c>
      <c r="H57" s="131" t="s">
        <v>118</v>
      </c>
      <c r="I57" s="86" t="str">
        <f t="shared" si="0"/>
        <v>LENC</v>
      </c>
      <c r="J57" s="86" t="str">
        <f t="shared" si="1"/>
        <v>26</v>
      </c>
      <c r="K57" s="77" t="s">
        <v>268</v>
      </c>
      <c r="L57" s="77">
        <v>1</v>
      </c>
      <c r="M57" s="77" t="s">
        <v>269</v>
      </c>
      <c r="N57" s="88" t="s">
        <v>270</v>
      </c>
      <c r="O57" s="77" t="s">
        <v>126</v>
      </c>
      <c r="P57" s="77"/>
      <c r="Q57" s="31"/>
      <c r="R57" s="63"/>
    </row>
    <row r="58" spans="1:18" ht="39.75" hidden="1" customHeight="1" x14ac:dyDescent="0.25">
      <c r="A58" s="78">
        <f>IF(B58="","",COUNTA($B$7:B57))</f>
        <v>51</v>
      </c>
      <c r="B58" s="85">
        <v>46056</v>
      </c>
      <c r="C58" s="77" t="s">
        <v>204</v>
      </c>
      <c r="D58" s="77" t="s">
        <v>271</v>
      </c>
      <c r="E58" s="77" t="s">
        <v>267</v>
      </c>
      <c r="F58" s="77" t="s">
        <v>118</v>
      </c>
      <c r="G58" s="77" t="s">
        <v>272</v>
      </c>
      <c r="H58" s="131" t="s">
        <v>118</v>
      </c>
      <c r="I58" s="86" t="str">
        <f t="shared" si="0"/>
        <v>LENC</v>
      </c>
      <c r="J58" s="86" t="str">
        <f t="shared" si="1"/>
        <v>26</v>
      </c>
      <c r="K58" s="77" t="s">
        <v>268</v>
      </c>
      <c r="L58" s="77">
        <v>5</v>
      </c>
      <c r="M58" s="77" t="s">
        <v>269</v>
      </c>
      <c r="N58" s="88" t="s">
        <v>270</v>
      </c>
      <c r="O58" s="77" t="s">
        <v>126</v>
      </c>
      <c r="P58" s="77"/>
      <c r="Q58" s="31"/>
      <c r="R58" s="63"/>
    </row>
    <row r="59" spans="1:18" ht="39.75" hidden="1" customHeight="1" x14ac:dyDescent="0.25">
      <c r="A59" s="78">
        <f>IF(B59="","",COUNTA($B$7:B58))</f>
        <v>52</v>
      </c>
      <c r="B59" s="85">
        <v>46057</v>
      </c>
      <c r="C59" s="77" t="s">
        <v>204</v>
      </c>
      <c r="D59" s="77" t="s">
        <v>273</v>
      </c>
      <c r="E59" s="77" t="s">
        <v>267</v>
      </c>
      <c r="F59" s="77" t="s">
        <v>118</v>
      </c>
      <c r="G59" s="77" t="s">
        <v>274</v>
      </c>
      <c r="H59" s="131" t="s">
        <v>118</v>
      </c>
      <c r="I59" s="86" t="str">
        <f t="shared" si="0"/>
        <v>LENC</v>
      </c>
      <c r="J59" s="86" t="str">
        <f t="shared" si="1"/>
        <v>26</v>
      </c>
      <c r="K59" s="77" t="s">
        <v>268</v>
      </c>
      <c r="L59" s="77">
        <v>5</v>
      </c>
      <c r="M59" s="77" t="s">
        <v>269</v>
      </c>
      <c r="N59" s="88" t="s">
        <v>270</v>
      </c>
      <c r="O59" s="77" t="s">
        <v>126</v>
      </c>
      <c r="P59" s="77"/>
      <c r="Q59" s="31"/>
      <c r="R59" s="63"/>
    </row>
    <row r="60" spans="1:18" ht="39.75" hidden="1" customHeight="1" x14ac:dyDescent="0.25">
      <c r="A60" s="78">
        <f>IF(B60="","",COUNTA($B$7:B59))</f>
        <v>53</v>
      </c>
      <c r="B60" s="85">
        <v>45958</v>
      </c>
      <c r="C60" s="77" t="s">
        <v>208</v>
      </c>
      <c r="D60" s="77" t="s">
        <v>275</v>
      </c>
      <c r="E60" s="77" t="s">
        <v>69</v>
      </c>
      <c r="F60" s="77" t="s">
        <v>118</v>
      </c>
      <c r="G60" s="110" t="s">
        <v>276</v>
      </c>
      <c r="H60" s="131" t="s">
        <v>118</v>
      </c>
      <c r="I60" s="86" t="str">
        <f t="shared" si="0"/>
        <v>LENC</v>
      </c>
      <c r="J60" s="86" t="str">
        <f t="shared" si="1"/>
        <v>25</v>
      </c>
      <c r="K60" s="77" t="s">
        <v>277</v>
      </c>
      <c r="L60" s="77">
        <v>1</v>
      </c>
      <c r="M60" s="77" t="s">
        <v>278</v>
      </c>
      <c r="N60" s="88">
        <v>1</v>
      </c>
      <c r="O60" s="77" t="s">
        <v>159</v>
      </c>
      <c r="P60" s="77"/>
      <c r="Q60" s="31"/>
      <c r="R60" s="63"/>
    </row>
    <row r="61" spans="1:18" ht="39.75" hidden="1" customHeight="1" x14ac:dyDescent="0.25">
      <c r="A61" s="78">
        <f>IF(B61="","",COUNTA($B$7:B60))</f>
        <v>54</v>
      </c>
      <c r="B61" s="85">
        <v>45958</v>
      </c>
      <c r="C61" s="77" t="s">
        <v>208</v>
      </c>
      <c r="D61" s="77" t="s">
        <v>275</v>
      </c>
      <c r="E61" s="77" t="s">
        <v>69</v>
      </c>
      <c r="F61" s="77" t="s">
        <v>118</v>
      </c>
      <c r="G61" s="110" t="s">
        <v>279</v>
      </c>
      <c r="H61" s="131" t="s">
        <v>118</v>
      </c>
      <c r="I61" s="86" t="str">
        <f t="shared" si="0"/>
        <v>LENC</v>
      </c>
      <c r="J61" s="86" t="str">
        <f t="shared" si="1"/>
        <v>25</v>
      </c>
      <c r="K61" s="77" t="s">
        <v>280</v>
      </c>
      <c r="L61" s="77">
        <v>2</v>
      </c>
      <c r="M61" s="77" t="s">
        <v>281</v>
      </c>
      <c r="N61" s="88">
        <v>1</v>
      </c>
      <c r="O61" s="77" t="s">
        <v>159</v>
      </c>
      <c r="P61" s="77"/>
      <c r="Q61" s="31"/>
      <c r="R61" s="63"/>
    </row>
    <row r="62" spans="1:18" ht="39.75" hidden="1" customHeight="1" x14ac:dyDescent="0.25">
      <c r="A62" s="78">
        <f>IF(B62="","",COUNTA($B$7:B61))</f>
        <v>55</v>
      </c>
      <c r="B62" s="85">
        <v>46031</v>
      </c>
      <c r="C62" s="77" t="s">
        <v>122</v>
      </c>
      <c r="D62" s="77" t="s">
        <v>282</v>
      </c>
      <c r="E62" s="77" t="s">
        <v>69</v>
      </c>
      <c r="F62" s="77" t="s">
        <v>118</v>
      </c>
      <c r="G62" s="77" t="s">
        <v>283</v>
      </c>
      <c r="H62" s="131" t="s">
        <v>118</v>
      </c>
      <c r="I62" s="86" t="str">
        <f t="shared" si="0"/>
        <v>LENC</v>
      </c>
      <c r="J62" s="86" t="str">
        <f t="shared" si="1"/>
        <v>26</v>
      </c>
      <c r="K62" s="77" t="s">
        <v>284</v>
      </c>
      <c r="L62" s="77">
        <v>2</v>
      </c>
      <c r="M62" s="77" t="s">
        <v>285</v>
      </c>
      <c r="N62" s="88" t="s">
        <v>132</v>
      </c>
      <c r="O62" s="77" t="s">
        <v>126</v>
      </c>
      <c r="P62" s="77"/>
      <c r="Q62" s="31"/>
      <c r="R62" s="63"/>
    </row>
    <row r="63" spans="1:18" ht="39.75" hidden="1" customHeight="1" x14ac:dyDescent="0.25">
      <c r="A63" s="78">
        <f>IF(B63="","",COUNTA($B$7:B62))</f>
        <v>56</v>
      </c>
      <c r="B63" s="85">
        <v>46052</v>
      </c>
      <c r="C63" s="77" t="s">
        <v>286</v>
      </c>
      <c r="D63" s="77" t="s">
        <v>287</v>
      </c>
      <c r="E63" s="77" t="s">
        <v>288</v>
      </c>
      <c r="F63" s="77" t="s">
        <v>118</v>
      </c>
      <c r="G63" s="77" t="s">
        <v>289</v>
      </c>
      <c r="H63" s="131" t="s">
        <v>118</v>
      </c>
      <c r="I63" s="86" t="str">
        <f t="shared" si="0"/>
        <v>LENC</v>
      </c>
      <c r="J63" s="86" t="str">
        <f t="shared" si="1"/>
        <v>26</v>
      </c>
      <c r="K63" s="77" t="s">
        <v>290</v>
      </c>
      <c r="L63" s="77">
        <v>1</v>
      </c>
      <c r="M63" s="77" t="s">
        <v>291</v>
      </c>
      <c r="N63" s="88">
        <v>12</v>
      </c>
      <c r="O63" s="77" t="s">
        <v>159</v>
      </c>
      <c r="P63" s="77"/>
      <c r="Q63" s="31"/>
      <c r="R63" s="63"/>
    </row>
    <row r="64" spans="1:18" ht="39.75" hidden="1" customHeight="1" x14ac:dyDescent="0.25">
      <c r="A64" s="78">
        <f>IF(B64="","",COUNTA($B$7:B63))</f>
        <v>57</v>
      </c>
      <c r="B64" s="85">
        <v>46056</v>
      </c>
      <c r="C64" s="77" t="s">
        <v>292</v>
      </c>
      <c r="D64" s="77" t="s">
        <v>293</v>
      </c>
      <c r="E64" s="77" t="s">
        <v>294</v>
      </c>
      <c r="F64" s="77" t="s">
        <v>118</v>
      </c>
      <c r="G64" s="77">
        <v>6058</v>
      </c>
      <c r="H64" s="131" t="s">
        <v>118</v>
      </c>
      <c r="I64" s="86" t="str">
        <f t="shared" si="0"/>
        <v>LENC</v>
      </c>
      <c r="J64" s="86" t="str">
        <f t="shared" si="1"/>
        <v>26</v>
      </c>
      <c r="K64" s="77" t="s">
        <v>69</v>
      </c>
      <c r="L64" s="77">
        <v>1</v>
      </c>
      <c r="M64" s="77" t="s">
        <v>69</v>
      </c>
      <c r="N64" s="88" t="s">
        <v>295</v>
      </c>
      <c r="O64" s="77" t="s">
        <v>121</v>
      </c>
      <c r="P64" s="77"/>
      <c r="Q64" s="31"/>
      <c r="R64" s="63"/>
    </row>
    <row r="65" spans="1:18" ht="39.75" hidden="1" customHeight="1" x14ac:dyDescent="0.25">
      <c r="A65" s="78">
        <f>IF(B65="","",COUNTA($B$7:B64))</f>
        <v>58</v>
      </c>
      <c r="B65" s="85">
        <v>46056</v>
      </c>
      <c r="C65" s="77" t="s">
        <v>292</v>
      </c>
      <c r="D65" s="77" t="s">
        <v>296</v>
      </c>
      <c r="E65" s="77" t="s">
        <v>294</v>
      </c>
      <c r="F65" s="77" t="s">
        <v>118</v>
      </c>
      <c r="G65" s="77">
        <v>6059</v>
      </c>
      <c r="H65" s="131" t="s">
        <v>118</v>
      </c>
      <c r="I65" s="86" t="str">
        <f t="shared" si="0"/>
        <v>LENC</v>
      </c>
      <c r="J65" s="86" t="str">
        <f t="shared" si="1"/>
        <v>26</v>
      </c>
      <c r="K65" s="77" t="s">
        <v>69</v>
      </c>
      <c r="L65" s="77">
        <v>1</v>
      </c>
      <c r="M65" s="77" t="s">
        <v>69</v>
      </c>
      <c r="N65" s="88" t="s">
        <v>295</v>
      </c>
      <c r="O65" s="77" t="s">
        <v>121</v>
      </c>
      <c r="P65" s="77"/>
      <c r="Q65" s="31"/>
      <c r="R65" s="63"/>
    </row>
    <row r="66" spans="1:18" ht="39.75" hidden="1" customHeight="1" x14ac:dyDescent="0.25">
      <c r="A66" s="78">
        <f>IF(B66="","",COUNTA($B$7:B65))</f>
        <v>59</v>
      </c>
      <c r="B66" s="85">
        <v>46056</v>
      </c>
      <c r="C66" s="77" t="s">
        <v>292</v>
      </c>
      <c r="D66" s="77" t="s">
        <v>297</v>
      </c>
      <c r="E66" s="77" t="s">
        <v>294</v>
      </c>
      <c r="F66" s="77" t="s">
        <v>118</v>
      </c>
      <c r="G66" s="77">
        <v>6060</v>
      </c>
      <c r="H66" s="131" t="s">
        <v>118</v>
      </c>
      <c r="I66" s="86" t="str">
        <f t="shared" si="0"/>
        <v>LENC</v>
      </c>
      <c r="J66" s="86" t="str">
        <f t="shared" si="1"/>
        <v>26</v>
      </c>
      <c r="K66" s="77" t="s">
        <v>69</v>
      </c>
      <c r="L66" s="77">
        <v>1</v>
      </c>
      <c r="M66" s="77" t="s">
        <v>69</v>
      </c>
      <c r="N66" s="88" t="s">
        <v>295</v>
      </c>
      <c r="O66" s="77" t="s">
        <v>121</v>
      </c>
      <c r="P66" s="77"/>
      <c r="Q66" s="31"/>
      <c r="R66" s="63"/>
    </row>
    <row r="67" spans="1:18" ht="39.75" hidden="1" customHeight="1" x14ac:dyDescent="0.25">
      <c r="A67" s="78">
        <f>IF(B67="","",COUNTA($B$7:B66))</f>
        <v>60</v>
      </c>
      <c r="B67" s="85">
        <v>46056</v>
      </c>
      <c r="C67" s="77" t="s">
        <v>292</v>
      </c>
      <c r="D67" s="77" t="s">
        <v>298</v>
      </c>
      <c r="E67" s="77" t="s">
        <v>294</v>
      </c>
      <c r="F67" s="77" t="s">
        <v>118</v>
      </c>
      <c r="G67" s="77">
        <v>6054</v>
      </c>
      <c r="H67" s="131" t="s">
        <v>118</v>
      </c>
      <c r="I67" s="86" t="str">
        <f t="shared" si="0"/>
        <v>LENC</v>
      </c>
      <c r="J67" s="86" t="str">
        <f t="shared" si="1"/>
        <v>26</v>
      </c>
      <c r="K67" s="77" t="s">
        <v>69</v>
      </c>
      <c r="L67" s="77">
        <v>1</v>
      </c>
      <c r="M67" s="77" t="s">
        <v>69</v>
      </c>
      <c r="N67" s="88" t="s">
        <v>295</v>
      </c>
      <c r="O67" s="77" t="s">
        <v>121</v>
      </c>
      <c r="P67" s="77"/>
      <c r="Q67" s="31"/>
      <c r="R67" s="63"/>
    </row>
    <row r="68" spans="1:18" ht="39.75" hidden="1" customHeight="1" x14ac:dyDescent="0.25">
      <c r="A68" s="78">
        <f>IF(B68="","",COUNTA($B$7:B67))</f>
        <v>61</v>
      </c>
      <c r="B68" s="85">
        <v>46056</v>
      </c>
      <c r="C68" s="77" t="s">
        <v>292</v>
      </c>
      <c r="D68" s="77" t="s">
        <v>299</v>
      </c>
      <c r="E68" s="77" t="s">
        <v>294</v>
      </c>
      <c r="F68" s="77" t="s">
        <v>118</v>
      </c>
      <c r="G68" s="77">
        <v>6055</v>
      </c>
      <c r="H68" s="131" t="s">
        <v>118</v>
      </c>
      <c r="I68" s="86" t="str">
        <f t="shared" si="0"/>
        <v>LENC</v>
      </c>
      <c r="J68" s="86" t="str">
        <f t="shared" si="1"/>
        <v>26</v>
      </c>
      <c r="K68" s="77" t="s">
        <v>69</v>
      </c>
      <c r="L68" s="77">
        <v>1</v>
      </c>
      <c r="M68" s="77" t="s">
        <v>69</v>
      </c>
      <c r="N68" s="88" t="s">
        <v>295</v>
      </c>
      <c r="O68" s="77" t="s">
        <v>121</v>
      </c>
      <c r="P68" s="77"/>
      <c r="Q68" s="31"/>
      <c r="R68" s="63"/>
    </row>
    <row r="69" spans="1:18" ht="39.75" hidden="1" customHeight="1" x14ac:dyDescent="0.25">
      <c r="A69" s="78">
        <f>IF(B69="","",COUNTA($B$7:B68))</f>
        <v>62</v>
      </c>
      <c r="B69" s="85">
        <v>46056</v>
      </c>
      <c r="C69" s="77" t="s">
        <v>122</v>
      </c>
      <c r="D69" s="77" t="s">
        <v>300</v>
      </c>
      <c r="E69" s="77" t="s">
        <v>301</v>
      </c>
      <c r="F69" s="77" t="s">
        <v>118</v>
      </c>
      <c r="G69" s="77" t="s">
        <v>302</v>
      </c>
      <c r="H69" s="131" t="s">
        <v>118</v>
      </c>
      <c r="I69" s="86" t="str">
        <f t="shared" si="0"/>
        <v>LENC</v>
      </c>
      <c r="J69" s="86" t="str">
        <f t="shared" si="1"/>
        <v>26</v>
      </c>
      <c r="K69" s="77" t="s">
        <v>303</v>
      </c>
      <c r="L69" s="77">
        <v>2</v>
      </c>
      <c r="M69" s="77" t="s">
        <v>304</v>
      </c>
      <c r="N69" s="88" t="s">
        <v>166</v>
      </c>
      <c r="O69" s="77" t="s">
        <v>121</v>
      </c>
      <c r="P69" s="77"/>
      <c r="Q69" s="31"/>
      <c r="R69" s="63"/>
    </row>
    <row r="70" spans="1:18" ht="39.75" hidden="1" customHeight="1" x14ac:dyDescent="0.25">
      <c r="A70" s="78">
        <f>IF(B70="","",COUNTA($B$7:B69))</f>
        <v>63</v>
      </c>
      <c r="B70" s="85">
        <v>46056</v>
      </c>
      <c r="C70" s="77" t="s">
        <v>305</v>
      </c>
      <c r="D70" s="77" t="s">
        <v>306</v>
      </c>
      <c r="E70" s="77" t="s">
        <v>69</v>
      </c>
      <c r="F70" s="77" t="s">
        <v>118</v>
      </c>
      <c r="G70" s="77" t="s">
        <v>307</v>
      </c>
      <c r="H70" s="131" t="s">
        <v>118</v>
      </c>
      <c r="I70" s="86" t="str">
        <f t="shared" si="0"/>
        <v>LENC</v>
      </c>
      <c r="J70" s="86" t="str">
        <f t="shared" si="1"/>
        <v>26</v>
      </c>
      <c r="K70" s="77" t="s">
        <v>69</v>
      </c>
      <c r="L70" s="77">
        <v>4</v>
      </c>
      <c r="M70" s="77" t="s">
        <v>69</v>
      </c>
      <c r="N70" s="88" t="s">
        <v>308</v>
      </c>
      <c r="O70" s="77" t="s">
        <v>121</v>
      </c>
      <c r="P70" s="77"/>
      <c r="Q70" s="31"/>
      <c r="R70" s="63"/>
    </row>
    <row r="71" spans="1:18" ht="39.75" hidden="1" customHeight="1" x14ac:dyDescent="0.25">
      <c r="A71" s="78">
        <f>IF(B71="","",COUNTA($B$7:B70))</f>
        <v>64</v>
      </c>
      <c r="B71" s="85">
        <v>46056</v>
      </c>
      <c r="C71" s="77" t="s">
        <v>305</v>
      </c>
      <c r="D71" s="77" t="s">
        <v>309</v>
      </c>
      <c r="E71" s="77" t="s">
        <v>69</v>
      </c>
      <c r="F71" s="77" t="s">
        <v>118</v>
      </c>
      <c r="G71" s="77" t="s">
        <v>307</v>
      </c>
      <c r="H71" s="131" t="s">
        <v>118</v>
      </c>
      <c r="I71" s="86" t="str">
        <f t="shared" si="0"/>
        <v>LENC</v>
      </c>
      <c r="J71" s="86" t="str">
        <f t="shared" si="1"/>
        <v>26</v>
      </c>
      <c r="K71" s="77" t="s">
        <v>69</v>
      </c>
      <c r="L71" s="77">
        <v>2</v>
      </c>
      <c r="M71" s="77" t="s">
        <v>69</v>
      </c>
      <c r="N71" s="88" t="s">
        <v>308</v>
      </c>
      <c r="O71" s="77" t="s">
        <v>121</v>
      </c>
      <c r="P71" s="77"/>
      <c r="Q71" s="31"/>
      <c r="R71" s="63"/>
    </row>
    <row r="72" spans="1:18" ht="39.75" hidden="1" customHeight="1" x14ac:dyDescent="0.25">
      <c r="A72" s="78">
        <f>IF(B72="","",COUNTA($B$7:B71))</f>
        <v>65</v>
      </c>
      <c r="B72" s="85">
        <v>46056</v>
      </c>
      <c r="C72" s="77" t="s">
        <v>115</v>
      </c>
      <c r="D72" s="77" t="s">
        <v>310</v>
      </c>
      <c r="E72" s="77" t="s">
        <v>69</v>
      </c>
      <c r="F72" s="77" t="s">
        <v>118</v>
      </c>
      <c r="G72" s="77" t="s">
        <v>311</v>
      </c>
      <c r="H72" s="131" t="s">
        <v>118</v>
      </c>
      <c r="I72" s="86" t="str">
        <f t="shared" si="0"/>
        <v>LENC</v>
      </c>
      <c r="J72" s="86" t="str">
        <f t="shared" si="1"/>
        <v>26</v>
      </c>
      <c r="K72" s="77" t="s">
        <v>69</v>
      </c>
      <c r="L72" s="77">
        <v>3</v>
      </c>
      <c r="M72" s="77" t="s">
        <v>69</v>
      </c>
      <c r="N72" s="88" t="s">
        <v>308</v>
      </c>
      <c r="O72" s="77" t="s">
        <v>121</v>
      </c>
      <c r="P72" s="77"/>
      <c r="Q72" s="31"/>
      <c r="R72" s="63"/>
    </row>
    <row r="73" spans="1:18" ht="39.75" hidden="1" customHeight="1" x14ac:dyDescent="0.25">
      <c r="A73" s="78">
        <f>IF(B73="","",COUNTA($B$7:B72))</f>
        <v>66</v>
      </c>
      <c r="B73" s="85">
        <v>46056</v>
      </c>
      <c r="C73" s="77" t="s">
        <v>115</v>
      </c>
      <c r="D73" s="77" t="s">
        <v>312</v>
      </c>
      <c r="E73" s="77" t="s">
        <v>69</v>
      </c>
      <c r="F73" s="77" t="s">
        <v>118</v>
      </c>
      <c r="G73" s="77">
        <v>2</v>
      </c>
      <c r="H73" s="131" t="s">
        <v>118</v>
      </c>
      <c r="I73" s="86" t="str">
        <f t="shared" ref="I73:I136" si="2">IF(B73="","","LENC")</f>
        <v>LENC</v>
      </c>
      <c r="J73" s="86" t="str">
        <f t="shared" ref="J73:J136" si="3">IF(B73="","",TEXT(B73,"yy"))</f>
        <v>26</v>
      </c>
      <c r="K73" s="77" t="s">
        <v>69</v>
      </c>
      <c r="L73" s="77">
        <v>4</v>
      </c>
      <c r="M73" s="77" t="s">
        <v>69</v>
      </c>
      <c r="N73" s="88" t="s">
        <v>308</v>
      </c>
      <c r="O73" s="77" t="s">
        <v>121</v>
      </c>
      <c r="P73" s="77"/>
      <c r="Q73" s="31"/>
      <c r="R73" s="63"/>
    </row>
    <row r="74" spans="1:18" ht="39.75" hidden="1" customHeight="1" x14ac:dyDescent="0.25">
      <c r="A74" s="78">
        <f>IF(B74="","",COUNTA($B$7:B73))</f>
        <v>67</v>
      </c>
      <c r="B74" s="85">
        <v>46056</v>
      </c>
      <c r="C74" s="77" t="s">
        <v>115</v>
      </c>
      <c r="D74" s="77" t="s">
        <v>313</v>
      </c>
      <c r="E74" s="77" t="s">
        <v>69</v>
      </c>
      <c r="F74" s="77" t="s">
        <v>118</v>
      </c>
      <c r="G74" s="77" t="s">
        <v>314</v>
      </c>
      <c r="H74" s="131" t="s">
        <v>118</v>
      </c>
      <c r="I74" s="86" t="str">
        <f t="shared" si="2"/>
        <v>LENC</v>
      </c>
      <c r="J74" s="86" t="str">
        <f t="shared" si="3"/>
        <v>26</v>
      </c>
      <c r="K74" s="77" t="s">
        <v>69</v>
      </c>
      <c r="L74" s="77">
        <v>1</v>
      </c>
      <c r="M74" s="77" t="s">
        <v>69</v>
      </c>
      <c r="N74" s="88" t="s">
        <v>308</v>
      </c>
      <c r="O74" s="77" t="s">
        <v>121</v>
      </c>
      <c r="P74" s="77"/>
      <c r="Q74" s="31"/>
      <c r="R74" s="63"/>
    </row>
    <row r="75" spans="1:18" ht="39.75" hidden="1" customHeight="1" x14ac:dyDescent="0.25">
      <c r="A75" s="78">
        <f>IF(B75="","",COUNTA($B$7:B74))</f>
        <v>68</v>
      </c>
      <c r="B75" s="85">
        <v>46056</v>
      </c>
      <c r="C75" s="77" t="s">
        <v>138</v>
      </c>
      <c r="D75" s="77" t="s">
        <v>315</v>
      </c>
      <c r="E75" s="77" t="s">
        <v>69</v>
      </c>
      <c r="F75" s="77" t="s">
        <v>118</v>
      </c>
      <c r="G75" s="77" t="s">
        <v>316</v>
      </c>
      <c r="H75" s="131" t="s">
        <v>118</v>
      </c>
      <c r="I75" s="86" t="str">
        <f t="shared" si="2"/>
        <v>LENC</v>
      </c>
      <c r="J75" s="86" t="str">
        <f t="shared" si="3"/>
        <v>26</v>
      </c>
      <c r="K75" s="77" t="s">
        <v>317</v>
      </c>
      <c r="L75" s="77">
        <v>1</v>
      </c>
      <c r="M75" s="77" t="s">
        <v>318</v>
      </c>
      <c r="N75" s="88">
        <v>18</v>
      </c>
      <c r="O75" s="77" t="s">
        <v>159</v>
      </c>
      <c r="P75" s="77"/>
      <c r="Q75" s="31"/>
      <c r="R75" s="63"/>
    </row>
    <row r="76" spans="1:18" ht="39.75" hidden="1" customHeight="1" x14ac:dyDescent="0.25">
      <c r="A76" s="78">
        <f>IF(B76="","",COUNTA($B$7:B75))</f>
        <v>69</v>
      </c>
      <c r="B76" s="85">
        <v>46056</v>
      </c>
      <c r="C76" s="77" t="s">
        <v>138</v>
      </c>
      <c r="D76" s="77" t="s">
        <v>319</v>
      </c>
      <c r="E76" s="77" t="s">
        <v>69</v>
      </c>
      <c r="F76" s="77" t="s">
        <v>118</v>
      </c>
      <c r="G76" s="77" t="s">
        <v>320</v>
      </c>
      <c r="H76" s="131" t="s">
        <v>118</v>
      </c>
      <c r="I76" s="86" t="str">
        <f t="shared" si="2"/>
        <v>LENC</v>
      </c>
      <c r="J76" s="86" t="str">
        <f t="shared" si="3"/>
        <v>26</v>
      </c>
      <c r="K76" s="77" t="s">
        <v>317</v>
      </c>
      <c r="L76" s="77">
        <v>1</v>
      </c>
      <c r="M76" s="77" t="s">
        <v>318</v>
      </c>
      <c r="N76" s="88">
        <v>9</v>
      </c>
      <c r="O76" s="77" t="s">
        <v>159</v>
      </c>
      <c r="P76" s="77"/>
      <c r="Q76" s="31"/>
      <c r="R76" s="63"/>
    </row>
    <row r="77" spans="1:18" ht="39.75" hidden="1" customHeight="1" x14ac:dyDescent="0.25">
      <c r="A77" s="78">
        <f>IF(B77="","",COUNTA($B$7:B76))</f>
        <v>70</v>
      </c>
      <c r="B77" s="85">
        <v>46056</v>
      </c>
      <c r="C77" s="77" t="s">
        <v>138</v>
      </c>
      <c r="D77" s="77" t="s">
        <v>321</v>
      </c>
      <c r="E77" s="77" t="s">
        <v>69</v>
      </c>
      <c r="F77" s="77" t="s">
        <v>118</v>
      </c>
      <c r="G77" s="77" t="s">
        <v>322</v>
      </c>
      <c r="H77" s="131" t="s">
        <v>118</v>
      </c>
      <c r="I77" s="86" t="str">
        <f t="shared" si="2"/>
        <v>LENC</v>
      </c>
      <c r="J77" s="86" t="str">
        <f t="shared" si="3"/>
        <v>26</v>
      </c>
      <c r="K77" s="77" t="s">
        <v>317</v>
      </c>
      <c r="L77" s="77">
        <v>1</v>
      </c>
      <c r="M77" s="77" t="s">
        <v>318</v>
      </c>
      <c r="N77" s="88" t="s">
        <v>137</v>
      </c>
      <c r="O77" s="77" t="s">
        <v>121</v>
      </c>
      <c r="P77" s="77"/>
      <c r="Q77" s="31"/>
      <c r="R77" s="63"/>
    </row>
    <row r="78" spans="1:18" ht="39.75" hidden="1" customHeight="1" x14ac:dyDescent="0.25">
      <c r="A78" s="78">
        <f>IF(B78="","",COUNTA($B$7:B77))</f>
        <v>71</v>
      </c>
      <c r="B78" s="85">
        <v>46056</v>
      </c>
      <c r="C78" s="77" t="s">
        <v>138</v>
      </c>
      <c r="D78" s="77" t="s">
        <v>321</v>
      </c>
      <c r="E78" s="77" t="s">
        <v>69</v>
      </c>
      <c r="F78" s="77" t="s">
        <v>118</v>
      </c>
      <c r="G78" s="77" t="s">
        <v>323</v>
      </c>
      <c r="H78" s="131" t="s">
        <v>118</v>
      </c>
      <c r="I78" s="86" t="str">
        <f t="shared" si="2"/>
        <v>LENC</v>
      </c>
      <c r="J78" s="86" t="str">
        <f t="shared" si="3"/>
        <v>26</v>
      </c>
      <c r="K78" s="77" t="s">
        <v>317</v>
      </c>
      <c r="L78" s="77">
        <v>1</v>
      </c>
      <c r="M78" s="77" t="s">
        <v>318</v>
      </c>
      <c r="N78" s="88" t="s">
        <v>137</v>
      </c>
      <c r="O78" s="77" t="s">
        <v>121</v>
      </c>
      <c r="P78" s="77"/>
      <c r="Q78" s="31"/>
      <c r="R78" s="63"/>
    </row>
    <row r="79" spans="1:18" ht="39.75" hidden="1" customHeight="1" x14ac:dyDescent="0.25">
      <c r="A79" s="78">
        <f>IF(B79="","",COUNTA($B$7:B78))</f>
        <v>72</v>
      </c>
      <c r="B79" s="85">
        <v>46056</v>
      </c>
      <c r="C79" s="77" t="s">
        <v>138</v>
      </c>
      <c r="D79" s="77" t="s">
        <v>324</v>
      </c>
      <c r="E79" s="77" t="s">
        <v>69</v>
      </c>
      <c r="F79" s="77" t="s">
        <v>118</v>
      </c>
      <c r="G79" s="77" t="s">
        <v>325</v>
      </c>
      <c r="H79" s="131" t="s">
        <v>118</v>
      </c>
      <c r="I79" s="86" t="str">
        <f t="shared" si="2"/>
        <v>LENC</v>
      </c>
      <c r="J79" s="86" t="str">
        <f t="shared" si="3"/>
        <v>26</v>
      </c>
      <c r="K79" s="77" t="s">
        <v>317</v>
      </c>
      <c r="L79" s="77">
        <v>1</v>
      </c>
      <c r="M79" s="77" t="s">
        <v>318</v>
      </c>
      <c r="N79" s="88">
        <v>18</v>
      </c>
      <c r="O79" s="77" t="s">
        <v>159</v>
      </c>
      <c r="P79" s="77"/>
      <c r="Q79" s="31"/>
      <c r="R79" s="63"/>
    </row>
    <row r="80" spans="1:18" ht="39.75" hidden="1" customHeight="1" x14ac:dyDescent="0.25">
      <c r="A80" s="78">
        <f>IF(B80="","",COUNTA($B$7:B79))</f>
        <v>73</v>
      </c>
      <c r="B80" s="85">
        <v>46002</v>
      </c>
      <c r="C80" s="77" t="s">
        <v>150</v>
      </c>
      <c r="D80" s="77" t="s">
        <v>79</v>
      </c>
      <c r="E80" s="77" t="s">
        <v>152</v>
      </c>
      <c r="F80" s="77" t="s">
        <v>118</v>
      </c>
      <c r="G80" s="77">
        <v>21045</v>
      </c>
      <c r="H80" s="131" t="s">
        <v>118</v>
      </c>
      <c r="I80" s="86" t="str">
        <f t="shared" si="2"/>
        <v>LENC</v>
      </c>
      <c r="J80" s="86" t="str">
        <f t="shared" si="3"/>
        <v>25</v>
      </c>
      <c r="K80" s="77" t="s">
        <v>69</v>
      </c>
      <c r="L80" s="77">
        <v>1</v>
      </c>
      <c r="M80" s="77" t="s">
        <v>69</v>
      </c>
      <c r="N80" s="88">
        <v>2</v>
      </c>
      <c r="O80" s="77" t="s">
        <v>159</v>
      </c>
      <c r="P80" s="77"/>
      <c r="Q80" s="31"/>
      <c r="R80" s="63"/>
    </row>
    <row r="81" spans="1:18" ht="39.75" hidden="1" customHeight="1" x14ac:dyDescent="0.25">
      <c r="A81" s="78">
        <f>IF(B81="","",COUNTA($B$7:B80))</f>
        <v>74</v>
      </c>
      <c r="B81" s="85">
        <v>46002</v>
      </c>
      <c r="C81" s="77" t="s">
        <v>150</v>
      </c>
      <c r="D81" s="77" t="s">
        <v>79</v>
      </c>
      <c r="E81" s="77" t="s">
        <v>152</v>
      </c>
      <c r="F81" s="77" t="s">
        <v>118</v>
      </c>
      <c r="G81" s="77">
        <v>18637</v>
      </c>
      <c r="H81" s="131" t="s">
        <v>118</v>
      </c>
      <c r="I81" s="86" t="str">
        <f t="shared" si="2"/>
        <v>LENC</v>
      </c>
      <c r="J81" s="86" t="str">
        <f t="shared" si="3"/>
        <v>25</v>
      </c>
      <c r="K81" s="77" t="s">
        <v>69</v>
      </c>
      <c r="L81" s="77">
        <v>1</v>
      </c>
      <c r="M81" s="77" t="s">
        <v>69</v>
      </c>
      <c r="N81" s="88">
        <v>2</v>
      </c>
      <c r="O81" s="77" t="s">
        <v>235</v>
      </c>
      <c r="P81" s="77"/>
      <c r="Q81" s="31"/>
      <c r="R81" s="63"/>
    </row>
    <row r="82" spans="1:18" ht="39.75" hidden="1" customHeight="1" x14ac:dyDescent="0.25">
      <c r="A82" s="78">
        <f>IF(B82="","",COUNTA($B$7:B81))</f>
        <v>75</v>
      </c>
      <c r="B82" s="85">
        <v>46002</v>
      </c>
      <c r="C82" s="77" t="s">
        <v>150</v>
      </c>
      <c r="D82" s="77" t="s">
        <v>79</v>
      </c>
      <c r="E82" s="77" t="s">
        <v>152</v>
      </c>
      <c r="F82" s="77" t="s">
        <v>118</v>
      </c>
      <c r="G82" s="77">
        <v>21018</v>
      </c>
      <c r="H82" s="131" t="s">
        <v>118</v>
      </c>
      <c r="I82" s="86" t="str">
        <f t="shared" si="2"/>
        <v>LENC</v>
      </c>
      <c r="J82" s="86" t="str">
        <f t="shared" si="3"/>
        <v>25</v>
      </c>
      <c r="K82" s="77" t="s">
        <v>69</v>
      </c>
      <c r="L82" s="77">
        <v>1</v>
      </c>
      <c r="M82" s="77" t="s">
        <v>69</v>
      </c>
      <c r="N82" s="88">
        <v>2</v>
      </c>
      <c r="O82" s="77" t="s">
        <v>159</v>
      </c>
      <c r="P82" s="77"/>
      <c r="Q82" s="31"/>
      <c r="R82" s="63"/>
    </row>
    <row r="83" spans="1:18" ht="39.75" hidden="1" customHeight="1" x14ac:dyDescent="0.25">
      <c r="A83" s="78">
        <f>IF(B83="","",COUNTA($B$7:B82))</f>
        <v>76</v>
      </c>
      <c r="B83" s="85">
        <v>46002</v>
      </c>
      <c r="C83" s="77" t="s">
        <v>150</v>
      </c>
      <c r="D83" s="77" t="s">
        <v>79</v>
      </c>
      <c r="E83" s="77" t="s">
        <v>152</v>
      </c>
      <c r="F83" s="77" t="s">
        <v>118</v>
      </c>
      <c r="G83" s="77">
        <v>21028</v>
      </c>
      <c r="H83" s="131" t="s">
        <v>118</v>
      </c>
      <c r="I83" s="86" t="str">
        <f t="shared" si="2"/>
        <v>LENC</v>
      </c>
      <c r="J83" s="86" t="str">
        <f t="shared" si="3"/>
        <v>25</v>
      </c>
      <c r="K83" s="77" t="s">
        <v>69</v>
      </c>
      <c r="L83" s="77">
        <v>1</v>
      </c>
      <c r="M83" s="77" t="s">
        <v>69</v>
      </c>
      <c r="N83" s="88">
        <v>2</v>
      </c>
      <c r="O83" s="77" t="s">
        <v>159</v>
      </c>
      <c r="P83" s="77"/>
      <c r="Q83" s="31"/>
      <c r="R83" s="63"/>
    </row>
    <row r="84" spans="1:18" ht="39.75" hidden="1" customHeight="1" x14ac:dyDescent="0.25">
      <c r="A84" s="78">
        <f>IF(B84="","",COUNTA($B$7:B83))</f>
        <v>77</v>
      </c>
      <c r="B84" s="85">
        <v>46002</v>
      </c>
      <c r="C84" s="77" t="s">
        <v>150</v>
      </c>
      <c r="D84" s="77" t="s">
        <v>79</v>
      </c>
      <c r="E84" s="77" t="s">
        <v>152</v>
      </c>
      <c r="F84" s="77" t="s">
        <v>118</v>
      </c>
      <c r="G84" s="77">
        <v>21050</v>
      </c>
      <c r="H84" s="131" t="s">
        <v>118</v>
      </c>
      <c r="I84" s="86" t="str">
        <f t="shared" si="2"/>
        <v>LENC</v>
      </c>
      <c r="J84" s="86" t="str">
        <f t="shared" si="3"/>
        <v>25</v>
      </c>
      <c r="K84" s="77" t="s">
        <v>69</v>
      </c>
      <c r="L84" s="77">
        <v>1</v>
      </c>
      <c r="M84" s="77" t="s">
        <v>69</v>
      </c>
      <c r="N84" s="88">
        <v>2</v>
      </c>
      <c r="O84" s="77" t="s">
        <v>159</v>
      </c>
      <c r="P84" s="77"/>
      <c r="Q84" s="31"/>
      <c r="R84" s="63"/>
    </row>
    <row r="85" spans="1:18" ht="39.75" hidden="1" customHeight="1" x14ac:dyDescent="0.25">
      <c r="A85" s="78">
        <f>IF(B85="","",COUNTA($B$7:B84))</f>
        <v>78</v>
      </c>
      <c r="B85" s="85">
        <v>46002</v>
      </c>
      <c r="C85" s="77" t="s">
        <v>150</v>
      </c>
      <c r="D85" s="77" t="s">
        <v>79</v>
      </c>
      <c r="E85" s="77" t="s">
        <v>152</v>
      </c>
      <c r="F85" s="77" t="s">
        <v>118</v>
      </c>
      <c r="G85" s="77">
        <v>21039</v>
      </c>
      <c r="H85" s="131" t="s">
        <v>118</v>
      </c>
      <c r="I85" s="86" t="str">
        <f t="shared" si="2"/>
        <v>LENC</v>
      </c>
      <c r="J85" s="86" t="str">
        <f t="shared" si="3"/>
        <v>25</v>
      </c>
      <c r="K85" s="77" t="s">
        <v>69</v>
      </c>
      <c r="L85" s="77">
        <v>1</v>
      </c>
      <c r="M85" s="77" t="s">
        <v>69</v>
      </c>
      <c r="N85" s="88">
        <v>2</v>
      </c>
      <c r="O85" s="77" t="s">
        <v>159</v>
      </c>
      <c r="P85" s="77"/>
      <c r="Q85" s="31"/>
      <c r="R85" s="63"/>
    </row>
    <row r="86" spans="1:18" ht="39.75" hidden="1" customHeight="1" x14ac:dyDescent="0.25">
      <c r="A86" s="78">
        <f>IF(B86="","",COUNTA($B$7:B85))</f>
        <v>79</v>
      </c>
      <c r="B86" s="85">
        <v>46002</v>
      </c>
      <c r="C86" s="77" t="s">
        <v>150</v>
      </c>
      <c r="D86" s="77" t="s">
        <v>79</v>
      </c>
      <c r="E86" s="77" t="s">
        <v>152</v>
      </c>
      <c r="F86" s="77" t="s">
        <v>118</v>
      </c>
      <c r="G86" s="77">
        <v>21042</v>
      </c>
      <c r="H86" s="131" t="s">
        <v>118</v>
      </c>
      <c r="I86" s="86" t="str">
        <f t="shared" si="2"/>
        <v>LENC</v>
      </c>
      <c r="J86" s="86" t="str">
        <f t="shared" si="3"/>
        <v>25</v>
      </c>
      <c r="K86" s="77" t="s">
        <v>69</v>
      </c>
      <c r="L86" s="77">
        <v>1</v>
      </c>
      <c r="M86" s="77" t="s">
        <v>69</v>
      </c>
      <c r="N86" s="88">
        <v>2</v>
      </c>
      <c r="O86" s="77" t="s">
        <v>159</v>
      </c>
      <c r="P86" s="77"/>
      <c r="Q86" s="31"/>
      <c r="R86" s="63"/>
    </row>
    <row r="87" spans="1:18" ht="39.75" hidden="1" customHeight="1" x14ac:dyDescent="0.25">
      <c r="A87" s="78">
        <f>IF(B87="","",COUNTA($B$7:B86))</f>
        <v>80</v>
      </c>
      <c r="B87" s="85">
        <v>46002</v>
      </c>
      <c r="C87" s="77" t="s">
        <v>150</v>
      </c>
      <c r="D87" s="77" t="s">
        <v>79</v>
      </c>
      <c r="E87" s="77" t="s">
        <v>152</v>
      </c>
      <c r="F87" s="77" t="s">
        <v>118</v>
      </c>
      <c r="G87" s="77">
        <v>21046</v>
      </c>
      <c r="H87" s="131" t="s">
        <v>118</v>
      </c>
      <c r="I87" s="86" t="str">
        <f t="shared" si="2"/>
        <v>LENC</v>
      </c>
      <c r="J87" s="86" t="str">
        <f t="shared" si="3"/>
        <v>25</v>
      </c>
      <c r="K87" s="77" t="s">
        <v>69</v>
      </c>
      <c r="L87" s="77">
        <v>1</v>
      </c>
      <c r="M87" s="77" t="s">
        <v>69</v>
      </c>
      <c r="N87" s="88">
        <v>2</v>
      </c>
      <c r="O87" s="77" t="s">
        <v>159</v>
      </c>
      <c r="P87" s="77"/>
      <c r="Q87" s="31"/>
      <c r="R87" s="63"/>
    </row>
    <row r="88" spans="1:18" ht="39.75" hidden="1" customHeight="1" x14ac:dyDescent="0.25">
      <c r="A88" s="78">
        <f>IF(B88="","",COUNTA($B$7:B87))</f>
        <v>81</v>
      </c>
      <c r="B88" s="85">
        <v>46024</v>
      </c>
      <c r="C88" s="77" t="s">
        <v>326</v>
      </c>
      <c r="D88" s="77" t="s">
        <v>327</v>
      </c>
      <c r="E88" s="129" t="s">
        <v>328</v>
      </c>
      <c r="F88" s="77" t="s">
        <v>118</v>
      </c>
      <c r="G88" s="77">
        <v>19098</v>
      </c>
      <c r="H88" s="131" t="s">
        <v>118</v>
      </c>
      <c r="I88" s="86" t="str">
        <f t="shared" si="2"/>
        <v>LENC</v>
      </c>
      <c r="J88" s="86" t="str">
        <f t="shared" si="3"/>
        <v>26</v>
      </c>
      <c r="K88" s="77" t="s">
        <v>329</v>
      </c>
      <c r="L88" s="77">
        <v>1</v>
      </c>
      <c r="M88" s="77" t="s">
        <v>69</v>
      </c>
      <c r="N88" s="88">
        <v>65</v>
      </c>
      <c r="O88" s="77" t="s">
        <v>159</v>
      </c>
      <c r="P88" s="77"/>
      <c r="Q88" s="31"/>
      <c r="R88" s="63"/>
    </row>
    <row r="89" spans="1:18" ht="39.75" hidden="1" customHeight="1" x14ac:dyDescent="0.25">
      <c r="A89" s="78">
        <f>IF(B89="","",COUNTA($B$7:B88))</f>
        <v>82</v>
      </c>
      <c r="B89" s="85">
        <v>46024</v>
      </c>
      <c r="C89" s="77" t="s">
        <v>326</v>
      </c>
      <c r="D89" s="77" t="s">
        <v>330</v>
      </c>
      <c r="E89" s="129" t="s">
        <v>328</v>
      </c>
      <c r="F89" s="77" t="s">
        <v>118</v>
      </c>
      <c r="G89" s="77" t="s">
        <v>331</v>
      </c>
      <c r="H89" s="131" t="s">
        <v>118</v>
      </c>
      <c r="I89" s="86" t="str">
        <f t="shared" si="2"/>
        <v>LENC</v>
      </c>
      <c r="J89" s="86" t="str">
        <f t="shared" si="3"/>
        <v>26</v>
      </c>
      <c r="K89" s="77" t="s">
        <v>332</v>
      </c>
      <c r="L89" s="77">
        <v>2</v>
      </c>
      <c r="M89" s="77" t="s">
        <v>69</v>
      </c>
      <c r="N89" s="88">
        <v>65</v>
      </c>
      <c r="O89" s="77" t="s">
        <v>159</v>
      </c>
      <c r="P89" s="77"/>
      <c r="Q89" s="31"/>
      <c r="R89" s="63"/>
    </row>
    <row r="90" spans="1:18" ht="39.75" hidden="1" customHeight="1" x14ac:dyDescent="0.25">
      <c r="A90" s="78">
        <f>IF(B90="","",COUNTA($B$7:B89))</f>
        <v>83</v>
      </c>
      <c r="B90" s="85">
        <v>46024</v>
      </c>
      <c r="C90" s="77" t="s">
        <v>326</v>
      </c>
      <c r="D90" s="77" t="s">
        <v>211</v>
      </c>
      <c r="E90" s="129" t="s">
        <v>328</v>
      </c>
      <c r="F90" s="77" t="s">
        <v>118</v>
      </c>
      <c r="G90" s="77">
        <v>19103</v>
      </c>
      <c r="H90" s="131" t="s">
        <v>118</v>
      </c>
      <c r="I90" s="86" t="str">
        <f t="shared" si="2"/>
        <v>LENC</v>
      </c>
      <c r="J90" s="86" t="str">
        <f t="shared" si="3"/>
        <v>26</v>
      </c>
      <c r="K90" s="77" t="s">
        <v>69</v>
      </c>
      <c r="L90" s="77">
        <v>1</v>
      </c>
      <c r="M90" s="77" t="s">
        <v>69</v>
      </c>
      <c r="N90" s="88">
        <v>65</v>
      </c>
      <c r="O90" s="77" t="s">
        <v>159</v>
      </c>
      <c r="P90" s="77"/>
      <c r="Q90" s="31"/>
      <c r="R90" s="63"/>
    </row>
    <row r="91" spans="1:18" ht="39.75" hidden="1" customHeight="1" x14ac:dyDescent="0.25">
      <c r="A91" s="78">
        <f>IF(B91="","",COUNTA($B$7:B90))</f>
        <v>84</v>
      </c>
      <c r="B91" s="85">
        <v>46024</v>
      </c>
      <c r="C91" s="77" t="s">
        <v>326</v>
      </c>
      <c r="D91" s="77" t="s">
        <v>211</v>
      </c>
      <c r="E91" s="129" t="s">
        <v>328</v>
      </c>
      <c r="F91" s="77" t="s">
        <v>118</v>
      </c>
      <c r="G91" s="77">
        <v>19105</v>
      </c>
      <c r="H91" s="131" t="s">
        <v>118</v>
      </c>
      <c r="I91" s="86" t="str">
        <f t="shared" si="2"/>
        <v>LENC</v>
      </c>
      <c r="J91" s="86" t="str">
        <f t="shared" si="3"/>
        <v>26</v>
      </c>
      <c r="K91" s="77" t="s">
        <v>333</v>
      </c>
      <c r="L91" s="77">
        <v>1</v>
      </c>
      <c r="M91" s="77" t="s">
        <v>69</v>
      </c>
      <c r="N91" s="88">
        <v>65</v>
      </c>
      <c r="O91" s="77" t="s">
        <v>159</v>
      </c>
      <c r="P91" s="77"/>
      <c r="Q91" s="31"/>
      <c r="R91" s="63"/>
    </row>
    <row r="92" spans="1:18" ht="39.75" hidden="1" customHeight="1" x14ac:dyDescent="0.25">
      <c r="A92" s="78">
        <f>IF(B92="","",COUNTA($B$7:B91))</f>
        <v>85</v>
      </c>
      <c r="B92" s="85">
        <v>46024</v>
      </c>
      <c r="C92" s="77" t="s">
        <v>326</v>
      </c>
      <c r="D92" s="77" t="s">
        <v>334</v>
      </c>
      <c r="E92" s="129" t="s">
        <v>328</v>
      </c>
      <c r="F92" s="77" t="s">
        <v>118</v>
      </c>
      <c r="G92" s="77" t="s">
        <v>335</v>
      </c>
      <c r="H92" s="131" t="s">
        <v>118</v>
      </c>
      <c r="I92" s="86" t="str">
        <f t="shared" si="2"/>
        <v>LENC</v>
      </c>
      <c r="J92" s="86" t="str">
        <f t="shared" si="3"/>
        <v>26</v>
      </c>
      <c r="K92" s="77" t="s">
        <v>69</v>
      </c>
      <c r="L92" s="77">
        <v>1</v>
      </c>
      <c r="M92" s="77" t="s">
        <v>69</v>
      </c>
      <c r="N92" s="88">
        <v>65</v>
      </c>
      <c r="O92" s="77" t="s">
        <v>159</v>
      </c>
      <c r="P92" s="77"/>
      <c r="Q92" s="31"/>
      <c r="R92" s="63"/>
    </row>
    <row r="93" spans="1:18" ht="39.75" hidden="1" customHeight="1" x14ac:dyDescent="0.25">
      <c r="A93" s="78">
        <f>IF(B93="","",COUNTA($B$7:B92))</f>
        <v>86</v>
      </c>
      <c r="B93" s="85">
        <v>46024</v>
      </c>
      <c r="C93" s="77" t="s">
        <v>326</v>
      </c>
      <c r="D93" s="77" t="s">
        <v>334</v>
      </c>
      <c r="E93" s="77" t="s">
        <v>328</v>
      </c>
      <c r="F93" s="77" t="s">
        <v>118</v>
      </c>
      <c r="G93" s="77">
        <v>19107</v>
      </c>
      <c r="H93" s="131" t="s">
        <v>118</v>
      </c>
      <c r="I93" s="86" t="str">
        <f t="shared" si="2"/>
        <v>LENC</v>
      </c>
      <c r="J93" s="86" t="str">
        <f t="shared" si="3"/>
        <v>26</v>
      </c>
      <c r="K93" s="77" t="s">
        <v>69</v>
      </c>
      <c r="L93" s="77">
        <v>1</v>
      </c>
      <c r="M93" s="77" t="s">
        <v>69</v>
      </c>
      <c r="N93" s="88">
        <v>2</v>
      </c>
      <c r="O93" s="77" t="s">
        <v>159</v>
      </c>
      <c r="P93" s="77"/>
      <c r="Q93" s="31"/>
      <c r="R93" s="63"/>
    </row>
    <row r="94" spans="1:18" ht="39.75" hidden="1" customHeight="1" x14ac:dyDescent="0.25">
      <c r="A94" s="78">
        <f>IF(B94="","",COUNTA($B$7:B93))</f>
        <v>87</v>
      </c>
      <c r="B94" s="85">
        <v>46024</v>
      </c>
      <c r="C94" s="77" t="s">
        <v>326</v>
      </c>
      <c r="D94" s="77" t="s">
        <v>336</v>
      </c>
      <c r="E94" s="129" t="s">
        <v>328</v>
      </c>
      <c r="F94" s="77" t="s">
        <v>118</v>
      </c>
      <c r="G94" s="77">
        <v>19109</v>
      </c>
      <c r="H94" s="131" t="s">
        <v>118</v>
      </c>
      <c r="I94" s="86" t="str">
        <f t="shared" si="2"/>
        <v>LENC</v>
      </c>
      <c r="J94" s="86" t="str">
        <f t="shared" si="3"/>
        <v>26</v>
      </c>
      <c r="K94" s="77" t="s">
        <v>337</v>
      </c>
      <c r="L94" s="77">
        <v>1</v>
      </c>
      <c r="M94" s="77" t="s">
        <v>69</v>
      </c>
      <c r="N94" s="88">
        <v>65</v>
      </c>
      <c r="O94" s="77" t="s">
        <v>159</v>
      </c>
      <c r="P94" s="77"/>
      <c r="Q94" s="31"/>
      <c r="R94" s="63"/>
    </row>
    <row r="95" spans="1:18" ht="39.75" hidden="1" customHeight="1" x14ac:dyDescent="0.25">
      <c r="A95" s="78">
        <f>IF(B95="","",COUNTA($B$7:B94))</f>
        <v>88</v>
      </c>
      <c r="B95" s="85">
        <v>46058</v>
      </c>
      <c r="C95" s="77" t="s">
        <v>338</v>
      </c>
      <c r="D95" s="77" t="s">
        <v>339</v>
      </c>
      <c r="E95" s="110" t="s">
        <v>338</v>
      </c>
      <c r="F95" s="77" t="s">
        <v>118</v>
      </c>
      <c r="G95" s="110" t="s">
        <v>340</v>
      </c>
      <c r="H95" s="131" t="s">
        <v>118</v>
      </c>
      <c r="I95" s="86" t="str">
        <f t="shared" si="2"/>
        <v>LENC</v>
      </c>
      <c r="J95" s="86" t="str">
        <f t="shared" si="3"/>
        <v>26</v>
      </c>
      <c r="K95" s="77" t="s">
        <v>69</v>
      </c>
      <c r="L95" s="77">
        <v>1</v>
      </c>
      <c r="M95" s="77" t="s">
        <v>69</v>
      </c>
      <c r="N95" s="88" t="s">
        <v>166</v>
      </c>
      <c r="O95" s="77" t="s">
        <v>126</v>
      </c>
      <c r="P95" s="77"/>
      <c r="Q95" s="31"/>
      <c r="R95" s="63"/>
    </row>
    <row r="96" spans="1:18" ht="39.75" hidden="1" customHeight="1" x14ac:dyDescent="0.25">
      <c r="A96" s="78">
        <f>IF(B96="","",COUNTA($B$7:B95))</f>
        <v>89</v>
      </c>
      <c r="B96" s="85">
        <v>46043</v>
      </c>
      <c r="C96" s="77" t="s">
        <v>326</v>
      </c>
      <c r="D96" s="77" t="s">
        <v>341</v>
      </c>
      <c r="E96" s="130" t="s">
        <v>328</v>
      </c>
      <c r="F96" s="77" t="s">
        <v>118</v>
      </c>
      <c r="G96" s="110" t="s">
        <v>342</v>
      </c>
      <c r="H96" s="131" t="s">
        <v>118</v>
      </c>
      <c r="I96" s="86" t="str">
        <f t="shared" si="2"/>
        <v>LENC</v>
      </c>
      <c r="J96" s="86" t="str">
        <f t="shared" si="3"/>
        <v>26</v>
      </c>
      <c r="K96" s="77" t="s">
        <v>343</v>
      </c>
      <c r="L96" s="77">
        <v>1</v>
      </c>
      <c r="M96" s="77" t="s">
        <v>69</v>
      </c>
      <c r="N96" s="88">
        <v>65</v>
      </c>
      <c r="O96" s="77" t="s">
        <v>159</v>
      </c>
      <c r="P96" s="77"/>
      <c r="Q96" s="31"/>
      <c r="R96" s="63"/>
    </row>
    <row r="97" spans="1:18" ht="39.75" hidden="1" customHeight="1" x14ac:dyDescent="0.25">
      <c r="A97" s="78">
        <f>IF(B97="","",COUNTA($B$7:B96))</f>
        <v>90</v>
      </c>
      <c r="B97" s="85">
        <v>46038</v>
      </c>
      <c r="C97" s="77" t="s">
        <v>150</v>
      </c>
      <c r="D97" s="77" t="s">
        <v>344</v>
      </c>
      <c r="E97" s="77" t="s">
        <v>152</v>
      </c>
      <c r="F97" s="77" t="s">
        <v>118</v>
      </c>
      <c r="G97" s="77">
        <v>20829</v>
      </c>
      <c r="H97" s="131" t="s">
        <v>118</v>
      </c>
      <c r="I97" s="86" t="str">
        <f t="shared" si="2"/>
        <v>LENC</v>
      </c>
      <c r="J97" s="86" t="str">
        <f t="shared" si="3"/>
        <v>26</v>
      </c>
      <c r="K97" s="110" t="s">
        <v>345</v>
      </c>
      <c r="L97" s="77">
        <v>1</v>
      </c>
      <c r="M97" s="110" t="s">
        <v>346</v>
      </c>
      <c r="N97" s="88" t="s">
        <v>198</v>
      </c>
      <c r="O97" s="77" t="s">
        <v>172</v>
      </c>
      <c r="P97" s="77"/>
      <c r="Q97" s="31"/>
      <c r="R97" s="63"/>
    </row>
    <row r="98" spans="1:18" ht="39.75" hidden="1" customHeight="1" x14ac:dyDescent="0.25">
      <c r="A98" s="78">
        <f>IF(B98="","",COUNTA($B$7:B97))</f>
        <v>91</v>
      </c>
      <c r="B98" s="85">
        <v>46052</v>
      </c>
      <c r="C98" s="77" t="s">
        <v>115</v>
      </c>
      <c r="D98" s="77" t="s">
        <v>347</v>
      </c>
      <c r="E98" s="77" t="s">
        <v>348</v>
      </c>
      <c r="F98" s="77" t="s">
        <v>118</v>
      </c>
      <c r="G98" s="77">
        <v>30125</v>
      </c>
      <c r="H98" s="131" t="s">
        <v>118</v>
      </c>
      <c r="I98" s="86" t="str">
        <f t="shared" si="2"/>
        <v>LENC</v>
      </c>
      <c r="J98" s="86" t="str">
        <f t="shared" si="3"/>
        <v>26</v>
      </c>
      <c r="K98" s="77" t="s">
        <v>349</v>
      </c>
      <c r="L98" s="77">
        <v>1</v>
      </c>
      <c r="M98" s="77" t="s">
        <v>350</v>
      </c>
      <c r="N98" s="88">
        <v>30</v>
      </c>
      <c r="O98" s="77" t="s">
        <v>159</v>
      </c>
      <c r="P98" s="77"/>
      <c r="Q98" s="31"/>
      <c r="R98" s="63"/>
    </row>
    <row r="99" spans="1:18" ht="39.75" hidden="1" customHeight="1" x14ac:dyDescent="0.25">
      <c r="A99" s="78">
        <f>IF(B99="","",COUNTA($B$7:B98))</f>
        <v>92</v>
      </c>
      <c r="B99" s="85">
        <v>45994</v>
      </c>
      <c r="C99" s="77" t="s">
        <v>351</v>
      </c>
      <c r="D99" s="77" t="s">
        <v>352</v>
      </c>
      <c r="E99" s="77" t="s">
        <v>353</v>
      </c>
      <c r="F99" s="77" t="s">
        <v>118</v>
      </c>
      <c r="G99" s="77">
        <v>20880</v>
      </c>
      <c r="H99" s="131" t="s">
        <v>118</v>
      </c>
      <c r="I99" s="86" t="str">
        <f t="shared" si="2"/>
        <v>LENC</v>
      </c>
      <c r="J99" s="86" t="str">
        <f t="shared" si="3"/>
        <v>25</v>
      </c>
      <c r="K99" s="77" t="s">
        <v>354</v>
      </c>
      <c r="L99" s="77">
        <v>1</v>
      </c>
      <c r="M99" s="77" t="s">
        <v>355</v>
      </c>
      <c r="N99" s="88" t="s">
        <v>198</v>
      </c>
      <c r="O99" s="77" t="s">
        <v>172</v>
      </c>
      <c r="P99" s="77"/>
      <c r="Q99" s="31"/>
      <c r="R99" s="63"/>
    </row>
    <row r="100" spans="1:18" ht="39.75" hidden="1" customHeight="1" x14ac:dyDescent="0.25">
      <c r="A100" s="78">
        <f>IF(B100="","",COUNTA($B$7:B99))</f>
        <v>93</v>
      </c>
      <c r="B100" s="85">
        <v>46048</v>
      </c>
      <c r="C100" s="77" t="s">
        <v>150</v>
      </c>
      <c r="D100" s="77" t="s">
        <v>356</v>
      </c>
      <c r="E100" s="77" t="s">
        <v>357</v>
      </c>
      <c r="F100" s="77" t="s">
        <v>118</v>
      </c>
      <c r="G100" s="77">
        <v>12536</v>
      </c>
      <c r="H100" s="131" t="s">
        <v>118</v>
      </c>
      <c r="I100" s="86" t="str">
        <f t="shared" si="2"/>
        <v>LENC</v>
      </c>
      <c r="J100" s="86" t="str">
        <f t="shared" si="3"/>
        <v>26</v>
      </c>
      <c r="K100" s="77" t="s">
        <v>69</v>
      </c>
      <c r="L100" s="77">
        <v>1</v>
      </c>
      <c r="M100" s="77" t="s">
        <v>69</v>
      </c>
      <c r="N100" s="88" t="s">
        <v>358</v>
      </c>
      <c r="O100" s="77" t="s">
        <v>126</v>
      </c>
      <c r="P100" s="77"/>
      <c r="Q100" s="31"/>
      <c r="R100" s="63"/>
    </row>
    <row r="101" spans="1:18" ht="39.75" hidden="1" customHeight="1" x14ac:dyDescent="0.25">
      <c r="A101" s="78">
        <f>IF(B101="","",COUNTA($B$7:B100))</f>
        <v>94</v>
      </c>
      <c r="B101" s="85">
        <v>46051</v>
      </c>
      <c r="C101" s="77" t="s">
        <v>150</v>
      </c>
      <c r="D101" s="77" t="s">
        <v>359</v>
      </c>
      <c r="E101" s="77" t="s">
        <v>360</v>
      </c>
      <c r="F101" s="77" t="s">
        <v>118</v>
      </c>
      <c r="G101" s="77" t="s">
        <v>361</v>
      </c>
      <c r="H101" s="131" t="s">
        <v>118</v>
      </c>
      <c r="I101" s="86" t="str">
        <f t="shared" si="2"/>
        <v>LENC</v>
      </c>
      <c r="J101" s="86" t="str">
        <f t="shared" si="3"/>
        <v>26</v>
      </c>
      <c r="K101" s="77" t="s">
        <v>69</v>
      </c>
      <c r="L101" s="77">
        <v>2</v>
      </c>
      <c r="M101" s="77" t="s">
        <v>69</v>
      </c>
      <c r="N101" s="88" t="s">
        <v>149</v>
      </c>
      <c r="O101" s="77" t="s">
        <v>121</v>
      </c>
      <c r="P101" s="77"/>
      <c r="Q101" s="31"/>
      <c r="R101" s="63"/>
    </row>
    <row r="102" spans="1:18" ht="39.75" hidden="1" customHeight="1" x14ac:dyDescent="0.25">
      <c r="A102" s="78">
        <f>IF(B102="","",COUNTA($B$7:B101))</f>
        <v>95</v>
      </c>
      <c r="B102" s="85">
        <v>46051</v>
      </c>
      <c r="C102" s="77" t="s">
        <v>150</v>
      </c>
      <c r="D102" s="77" t="s">
        <v>362</v>
      </c>
      <c r="E102" s="77" t="s">
        <v>360</v>
      </c>
      <c r="F102" s="77" t="s">
        <v>118</v>
      </c>
      <c r="G102" s="77">
        <v>18868</v>
      </c>
      <c r="H102" s="131" t="s">
        <v>118</v>
      </c>
      <c r="I102" s="86" t="str">
        <f t="shared" si="2"/>
        <v>LENC</v>
      </c>
      <c r="J102" s="86" t="str">
        <f t="shared" si="3"/>
        <v>26</v>
      </c>
      <c r="K102" s="77" t="s">
        <v>363</v>
      </c>
      <c r="L102" s="77">
        <v>1</v>
      </c>
      <c r="M102" s="77" t="s">
        <v>69</v>
      </c>
      <c r="N102" s="88" t="s">
        <v>364</v>
      </c>
      <c r="O102" s="77" t="s">
        <v>126</v>
      </c>
      <c r="P102" s="77"/>
      <c r="Q102" s="31"/>
      <c r="R102" s="63"/>
    </row>
    <row r="103" spans="1:18" ht="39.75" hidden="1" customHeight="1" x14ac:dyDescent="0.25">
      <c r="A103" s="78">
        <f>IF(B103="","",COUNTA($B$7:B102))</f>
        <v>96</v>
      </c>
      <c r="B103" s="85">
        <v>46051</v>
      </c>
      <c r="C103" s="77" t="s">
        <v>150</v>
      </c>
      <c r="D103" s="77" t="s">
        <v>365</v>
      </c>
      <c r="E103" s="77" t="s">
        <v>360</v>
      </c>
      <c r="F103" s="77" t="s">
        <v>118</v>
      </c>
      <c r="G103" s="77">
        <v>18900</v>
      </c>
      <c r="H103" s="131" t="s">
        <v>118</v>
      </c>
      <c r="I103" s="86" t="str">
        <f t="shared" si="2"/>
        <v>LENC</v>
      </c>
      <c r="J103" s="86" t="str">
        <f t="shared" si="3"/>
        <v>26</v>
      </c>
      <c r="K103" s="77" t="s">
        <v>366</v>
      </c>
      <c r="L103" s="77">
        <v>1</v>
      </c>
      <c r="M103" s="77" t="s">
        <v>367</v>
      </c>
      <c r="N103" s="88"/>
      <c r="O103" s="77" t="s">
        <v>121</v>
      </c>
      <c r="P103" s="77"/>
      <c r="Q103" s="31"/>
      <c r="R103" s="63"/>
    </row>
    <row r="104" spans="1:18" ht="39.75" hidden="1" customHeight="1" x14ac:dyDescent="0.25">
      <c r="A104" s="78">
        <f>IF(B104="","",COUNTA($B$7:B103))</f>
        <v>97</v>
      </c>
      <c r="B104" s="85">
        <v>46051</v>
      </c>
      <c r="C104" s="77" t="s">
        <v>150</v>
      </c>
      <c r="D104" s="77" t="s">
        <v>359</v>
      </c>
      <c r="E104" s="77" t="s">
        <v>360</v>
      </c>
      <c r="F104" s="77" t="s">
        <v>118</v>
      </c>
      <c r="G104" s="77" t="s">
        <v>368</v>
      </c>
      <c r="H104" s="131" t="s">
        <v>118</v>
      </c>
      <c r="I104" s="86" t="str">
        <f t="shared" si="2"/>
        <v>LENC</v>
      </c>
      <c r="J104" s="86" t="str">
        <f t="shared" si="3"/>
        <v>26</v>
      </c>
      <c r="K104" s="77" t="s">
        <v>69</v>
      </c>
      <c r="L104" s="77">
        <v>2</v>
      </c>
      <c r="M104" s="77" t="s">
        <v>69</v>
      </c>
      <c r="N104" s="88" t="s">
        <v>149</v>
      </c>
      <c r="O104" s="77" t="s">
        <v>121</v>
      </c>
      <c r="P104" s="77"/>
      <c r="Q104" s="31"/>
      <c r="R104" s="63"/>
    </row>
    <row r="105" spans="1:18" ht="39.75" hidden="1" customHeight="1" x14ac:dyDescent="0.25">
      <c r="A105" s="78">
        <f>IF(B105="","",COUNTA($B$7:B104))</f>
        <v>98</v>
      </c>
      <c r="B105" s="85">
        <v>46051</v>
      </c>
      <c r="C105" s="77" t="s">
        <v>150</v>
      </c>
      <c r="D105" s="77" t="s">
        <v>369</v>
      </c>
      <c r="E105" s="77" t="s">
        <v>360</v>
      </c>
      <c r="F105" s="77" t="s">
        <v>118</v>
      </c>
      <c r="G105" s="77" t="s">
        <v>370</v>
      </c>
      <c r="H105" s="131" t="s">
        <v>118</v>
      </c>
      <c r="I105" s="86" t="str">
        <f t="shared" si="2"/>
        <v>LENC</v>
      </c>
      <c r="J105" s="86" t="str">
        <f t="shared" si="3"/>
        <v>26</v>
      </c>
      <c r="K105" s="77" t="s">
        <v>363</v>
      </c>
      <c r="L105" s="77">
        <v>2</v>
      </c>
      <c r="M105" s="77" t="s">
        <v>371</v>
      </c>
      <c r="N105" s="88" t="s">
        <v>364</v>
      </c>
      <c r="O105" s="77" t="s">
        <v>126</v>
      </c>
      <c r="P105" s="77"/>
      <c r="Q105" s="31"/>
      <c r="R105" s="63"/>
    </row>
    <row r="106" spans="1:18" ht="39.75" hidden="1" customHeight="1" x14ac:dyDescent="0.25">
      <c r="A106" s="78">
        <f>IF(B106="","",COUNTA($B$7:B105))</f>
        <v>99</v>
      </c>
      <c r="B106" s="85">
        <v>46051</v>
      </c>
      <c r="C106" s="77" t="s">
        <v>150</v>
      </c>
      <c r="D106" s="77" t="s">
        <v>372</v>
      </c>
      <c r="E106" s="77" t="s">
        <v>360</v>
      </c>
      <c r="F106" s="77" t="s">
        <v>118</v>
      </c>
      <c r="G106" s="77" t="s">
        <v>373</v>
      </c>
      <c r="H106" s="131" t="s">
        <v>118</v>
      </c>
      <c r="I106" s="86" t="str">
        <f t="shared" si="2"/>
        <v>LENC</v>
      </c>
      <c r="J106" s="86" t="str">
        <f t="shared" si="3"/>
        <v>26</v>
      </c>
      <c r="K106" s="77" t="s">
        <v>69</v>
      </c>
      <c r="L106" s="77">
        <v>2</v>
      </c>
      <c r="M106" s="77" t="s">
        <v>69</v>
      </c>
      <c r="N106" s="88" t="s">
        <v>149</v>
      </c>
      <c r="O106" s="77" t="s">
        <v>121</v>
      </c>
      <c r="P106" s="77"/>
      <c r="Q106" s="31"/>
      <c r="R106" s="63"/>
    </row>
    <row r="107" spans="1:18" ht="39.75" hidden="1" customHeight="1" x14ac:dyDescent="0.25">
      <c r="A107" s="78">
        <f>IF(B107="","",COUNTA($B$7:B106))</f>
        <v>100</v>
      </c>
      <c r="B107" s="85">
        <v>46042</v>
      </c>
      <c r="C107" s="77" t="s">
        <v>150</v>
      </c>
      <c r="D107" s="77" t="s">
        <v>374</v>
      </c>
      <c r="E107" s="77" t="s">
        <v>360</v>
      </c>
      <c r="F107" s="77" t="s">
        <v>118</v>
      </c>
      <c r="G107" s="77">
        <v>18873</v>
      </c>
      <c r="H107" s="131" t="s">
        <v>118</v>
      </c>
      <c r="I107" s="86" t="str">
        <f t="shared" si="2"/>
        <v>LENC</v>
      </c>
      <c r="J107" s="86" t="str">
        <f t="shared" si="3"/>
        <v>26</v>
      </c>
      <c r="K107" s="77" t="s">
        <v>375</v>
      </c>
      <c r="L107" s="77"/>
      <c r="M107" s="77" t="s">
        <v>376</v>
      </c>
      <c r="N107" s="88" t="s">
        <v>364</v>
      </c>
      <c r="O107" s="77" t="s">
        <v>126</v>
      </c>
      <c r="P107" s="77"/>
      <c r="Q107" s="31"/>
      <c r="R107" s="63"/>
    </row>
    <row r="108" spans="1:18" ht="39.75" hidden="1" customHeight="1" x14ac:dyDescent="0.25">
      <c r="A108" s="78">
        <f>IF(B108="","",COUNTA($B$7:B107))</f>
        <v>101</v>
      </c>
      <c r="B108" s="85">
        <v>46051</v>
      </c>
      <c r="C108" s="77" t="s">
        <v>150</v>
      </c>
      <c r="D108" s="77" t="s">
        <v>377</v>
      </c>
      <c r="E108" s="77" t="s">
        <v>360</v>
      </c>
      <c r="F108" s="77" t="s">
        <v>118</v>
      </c>
      <c r="G108" s="77" t="s">
        <v>378</v>
      </c>
      <c r="H108" s="131" t="s">
        <v>118</v>
      </c>
      <c r="I108" s="86" t="str">
        <f t="shared" si="2"/>
        <v>LENC</v>
      </c>
      <c r="J108" s="86" t="str">
        <f t="shared" si="3"/>
        <v>26</v>
      </c>
      <c r="K108" s="77" t="s">
        <v>379</v>
      </c>
      <c r="L108" s="77">
        <v>2</v>
      </c>
      <c r="M108" s="77" t="s">
        <v>69</v>
      </c>
      <c r="N108" s="88" t="s">
        <v>143</v>
      </c>
      <c r="O108" s="77" t="s">
        <v>126</v>
      </c>
      <c r="P108" s="77" t="s">
        <v>144</v>
      </c>
      <c r="Q108" s="31"/>
      <c r="R108" s="63"/>
    </row>
    <row r="109" spans="1:18" ht="39.75" hidden="1" customHeight="1" x14ac:dyDescent="0.25">
      <c r="A109" s="78">
        <f>IF(B109="","",COUNTA($B$7:B108))</f>
        <v>102</v>
      </c>
      <c r="B109" s="85">
        <v>46051</v>
      </c>
      <c r="C109" s="77" t="s">
        <v>150</v>
      </c>
      <c r="D109" s="77" t="s">
        <v>380</v>
      </c>
      <c r="E109" s="77" t="s">
        <v>360</v>
      </c>
      <c r="F109" s="77" t="s">
        <v>118</v>
      </c>
      <c r="G109" s="77">
        <v>18875</v>
      </c>
      <c r="H109" s="131" t="s">
        <v>118</v>
      </c>
      <c r="I109" s="86" t="str">
        <f t="shared" si="2"/>
        <v>LENC</v>
      </c>
      <c r="J109" s="86" t="str">
        <f t="shared" si="3"/>
        <v>26</v>
      </c>
      <c r="K109" s="77" t="s">
        <v>379</v>
      </c>
      <c r="L109" s="77">
        <v>2</v>
      </c>
      <c r="M109" s="77" t="s">
        <v>381</v>
      </c>
      <c r="N109" s="88" t="s">
        <v>364</v>
      </c>
      <c r="O109" s="77" t="s">
        <v>126</v>
      </c>
      <c r="P109" s="77" t="s">
        <v>382</v>
      </c>
      <c r="Q109" s="31"/>
      <c r="R109" s="63"/>
    </row>
    <row r="110" spans="1:18" ht="39.75" hidden="1" customHeight="1" x14ac:dyDescent="0.25">
      <c r="A110" s="78">
        <f>IF(B110="","",COUNTA($B$7:B109))</f>
        <v>103</v>
      </c>
      <c r="B110" s="85">
        <v>46051</v>
      </c>
      <c r="C110" s="77" t="s">
        <v>360</v>
      </c>
      <c r="D110" s="77" t="s">
        <v>383</v>
      </c>
      <c r="E110" s="77" t="s">
        <v>360</v>
      </c>
      <c r="F110" s="77" t="s">
        <v>118</v>
      </c>
      <c r="G110" s="77" t="s">
        <v>384</v>
      </c>
      <c r="H110" s="131" t="s">
        <v>118</v>
      </c>
      <c r="I110" s="86" t="str">
        <f t="shared" si="2"/>
        <v>LENC</v>
      </c>
      <c r="J110" s="86" t="str">
        <f t="shared" si="3"/>
        <v>26</v>
      </c>
      <c r="K110" s="77" t="s">
        <v>69</v>
      </c>
      <c r="L110" s="77">
        <v>2</v>
      </c>
      <c r="M110" s="77" t="s">
        <v>69</v>
      </c>
      <c r="N110" s="88">
        <v>25</v>
      </c>
      <c r="O110" s="77" t="s">
        <v>121</v>
      </c>
      <c r="P110" s="121" t="s">
        <v>385</v>
      </c>
      <c r="Q110" s="31"/>
      <c r="R110" s="63"/>
    </row>
    <row r="111" spans="1:18" ht="39.75" hidden="1" customHeight="1" x14ac:dyDescent="0.25">
      <c r="A111" s="78">
        <f>IF(B111="","",COUNTA($B$7:B110))</f>
        <v>104</v>
      </c>
      <c r="B111" s="85">
        <v>46051</v>
      </c>
      <c r="C111" s="77" t="s">
        <v>150</v>
      </c>
      <c r="D111" s="77" t="s">
        <v>116</v>
      </c>
      <c r="E111" s="77" t="s">
        <v>360</v>
      </c>
      <c r="F111" s="77" t="s">
        <v>118</v>
      </c>
      <c r="G111" s="77" t="s">
        <v>386</v>
      </c>
      <c r="H111" s="131" t="s">
        <v>118</v>
      </c>
      <c r="I111" s="86" t="str">
        <f t="shared" si="2"/>
        <v>LENC</v>
      </c>
      <c r="J111" s="86" t="str">
        <f t="shared" si="3"/>
        <v>26</v>
      </c>
      <c r="K111" s="77" t="s">
        <v>69</v>
      </c>
      <c r="L111" s="77">
        <v>2</v>
      </c>
      <c r="M111" s="77" t="s">
        <v>69</v>
      </c>
      <c r="N111" s="88" t="s">
        <v>364</v>
      </c>
      <c r="O111" s="77" t="s">
        <v>126</v>
      </c>
      <c r="P111" s="77">
        <v>18864</v>
      </c>
      <c r="Q111" s="31"/>
      <c r="R111" s="63"/>
    </row>
    <row r="112" spans="1:18" ht="39.75" hidden="1" customHeight="1" x14ac:dyDescent="0.25">
      <c r="A112" s="78">
        <f>IF(B112="","",COUNTA($B$7:B111))</f>
        <v>105</v>
      </c>
      <c r="B112" s="85">
        <v>46051</v>
      </c>
      <c r="C112" s="77" t="s">
        <v>208</v>
      </c>
      <c r="D112" s="77" t="s">
        <v>123</v>
      </c>
      <c r="E112" s="77" t="s">
        <v>69</v>
      </c>
      <c r="F112" s="77" t="s">
        <v>118</v>
      </c>
      <c r="G112" s="77" t="s">
        <v>387</v>
      </c>
      <c r="H112" s="131" t="s">
        <v>118</v>
      </c>
      <c r="I112" s="86" t="str">
        <f t="shared" si="2"/>
        <v>LENC</v>
      </c>
      <c r="J112" s="86" t="str">
        <f t="shared" si="3"/>
        <v>26</v>
      </c>
      <c r="K112" s="77" t="s">
        <v>69</v>
      </c>
      <c r="L112" s="77">
        <v>4</v>
      </c>
      <c r="M112" s="77" t="s">
        <v>69</v>
      </c>
      <c r="N112" s="88" t="s">
        <v>166</v>
      </c>
      <c r="O112" s="77" t="s">
        <v>121</v>
      </c>
      <c r="P112" s="77"/>
      <c r="Q112" s="31"/>
      <c r="R112" s="63"/>
    </row>
    <row r="113" spans="1:18" ht="39.75" hidden="1" customHeight="1" x14ac:dyDescent="0.25">
      <c r="A113" s="78">
        <f>IF(B113="","",COUNTA($B$7:B112))</f>
        <v>106</v>
      </c>
      <c r="B113" s="85">
        <v>46059</v>
      </c>
      <c r="C113" s="77" t="s">
        <v>208</v>
      </c>
      <c r="D113" s="77" t="s">
        <v>127</v>
      </c>
      <c r="E113" s="77" t="s">
        <v>388</v>
      </c>
      <c r="F113" s="77" t="s">
        <v>118</v>
      </c>
      <c r="G113" s="110" t="s">
        <v>389</v>
      </c>
      <c r="H113" s="131" t="s">
        <v>118</v>
      </c>
      <c r="I113" s="86" t="str">
        <f t="shared" si="2"/>
        <v>LENC</v>
      </c>
      <c r="J113" s="86" t="str">
        <f t="shared" si="3"/>
        <v>26</v>
      </c>
      <c r="K113" s="77" t="s">
        <v>69</v>
      </c>
      <c r="L113" s="77">
        <v>1</v>
      </c>
      <c r="M113" s="77" t="s">
        <v>69</v>
      </c>
      <c r="N113" s="88">
        <v>34</v>
      </c>
      <c r="O113" s="77" t="s">
        <v>121</v>
      </c>
      <c r="P113" s="77"/>
      <c r="Q113" s="31"/>
      <c r="R113" s="63"/>
    </row>
    <row r="114" spans="1:18" ht="39.75" hidden="1" customHeight="1" x14ac:dyDescent="0.25">
      <c r="A114" s="78">
        <f>IF(B114="","",COUNTA($B$7:B113))</f>
        <v>107</v>
      </c>
      <c r="B114" s="85">
        <v>46051</v>
      </c>
      <c r="C114" s="77" t="s">
        <v>150</v>
      </c>
      <c r="D114" s="77" t="s">
        <v>133</v>
      </c>
      <c r="E114" s="77" t="s">
        <v>390</v>
      </c>
      <c r="F114" s="77" t="s">
        <v>118</v>
      </c>
      <c r="G114" s="110" t="s">
        <v>391</v>
      </c>
      <c r="H114" s="131" t="s">
        <v>118</v>
      </c>
      <c r="I114" s="86" t="str">
        <f t="shared" si="2"/>
        <v>LENC</v>
      </c>
      <c r="J114" s="86" t="str">
        <f t="shared" si="3"/>
        <v>26</v>
      </c>
      <c r="K114" s="77" t="s">
        <v>392</v>
      </c>
      <c r="L114" s="77">
        <v>3</v>
      </c>
      <c r="M114" s="77" t="s">
        <v>393</v>
      </c>
      <c r="N114" s="88">
        <v>91</v>
      </c>
      <c r="O114" s="77" t="s">
        <v>159</v>
      </c>
      <c r="P114" s="77"/>
      <c r="Q114" s="31"/>
      <c r="R114" s="63"/>
    </row>
    <row r="115" spans="1:18" ht="39.75" hidden="1" customHeight="1" x14ac:dyDescent="0.25">
      <c r="A115" s="78">
        <f>IF(B115="","",COUNTA($B$7:B114))</f>
        <v>108</v>
      </c>
      <c r="B115" s="85">
        <v>46051</v>
      </c>
      <c r="C115" s="77" t="s">
        <v>150</v>
      </c>
      <c r="D115" s="77" t="s">
        <v>135</v>
      </c>
      <c r="E115" s="77" t="s">
        <v>390</v>
      </c>
      <c r="F115" s="77" t="s">
        <v>118</v>
      </c>
      <c r="G115" s="110" t="s">
        <v>394</v>
      </c>
      <c r="H115" s="131" t="s">
        <v>118</v>
      </c>
      <c r="I115" s="86" t="str">
        <f t="shared" si="2"/>
        <v>LENC</v>
      </c>
      <c r="J115" s="86" t="str">
        <f t="shared" si="3"/>
        <v>26</v>
      </c>
      <c r="K115" s="77" t="s">
        <v>392</v>
      </c>
      <c r="L115" s="77">
        <v>3</v>
      </c>
      <c r="M115" s="77" t="s">
        <v>393</v>
      </c>
      <c r="N115" s="88">
        <v>91</v>
      </c>
      <c r="O115" s="77" t="s">
        <v>159</v>
      </c>
      <c r="P115" s="77"/>
      <c r="Q115" s="31"/>
      <c r="R115" s="63"/>
    </row>
    <row r="116" spans="1:18" ht="39.75" hidden="1" customHeight="1" x14ac:dyDescent="0.25">
      <c r="A116" s="78">
        <f>IF(B116="","",COUNTA($B$7:B115))</f>
        <v>109</v>
      </c>
      <c r="B116" s="85">
        <v>46051</v>
      </c>
      <c r="C116" s="77" t="s">
        <v>150</v>
      </c>
      <c r="D116" s="77" t="s">
        <v>139</v>
      </c>
      <c r="E116" s="77" t="s">
        <v>390</v>
      </c>
      <c r="F116" s="77" t="s">
        <v>118</v>
      </c>
      <c r="G116" s="110" t="s">
        <v>395</v>
      </c>
      <c r="H116" s="131" t="s">
        <v>118</v>
      </c>
      <c r="I116" s="86" t="str">
        <f t="shared" si="2"/>
        <v>LENC</v>
      </c>
      <c r="J116" s="86" t="str">
        <f t="shared" si="3"/>
        <v>26</v>
      </c>
      <c r="K116" s="77" t="s">
        <v>392</v>
      </c>
      <c r="L116" s="77">
        <v>3</v>
      </c>
      <c r="M116" s="77" t="s">
        <v>393</v>
      </c>
      <c r="N116" s="88">
        <v>91</v>
      </c>
      <c r="O116" s="77" t="s">
        <v>159</v>
      </c>
      <c r="P116" s="77"/>
      <c r="Q116" s="31"/>
      <c r="R116" s="63"/>
    </row>
    <row r="117" spans="1:18" ht="39.75" hidden="1" customHeight="1" x14ac:dyDescent="0.25">
      <c r="A117" s="78">
        <f>IF(B117="","",COUNTA($B$7:B116))</f>
        <v>110</v>
      </c>
      <c r="B117" s="85">
        <v>46051</v>
      </c>
      <c r="C117" s="77" t="s">
        <v>150</v>
      </c>
      <c r="D117" s="77" t="s">
        <v>146</v>
      </c>
      <c r="E117" s="77" t="s">
        <v>390</v>
      </c>
      <c r="F117" s="77" t="s">
        <v>118</v>
      </c>
      <c r="G117" s="110" t="s">
        <v>396</v>
      </c>
      <c r="H117" s="131" t="s">
        <v>118</v>
      </c>
      <c r="I117" s="86" t="str">
        <f t="shared" si="2"/>
        <v>LENC</v>
      </c>
      <c r="J117" s="86" t="str">
        <f t="shared" si="3"/>
        <v>26</v>
      </c>
      <c r="K117" s="77" t="s">
        <v>392</v>
      </c>
      <c r="L117" s="77">
        <v>3</v>
      </c>
      <c r="M117" s="77" t="s">
        <v>393</v>
      </c>
      <c r="N117" s="88">
        <v>91</v>
      </c>
      <c r="O117" s="77" t="s">
        <v>159</v>
      </c>
      <c r="P117" s="77"/>
      <c r="Q117" s="31"/>
      <c r="R117" s="63"/>
    </row>
    <row r="118" spans="1:18" ht="39.75" hidden="1" customHeight="1" x14ac:dyDescent="0.25">
      <c r="A118" s="78">
        <f>IF(B118="","",COUNTA($B$7:B117))</f>
        <v>111</v>
      </c>
      <c r="B118" s="85">
        <v>46051</v>
      </c>
      <c r="C118" s="77" t="s">
        <v>150</v>
      </c>
      <c r="D118" s="77" t="s">
        <v>397</v>
      </c>
      <c r="E118" s="77" t="s">
        <v>390</v>
      </c>
      <c r="F118" s="77" t="s">
        <v>118</v>
      </c>
      <c r="G118" s="77">
        <v>19747</v>
      </c>
      <c r="H118" s="131" t="s">
        <v>118</v>
      </c>
      <c r="I118" s="86" t="str">
        <f t="shared" si="2"/>
        <v>LENC</v>
      </c>
      <c r="J118" s="86" t="str">
        <f t="shared" si="3"/>
        <v>26</v>
      </c>
      <c r="K118" s="77" t="s">
        <v>392</v>
      </c>
      <c r="L118" s="77">
        <v>3</v>
      </c>
      <c r="M118" s="77" t="s">
        <v>393</v>
      </c>
      <c r="N118" s="88">
        <v>91</v>
      </c>
      <c r="O118" s="77" t="s">
        <v>159</v>
      </c>
      <c r="P118" s="77"/>
      <c r="Q118" s="31"/>
      <c r="R118" s="63"/>
    </row>
    <row r="119" spans="1:18" ht="39.75" hidden="1" customHeight="1" x14ac:dyDescent="0.25">
      <c r="A119" s="78">
        <f>IF(B119="","",COUNTA($B$7:B118))</f>
        <v>112</v>
      </c>
      <c r="B119" s="85">
        <v>46051</v>
      </c>
      <c r="C119" s="77" t="s">
        <v>150</v>
      </c>
      <c r="D119" s="77" t="s">
        <v>154</v>
      </c>
      <c r="E119" s="77" t="s">
        <v>238</v>
      </c>
      <c r="F119" s="77" t="s">
        <v>118</v>
      </c>
      <c r="G119" s="77" t="s">
        <v>398</v>
      </c>
      <c r="H119" s="131" t="s">
        <v>118</v>
      </c>
      <c r="I119" s="86" t="str">
        <f t="shared" si="2"/>
        <v>LENC</v>
      </c>
      <c r="J119" s="86" t="str">
        <f t="shared" si="3"/>
        <v>26</v>
      </c>
      <c r="K119" s="77" t="s">
        <v>399</v>
      </c>
      <c r="L119" s="77">
        <v>6</v>
      </c>
      <c r="M119" s="77" t="s">
        <v>69</v>
      </c>
      <c r="N119" s="88" t="s">
        <v>400</v>
      </c>
      <c r="O119" s="77" t="s">
        <v>126</v>
      </c>
      <c r="P119" s="77" t="s">
        <v>144</v>
      </c>
      <c r="Q119" s="31"/>
      <c r="R119" s="63"/>
    </row>
    <row r="120" spans="1:18" ht="39.75" hidden="1" customHeight="1" x14ac:dyDescent="0.25">
      <c r="A120" s="78">
        <f>IF(B120="","",COUNTA($B$7:B119))</f>
        <v>113</v>
      </c>
      <c r="B120" s="85">
        <v>46051</v>
      </c>
      <c r="C120" s="77" t="s">
        <v>150</v>
      </c>
      <c r="D120" s="77" t="s">
        <v>160</v>
      </c>
      <c r="E120" s="77" t="s">
        <v>238</v>
      </c>
      <c r="F120" s="77" t="s">
        <v>118</v>
      </c>
      <c r="G120" s="77">
        <v>17595</v>
      </c>
      <c r="H120" s="131" t="s">
        <v>118</v>
      </c>
      <c r="I120" s="86" t="str">
        <f t="shared" si="2"/>
        <v>LENC</v>
      </c>
      <c r="J120" s="86" t="str">
        <f t="shared" si="3"/>
        <v>26</v>
      </c>
      <c r="K120" s="77" t="s">
        <v>399</v>
      </c>
      <c r="L120" s="77">
        <v>1</v>
      </c>
      <c r="M120" s="77" t="s">
        <v>401</v>
      </c>
      <c r="N120" s="88" t="s">
        <v>400</v>
      </c>
      <c r="O120" s="77" t="s">
        <v>126</v>
      </c>
      <c r="P120" s="77" t="s">
        <v>144</v>
      </c>
      <c r="Q120" s="31"/>
      <c r="R120" s="63"/>
    </row>
    <row r="121" spans="1:18" ht="39.75" hidden="1" customHeight="1" x14ac:dyDescent="0.25">
      <c r="A121" s="78">
        <f>IF(B121="","",COUNTA($B$7:B120))</f>
        <v>114</v>
      </c>
      <c r="B121" s="85">
        <v>46051</v>
      </c>
      <c r="C121" s="77" t="s">
        <v>150</v>
      </c>
      <c r="D121" s="77" t="s">
        <v>162</v>
      </c>
      <c r="E121" s="77" t="s">
        <v>238</v>
      </c>
      <c r="F121" s="77" t="s">
        <v>118</v>
      </c>
      <c r="G121" s="77">
        <v>12493</v>
      </c>
      <c r="H121" s="131" t="s">
        <v>118</v>
      </c>
      <c r="I121" s="86" t="str">
        <f t="shared" si="2"/>
        <v>LENC</v>
      </c>
      <c r="J121" s="86" t="str">
        <f t="shared" si="3"/>
        <v>26</v>
      </c>
      <c r="K121" s="77" t="s">
        <v>399</v>
      </c>
      <c r="L121" s="77">
        <v>1</v>
      </c>
      <c r="M121" s="77" t="s">
        <v>69</v>
      </c>
      <c r="N121" s="88" t="s">
        <v>400</v>
      </c>
      <c r="O121" s="77" t="s">
        <v>126</v>
      </c>
      <c r="P121" s="77" t="s">
        <v>144</v>
      </c>
      <c r="Q121" s="31"/>
      <c r="R121" s="63"/>
    </row>
    <row r="122" spans="1:18" ht="39.75" hidden="1" customHeight="1" x14ac:dyDescent="0.25">
      <c r="A122" s="78">
        <f>IF(B122="","",COUNTA($B$7:B121))</f>
        <v>115</v>
      </c>
      <c r="B122" s="85">
        <v>46051</v>
      </c>
      <c r="C122" s="77" t="s">
        <v>150</v>
      </c>
      <c r="D122" s="77" t="s">
        <v>164</v>
      </c>
      <c r="E122" s="77" t="s">
        <v>238</v>
      </c>
      <c r="F122" s="77" t="s">
        <v>118</v>
      </c>
      <c r="G122" s="77" t="s">
        <v>402</v>
      </c>
      <c r="H122" s="131" t="s">
        <v>118</v>
      </c>
      <c r="I122" s="86" t="str">
        <f t="shared" si="2"/>
        <v>LENC</v>
      </c>
      <c r="J122" s="86" t="str">
        <f t="shared" si="3"/>
        <v>26</v>
      </c>
      <c r="K122" s="77" t="s">
        <v>399</v>
      </c>
      <c r="L122" s="77">
        <v>5</v>
      </c>
      <c r="M122" s="77" t="s">
        <v>401</v>
      </c>
      <c r="N122" s="88" t="s">
        <v>400</v>
      </c>
      <c r="O122" s="77" t="s">
        <v>126</v>
      </c>
      <c r="P122" s="77" t="s">
        <v>144</v>
      </c>
      <c r="Q122" s="31"/>
      <c r="R122" s="63"/>
    </row>
    <row r="123" spans="1:18" ht="39.75" hidden="1" customHeight="1" x14ac:dyDescent="0.25">
      <c r="A123" s="78">
        <f>IF(B123="","",COUNTA($B$7:B122))</f>
        <v>116</v>
      </c>
      <c r="B123" s="85">
        <v>46051</v>
      </c>
      <c r="C123" s="77" t="s">
        <v>150</v>
      </c>
      <c r="D123" s="77" t="s">
        <v>167</v>
      </c>
      <c r="E123" s="77" t="s">
        <v>353</v>
      </c>
      <c r="F123" s="77" t="s">
        <v>118</v>
      </c>
      <c r="G123" s="77" t="s">
        <v>69</v>
      </c>
      <c r="H123" s="131" t="s">
        <v>118</v>
      </c>
      <c r="I123" s="86" t="str">
        <f t="shared" si="2"/>
        <v>LENC</v>
      </c>
      <c r="J123" s="86" t="str">
        <f t="shared" si="3"/>
        <v>26</v>
      </c>
      <c r="K123" s="77" t="s">
        <v>69</v>
      </c>
      <c r="L123" s="77">
        <v>1</v>
      </c>
      <c r="M123" s="77" t="s">
        <v>69</v>
      </c>
      <c r="N123" s="88" t="s">
        <v>149</v>
      </c>
      <c r="O123" s="77" t="s">
        <v>121</v>
      </c>
      <c r="P123" s="77" t="s">
        <v>403</v>
      </c>
      <c r="Q123" s="31"/>
      <c r="R123" s="63"/>
    </row>
    <row r="124" spans="1:18" ht="39.75" hidden="1" customHeight="1" x14ac:dyDescent="0.25">
      <c r="A124" s="78">
        <f>IF(B124="","",COUNTA($B$7:B123))</f>
        <v>117</v>
      </c>
      <c r="B124" s="85">
        <v>46051</v>
      </c>
      <c r="C124" s="77" t="s">
        <v>150</v>
      </c>
      <c r="D124" s="77" t="s">
        <v>167</v>
      </c>
      <c r="E124" s="77" t="s">
        <v>328</v>
      </c>
      <c r="F124" s="77" t="s">
        <v>118</v>
      </c>
      <c r="G124" s="77" t="s">
        <v>69</v>
      </c>
      <c r="H124" s="131" t="s">
        <v>118</v>
      </c>
      <c r="I124" s="86" t="str">
        <f t="shared" si="2"/>
        <v>LENC</v>
      </c>
      <c r="J124" s="86" t="str">
        <f t="shared" si="3"/>
        <v>26</v>
      </c>
      <c r="K124" s="77" t="s">
        <v>69</v>
      </c>
      <c r="L124" s="77">
        <v>2</v>
      </c>
      <c r="M124" s="77" t="s">
        <v>69</v>
      </c>
      <c r="N124" s="88" t="s">
        <v>149</v>
      </c>
      <c r="O124" s="77" t="s">
        <v>121</v>
      </c>
      <c r="P124" s="77"/>
      <c r="Q124" s="31"/>
      <c r="R124" s="63"/>
    </row>
    <row r="125" spans="1:18" ht="39.75" hidden="1" customHeight="1" x14ac:dyDescent="0.25">
      <c r="A125" s="78">
        <f>IF(B125="","",COUNTA($B$7:B124))</f>
        <v>118</v>
      </c>
      <c r="B125" s="85">
        <v>46051</v>
      </c>
      <c r="C125" s="77" t="s">
        <v>150</v>
      </c>
      <c r="D125" s="77" t="s">
        <v>177</v>
      </c>
      <c r="E125" s="77" t="s">
        <v>328</v>
      </c>
      <c r="F125" s="77" t="s">
        <v>118</v>
      </c>
      <c r="G125" s="77" t="s">
        <v>69</v>
      </c>
      <c r="H125" s="131" t="s">
        <v>118</v>
      </c>
      <c r="I125" s="86" t="str">
        <f t="shared" si="2"/>
        <v>LENC</v>
      </c>
      <c r="J125" s="86" t="str">
        <f t="shared" si="3"/>
        <v>26</v>
      </c>
      <c r="K125" s="77" t="s">
        <v>69</v>
      </c>
      <c r="L125" s="77">
        <v>1</v>
      </c>
      <c r="M125" s="77" t="s">
        <v>69</v>
      </c>
      <c r="N125" s="88" t="s">
        <v>149</v>
      </c>
      <c r="O125" s="77" t="s">
        <v>121</v>
      </c>
      <c r="P125" s="77" t="s">
        <v>404</v>
      </c>
      <c r="Q125" s="31"/>
      <c r="R125" s="63"/>
    </row>
    <row r="126" spans="1:18" ht="39.75" hidden="1" customHeight="1" x14ac:dyDescent="0.25">
      <c r="A126" s="78">
        <f>IF(B126="","",COUNTA($B$7:B125))</f>
        <v>119</v>
      </c>
      <c r="B126" s="85">
        <v>46057</v>
      </c>
      <c r="C126" s="77" t="s">
        <v>405</v>
      </c>
      <c r="D126" s="77" t="s">
        <v>182</v>
      </c>
      <c r="E126" s="77" t="s">
        <v>406</v>
      </c>
      <c r="F126" s="77" t="s">
        <v>118</v>
      </c>
      <c r="G126" s="77" t="s">
        <v>69</v>
      </c>
      <c r="H126" s="131" t="s">
        <v>118</v>
      </c>
      <c r="I126" s="86" t="str">
        <f t="shared" si="2"/>
        <v>LENC</v>
      </c>
      <c r="J126" s="86" t="str">
        <f t="shared" si="3"/>
        <v>26</v>
      </c>
      <c r="K126" s="77" t="s">
        <v>407</v>
      </c>
      <c r="L126" s="77">
        <v>1</v>
      </c>
      <c r="M126" s="77" t="s">
        <v>408</v>
      </c>
      <c r="N126" s="88">
        <v>11</v>
      </c>
      <c r="O126" s="77" t="s">
        <v>159</v>
      </c>
      <c r="P126" s="77" t="s">
        <v>409</v>
      </c>
      <c r="Q126" s="31"/>
      <c r="R126" s="63"/>
    </row>
    <row r="127" spans="1:18" ht="39.75" hidden="1" customHeight="1" x14ac:dyDescent="0.25">
      <c r="A127" s="78">
        <f>IF(B127="","",COUNTA($B$7:B126))</f>
        <v>120</v>
      </c>
      <c r="B127" s="85">
        <v>46057</v>
      </c>
      <c r="C127" s="77" t="s">
        <v>351</v>
      </c>
      <c r="D127" s="77" t="s">
        <v>184</v>
      </c>
      <c r="E127" s="77" t="s">
        <v>353</v>
      </c>
      <c r="F127" s="77" t="s">
        <v>118</v>
      </c>
      <c r="G127" s="77" t="s">
        <v>69</v>
      </c>
      <c r="H127" s="131" t="s">
        <v>118</v>
      </c>
      <c r="I127" s="86" t="str">
        <f t="shared" si="2"/>
        <v>LENC</v>
      </c>
      <c r="J127" s="86" t="str">
        <f t="shared" si="3"/>
        <v>26</v>
      </c>
      <c r="K127" s="77" t="s">
        <v>69</v>
      </c>
      <c r="L127" s="77">
        <v>1</v>
      </c>
      <c r="M127" s="77" t="s">
        <v>69</v>
      </c>
      <c r="N127" s="88" t="s">
        <v>149</v>
      </c>
      <c r="O127" s="77" t="s">
        <v>121</v>
      </c>
      <c r="P127" s="77" t="s">
        <v>410</v>
      </c>
      <c r="Q127" s="31"/>
      <c r="R127" s="63"/>
    </row>
    <row r="128" spans="1:18" ht="39.75" hidden="1" customHeight="1" x14ac:dyDescent="0.25">
      <c r="A128" s="78">
        <f>IF(B128="","",COUNTA($B$7:B127))</f>
        <v>121</v>
      </c>
      <c r="B128" s="85">
        <v>46057</v>
      </c>
      <c r="C128" s="77" t="s">
        <v>351</v>
      </c>
      <c r="D128" s="77" t="s">
        <v>188</v>
      </c>
      <c r="E128" s="77" t="s">
        <v>353</v>
      </c>
      <c r="F128" s="77" t="s">
        <v>118</v>
      </c>
      <c r="G128" s="77" t="s">
        <v>110</v>
      </c>
      <c r="H128" s="131" t="s">
        <v>118</v>
      </c>
      <c r="I128" s="86" t="str">
        <f t="shared" si="2"/>
        <v>LENC</v>
      </c>
      <c r="J128" s="86" t="str">
        <f t="shared" si="3"/>
        <v>26</v>
      </c>
      <c r="K128" s="77" t="s">
        <v>69</v>
      </c>
      <c r="L128" s="77">
        <v>1</v>
      </c>
      <c r="M128" s="77" t="s">
        <v>69</v>
      </c>
      <c r="N128" s="88" t="s">
        <v>149</v>
      </c>
      <c r="O128" s="77" t="s">
        <v>121</v>
      </c>
      <c r="P128" s="77" t="s">
        <v>411</v>
      </c>
      <c r="Q128" s="31"/>
      <c r="R128" s="63"/>
    </row>
    <row r="129" spans="1:18" ht="39.75" hidden="1" customHeight="1" x14ac:dyDescent="0.25">
      <c r="A129" s="78">
        <f>IF(B129="","",COUNTA($B$7:B128))</f>
        <v>122</v>
      </c>
      <c r="B129" s="85">
        <v>46057</v>
      </c>
      <c r="C129" s="77" t="s">
        <v>360</v>
      </c>
      <c r="D129" s="77" t="s">
        <v>412</v>
      </c>
      <c r="E129" s="77" t="s">
        <v>360</v>
      </c>
      <c r="F129" s="77" t="s">
        <v>118</v>
      </c>
      <c r="G129" s="77">
        <v>20957</v>
      </c>
      <c r="H129" s="131" t="s">
        <v>118</v>
      </c>
      <c r="I129" s="86" t="str">
        <f t="shared" si="2"/>
        <v>LENC</v>
      </c>
      <c r="J129" s="86" t="str">
        <f t="shared" si="3"/>
        <v>26</v>
      </c>
      <c r="K129" s="77" t="s">
        <v>69</v>
      </c>
      <c r="L129" s="77">
        <v>1</v>
      </c>
      <c r="M129" s="77" t="s">
        <v>69</v>
      </c>
      <c r="N129" s="88" t="s">
        <v>149</v>
      </c>
      <c r="O129" s="77" t="s">
        <v>121</v>
      </c>
      <c r="P129" s="77"/>
      <c r="Q129" s="31"/>
      <c r="R129" s="63"/>
    </row>
    <row r="130" spans="1:18" ht="39.75" hidden="1" customHeight="1" x14ac:dyDescent="0.25">
      <c r="A130" s="78">
        <f>IF(B130="","",COUNTA($B$7:B129))</f>
        <v>123</v>
      </c>
      <c r="B130" s="85">
        <v>46057</v>
      </c>
      <c r="C130" s="77" t="s">
        <v>360</v>
      </c>
      <c r="D130" s="77" t="s">
        <v>200</v>
      </c>
      <c r="E130" s="77" t="s">
        <v>360</v>
      </c>
      <c r="F130" s="77" t="s">
        <v>118</v>
      </c>
      <c r="G130" s="77" t="s">
        <v>413</v>
      </c>
      <c r="H130" s="131" t="s">
        <v>118</v>
      </c>
      <c r="I130" s="86" t="str">
        <f t="shared" si="2"/>
        <v>LENC</v>
      </c>
      <c r="J130" s="86" t="str">
        <f t="shared" si="3"/>
        <v>26</v>
      </c>
      <c r="K130" s="77" t="s">
        <v>69</v>
      </c>
      <c r="L130" s="77">
        <v>2</v>
      </c>
      <c r="M130" s="77" t="s">
        <v>69</v>
      </c>
      <c r="N130" s="88" t="s">
        <v>149</v>
      </c>
      <c r="O130" s="77" t="s">
        <v>121</v>
      </c>
      <c r="P130" s="77"/>
      <c r="Q130" s="31"/>
      <c r="R130" s="63"/>
    </row>
    <row r="131" spans="1:18" ht="39.75" hidden="1" customHeight="1" x14ac:dyDescent="0.25">
      <c r="A131" s="78">
        <f>IF(B131="","",COUNTA($B$7:B130))</f>
        <v>124</v>
      </c>
      <c r="B131" s="85">
        <v>46057</v>
      </c>
      <c r="C131" s="77" t="s">
        <v>360</v>
      </c>
      <c r="D131" s="77" t="s">
        <v>202</v>
      </c>
      <c r="E131" s="77" t="s">
        <v>360</v>
      </c>
      <c r="F131" s="77" t="s">
        <v>118</v>
      </c>
      <c r="G131" s="77" t="s">
        <v>414</v>
      </c>
      <c r="H131" s="131" t="s">
        <v>118</v>
      </c>
      <c r="I131" s="86" t="str">
        <f t="shared" si="2"/>
        <v>LENC</v>
      </c>
      <c r="J131" s="86" t="str">
        <f t="shared" si="3"/>
        <v>26</v>
      </c>
      <c r="K131" s="77" t="s">
        <v>415</v>
      </c>
      <c r="L131" s="77">
        <v>2</v>
      </c>
      <c r="M131" s="77" t="s">
        <v>416</v>
      </c>
      <c r="N131" s="88" t="s">
        <v>240</v>
      </c>
      <c r="O131" s="77" t="s">
        <v>126</v>
      </c>
      <c r="P131" s="77"/>
      <c r="Q131" s="31"/>
      <c r="R131" s="63"/>
    </row>
    <row r="132" spans="1:18" ht="39.75" hidden="1" customHeight="1" x14ac:dyDescent="0.25">
      <c r="A132" s="78">
        <f>IF(B132="","",COUNTA($B$7:B131))</f>
        <v>125</v>
      </c>
      <c r="B132" s="85">
        <v>46057</v>
      </c>
      <c r="C132" s="77" t="s">
        <v>360</v>
      </c>
      <c r="D132" s="77" t="s">
        <v>188</v>
      </c>
      <c r="E132" s="77" t="s">
        <v>360</v>
      </c>
      <c r="F132" s="77" t="s">
        <v>118</v>
      </c>
      <c r="G132" s="77" t="s">
        <v>417</v>
      </c>
      <c r="H132" s="131" t="s">
        <v>118</v>
      </c>
      <c r="I132" s="86" t="str">
        <f t="shared" si="2"/>
        <v>LENC</v>
      </c>
      <c r="J132" s="86" t="str">
        <f t="shared" si="3"/>
        <v>26</v>
      </c>
      <c r="K132" s="77" t="s">
        <v>69</v>
      </c>
      <c r="L132" s="77">
        <v>2</v>
      </c>
      <c r="M132" s="77" t="s">
        <v>69</v>
      </c>
      <c r="N132" s="88" t="s">
        <v>149</v>
      </c>
      <c r="O132" s="77" t="s">
        <v>121</v>
      </c>
      <c r="P132" s="77"/>
      <c r="Q132" s="31"/>
      <c r="R132" s="63"/>
    </row>
    <row r="133" spans="1:18" ht="39.75" hidden="1" customHeight="1" x14ac:dyDescent="0.25">
      <c r="A133" s="78">
        <f>IF(B133="","",COUNTA($B$7:B132))</f>
        <v>126</v>
      </c>
      <c r="B133" s="85">
        <v>46057</v>
      </c>
      <c r="C133" s="77" t="s">
        <v>360</v>
      </c>
      <c r="D133" s="77" t="s">
        <v>209</v>
      </c>
      <c r="E133" s="77" t="s">
        <v>360</v>
      </c>
      <c r="F133" s="77" t="s">
        <v>118</v>
      </c>
      <c r="G133" s="77" t="s">
        <v>418</v>
      </c>
      <c r="H133" s="131" t="s">
        <v>118</v>
      </c>
      <c r="I133" s="86" t="str">
        <f t="shared" si="2"/>
        <v>LENC</v>
      </c>
      <c r="J133" s="86" t="str">
        <f t="shared" si="3"/>
        <v>26</v>
      </c>
      <c r="K133" s="77" t="s">
        <v>366</v>
      </c>
      <c r="L133" s="77">
        <v>2</v>
      </c>
      <c r="M133" s="77" t="s">
        <v>367</v>
      </c>
      <c r="N133" s="88" t="s">
        <v>419</v>
      </c>
      <c r="O133" s="77" t="s">
        <v>172</v>
      </c>
      <c r="P133" s="77"/>
      <c r="Q133" s="31"/>
      <c r="R133" s="63"/>
    </row>
    <row r="134" spans="1:18" ht="39.75" hidden="1" customHeight="1" x14ac:dyDescent="0.25">
      <c r="A134" s="78">
        <f>IF(B134="","",COUNTA($B$7:B133))</f>
        <v>127</v>
      </c>
      <c r="B134" s="85">
        <v>46057</v>
      </c>
      <c r="C134" s="77" t="s">
        <v>360</v>
      </c>
      <c r="D134" s="77" t="s">
        <v>211</v>
      </c>
      <c r="E134" s="77" t="s">
        <v>360</v>
      </c>
      <c r="F134" s="77" t="s">
        <v>118</v>
      </c>
      <c r="G134" s="77">
        <v>20962</v>
      </c>
      <c r="H134" s="131" t="s">
        <v>118</v>
      </c>
      <c r="I134" s="86" t="str">
        <f t="shared" si="2"/>
        <v>LENC</v>
      </c>
      <c r="J134" s="86" t="str">
        <f t="shared" si="3"/>
        <v>26</v>
      </c>
      <c r="K134" s="77" t="s">
        <v>69</v>
      </c>
      <c r="L134" s="77">
        <v>1</v>
      </c>
      <c r="M134" s="77" t="s">
        <v>69</v>
      </c>
      <c r="N134" s="88">
        <v>8</v>
      </c>
      <c r="O134" s="77" t="s">
        <v>235</v>
      </c>
      <c r="P134" s="77"/>
      <c r="Q134" s="31"/>
      <c r="R134" s="63"/>
    </row>
    <row r="135" spans="1:18" ht="39.75" hidden="1" customHeight="1" x14ac:dyDescent="0.25">
      <c r="A135" s="78">
        <f>IF(B135="","",COUNTA($B$7:B134))</f>
        <v>128</v>
      </c>
      <c r="B135" s="85">
        <v>46057</v>
      </c>
      <c r="C135" s="77" t="s">
        <v>360</v>
      </c>
      <c r="D135" s="77" t="s">
        <v>217</v>
      </c>
      <c r="E135" s="77" t="s">
        <v>360</v>
      </c>
      <c r="F135" s="77" t="s">
        <v>118</v>
      </c>
      <c r="G135" s="77" t="s">
        <v>420</v>
      </c>
      <c r="H135" s="131" t="s">
        <v>118</v>
      </c>
      <c r="I135" s="86" t="str">
        <f t="shared" si="2"/>
        <v>LENC</v>
      </c>
      <c r="J135" s="86" t="str">
        <f t="shared" si="3"/>
        <v>26</v>
      </c>
      <c r="K135" s="77" t="s">
        <v>69</v>
      </c>
      <c r="L135" s="77">
        <v>3</v>
      </c>
      <c r="M135" s="77" t="s">
        <v>69</v>
      </c>
      <c r="N135" s="88" t="s">
        <v>149</v>
      </c>
      <c r="O135" s="77" t="s">
        <v>126</v>
      </c>
      <c r="P135" s="121" t="s">
        <v>421</v>
      </c>
      <c r="Q135" s="31"/>
      <c r="R135" s="63"/>
    </row>
    <row r="136" spans="1:18" ht="39.75" hidden="1" customHeight="1" x14ac:dyDescent="0.25">
      <c r="A136" s="78">
        <f>IF(B136="","",COUNTA($B$7:B135))</f>
        <v>129</v>
      </c>
      <c r="B136" s="85">
        <v>46057</v>
      </c>
      <c r="C136" s="77" t="s">
        <v>360</v>
      </c>
      <c r="D136" s="77" t="s">
        <v>222</v>
      </c>
      <c r="E136" s="77" t="s">
        <v>360</v>
      </c>
      <c r="F136" s="77" t="s">
        <v>118</v>
      </c>
      <c r="G136" s="77">
        <v>20955</v>
      </c>
      <c r="H136" s="131" t="s">
        <v>118</v>
      </c>
      <c r="I136" s="86" t="str">
        <f t="shared" si="2"/>
        <v>LENC</v>
      </c>
      <c r="J136" s="86" t="str">
        <f t="shared" si="3"/>
        <v>26</v>
      </c>
      <c r="K136" s="77" t="s">
        <v>69</v>
      </c>
      <c r="L136" s="77">
        <v>1</v>
      </c>
      <c r="M136" s="77" t="s">
        <v>69</v>
      </c>
      <c r="N136" s="88">
        <v>8</v>
      </c>
      <c r="O136" s="77" t="s">
        <v>235</v>
      </c>
      <c r="P136" s="77"/>
      <c r="Q136" s="31"/>
      <c r="R136" s="63"/>
    </row>
    <row r="137" spans="1:18" ht="39.75" hidden="1" customHeight="1" x14ac:dyDescent="0.25">
      <c r="A137" s="78">
        <f>IF(B137="","",COUNTA($B$7:B136))</f>
        <v>130</v>
      </c>
      <c r="B137" s="85">
        <v>46057</v>
      </c>
      <c r="C137" s="77" t="s">
        <v>360</v>
      </c>
      <c r="D137" s="77" t="s">
        <v>224</v>
      </c>
      <c r="E137" s="77" t="s">
        <v>360</v>
      </c>
      <c r="F137" s="77" t="s">
        <v>118</v>
      </c>
      <c r="G137" s="77">
        <v>18876</v>
      </c>
      <c r="H137" s="131" t="s">
        <v>118</v>
      </c>
      <c r="I137" s="86" t="str">
        <f t="shared" ref="I137:I200" si="4">IF(B137="","","LENC")</f>
        <v>LENC</v>
      </c>
      <c r="J137" s="86" t="str">
        <f t="shared" ref="J137:J200" si="5">IF(B137="","",TEXT(B137,"yy"))</f>
        <v>26</v>
      </c>
      <c r="K137" s="77" t="s">
        <v>69</v>
      </c>
      <c r="L137" s="77">
        <v>1</v>
      </c>
      <c r="M137" s="77" t="s">
        <v>69</v>
      </c>
      <c r="N137" s="88">
        <v>8</v>
      </c>
      <c r="O137" s="77" t="s">
        <v>235</v>
      </c>
      <c r="P137" s="77"/>
      <c r="Q137" s="31"/>
      <c r="R137" s="63"/>
    </row>
    <row r="138" spans="1:18" ht="39.75" hidden="1" customHeight="1" x14ac:dyDescent="0.25">
      <c r="A138" s="78">
        <f>IF(B138="","",COUNTA($B$7:B137))</f>
        <v>131</v>
      </c>
      <c r="B138" s="85">
        <v>46057</v>
      </c>
      <c r="C138" s="77" t="s">
        <v>360</v>
      </c>
      <c r="D138" s="77" t="s">
        <v>229</v>
      </c>
      <c r="E138" s="77" t="s">
        <v>360</v>
      </c>
      <c r="F138" s="77" t="s">
        <v>118</v>
      </c>
      <c r="G138" s="77">
        <v>21663</v>
      </c>
      <c r="H138" s="131" t="s">
        <v>118</v>
      </c>
      <c r="I138" s="86" t="str">
        <f t="shared" si="4"/>
        <v>LENC</v>
      </c>
      <c r="J138" s="86" t="str">
        <f t="shared" si="5"/>
        <v>26</v>
      </c>
      <c r="K138" s="77" t="s">
        <v>422</v>
      </c>
      <c r="L138" s="77">
        <v>1</v>
      </c>
      <c r="M138" s="77" t="s">
        <v>69</v>
      </c>
      <c r="N138" s="88" t="s">
        <v>364</v>
      </c>
      <c r="O138" s="77" t="s">
        <v>126</v>
      </c>
      <c r="P138" s="77"/>
      <c r="Q138" s="31"/>
      <c r="R138" s="63"/>
    </row>
    <row r="139" spans="1:18" ht="39.75" hidden="1" customHeight="1" x14ac:dyDescent="0.25">
      <c r="A139" s="78">
        <f>IF(B139="","",COUNTA($B$7:B138))</f>
        <v>132</v>
      </c>
      <c r="B139" s="85">
        <v>46057</v>
      </c>
      <c r="C139" s="77" t="s">
        <v>122</v>
      </c>
      <c r="D139" s="77" t="s">
        <v>230</v>
      </c>
      <c r="E139" s="77" t="s">
        <v>423</v>
      </c>
      <c r="F139" s="77" t="s">
        <v>118</v>
      </c>
      <c r="G139" s="77" t="s">
        <v>424</v>
      </c>
      <c r="H139" s="131" t="s">
        <v>118</v>
      </c>
      <c r="I139" s="86" t="str">
        <f t="shared" si="4"/>
        <v>LENC</v>
      </c>
      <c r="J139" s="86" t="str">
        <f t="shared" si="5"/>
        <v>26</v>
      </c>
      <c r="K139" s="77" t="s">
        <v>425</v>
      </c>
      <c r="L139" s="77">
        <v>3</v>
      </c>
      <c r="M139" s="77" t="s">
        <v>426</v>
      </c>
      <c r="N139" s="88" t="s">
        <v>132</v>
      </c>
      <c r="O139" s="77" t="s">
        <v>126</v>
      </c>
      <c r="P139" s="77"/>
      <c r="Q139" s="31"/>
      <c r="R139" s="63"/>
    </row>
    <row r="140" spans="1:18" ht="39.75" hidden="1" customHeight="1" x14ac:dyDescent="0.25">
      <c r="A140" s="78">
        <f>IF(B140="","",COUNTA($B$7:B139))</f>
        <v>133</v>
      </c>
      <c r="B140" s="85">
        <v>46059</v>
      </c>
      <c r="C140" s="77" t="s">
        <v>427</v>
      </c>
      <c r="D140" s="77" t="s">
        <v>231</v>
      </c>
      <c r="E140" s="77" t="s">
        <v>427</v>
      </c>
      <c r="F140" s="77" t="s">
        <v>118</v>
      </c>
      <c r="G140" s="77" t="s">
        <v>69</v>
      </c>
      <c r="H140" s="131" t="s">
        <v>118</v>
      </c>
      <c r="I140" s="86" t="str">
        <f t="shared" si="4"/>
        <v>LENC</v>
      </c>
      <c r="J140" s="86" t="str">
        <f t="shared" si="5"/>
        <v>26</v>
      </c>
      <c r="K140" s="77" t="s">
        <v>69</v>
      </c>
      <c r="L140" s="77">
        <v>6</v>
      </c>
      <c r="M140" s="77" t="s">
        <v>69</v>
      </c>
      <c r="N140" s="88" t="s">
        <v>428</v>
      </c>
      <c r="O140" s="77" t="s">
        <v>121</v>
      </c>
      <c r="P140" s="77"/>
      <c r="Q140" s="31"/>
      <c r="R140" s="63"/>
    </row>
    <row r="141" spans="1:18" ht="39.75" hidden="1" customHeight="1" x14ac:dyDescent="0.25">
      <c r="A141" s="78">
        <f>IF(B141="","",COUNTA($B$7:B140))</f>
        <v>134</v>
      </c>
      <c r="B141" s="85">
        <v>46062</v>
      </c>
      <c r="C141" s="77" t="s">
        <v>429</v>
      </c>
      <c r="D141" s="77" t="s">
        <v>232</v>
      </c>
      <c r="E141" s="77" t="s">
        <v>429</v>
      </c>
      <c r="F141" s="77" t="s">
        <v>118</v>
      </c>
      <c r="G141" s="77" t="s">
        <v>69</v>
      </c>
      <c r="H141" s="131" t="s">
        <v>118</v>
      </c>
      <c r="I141" s="86" t="str">
        <f t="shared" si="4"/>
        <v>LENC</v>
      </c>
      <c r="J141" s="86" t="str">
        <f t="shared" si="5"/>
        <v>26</v>
      </c>
      <c r="K141" s="77" t="s">
        <v>430</v>
      </c>
      <c r="L141" s="77">
        <v>2</v>
      </c>
      <c r="M141" s="77" t="s">
        <v>431</v>
      </c>
      <c r="N141" s="88" t="s">
        <v>432</v>
      </c>
      <c r="O141" s="77" t="s">
        <v>172</v>
      </c>
      <c r="P141" s="77"/>
      <c r="Q141" s="31"/>
      <c r="R141" s="63"/>
    </row>
    <row r="142" spans="1:18" ht="39.75" hidden="1" customHeight="1" x14ac:dyDescent="0.25">
      <c r="A142" s="78">
        <f>IF(B142="","",COUNTA($B$7:B141))</f>
        <v>135</v>
      </c>
      <c r="B142" s="85">
        <v>46062</v>
      </c>
      <c r="C142" s="77" t="s">
        <v>115</v>
      </c>
      <c r="D142" s="77" t="s">
        <v>233</v>
      </c>
      <c r="E142" s="77" t="s">
        <v>69</v>
      </c>
      <c r="F142" s="77" t="s">
        <v>118</v>
      </c>
      <c r="G142" s="77" t="s">
        <v>433</v>
      </c>
      <c r="H142" s="131" t="s">
        <v>118</v>
      </c>
      <c r="I142" s="86" t="str">
        <f t="shared" si="4"/>
        <v>LENC</v>
      </c>
      <c r="J142" s="86" t="str">
        <f t="shared" si="5"/>
        <v>26</v>
      </c>
      <c r="K142" s="77" t="s">
        <v>69</v>
      </c>
      <c r="L142" s="77">
        <v>1</v>
      </c>
      <c r="M142" s="77" t="s">
        <v>69</v>
      </c>
      <c r="N142" s="88" t="s">
        <v>308</v>
      </c>
      <c r="O142" s="77" t="s">
        <v>121</v>
      </c>
      <c r="P142" s="77"/>
      <c r="Q142" s="31"/>
      <c r="R142" s="63"/>
    </row>
    <row r="143" spans="1:18" ht="39.75" hidden="1" customHeight="1" x14ac:dyDescent="0.25">
      <c r="A143" s="78">
        <f>IF(B143="","",COUNTA($B$7:B142))</f>
        <v>136</v>
      </c>
      <c r="B143" s="85">
        <v>46062</v>
      </c>
      <c r="C143" s="77" t="s">
        <v>115</v>
      </c>
      <c r="D143" s="77" t="s">
        <v>234</v>
      </c>
      <c r="E143" s="77" t="s">
        <v>434</v>
      </c>
      <c r="F143" s="77" t="s">
        <v>118</v>
      </c>
      <c r="G143" s="77" t="s">
        <v>435</v>
      </c>
      <c r="H143" s="131" t="s">
        <v>118</v>
      </c>
      <c r="I143" s="86" t="str">
        <f t="shared" si="4"/>
        <v>LENC</v>
      </c>
      <c r="J143" s="86" t="str">
        <f t="shared" si="5"/>
        <v>26</v>
      </c>
      <c r="K143" s="77" t="s">
        <v>69</v>
      </c>
      <c r="L143" s="77">
        <v>1</v>
      </c>
      <c r="M143" s="77" t="s">
        <v>69</v>
      </c>
      <c r="N143" s="88">
        <v>41</v>
      </c>
      <c r="O143" s="77" t="s">
        <v>159</v>
      </c>
      <c r="P143" s="77" t="s">
        <v>221</v>
      </c>
      <c r="Q143" s="31"/>
      <c r="R143" s="63"/>
    </row>
    <row r="144" spans="1:18" ht="39.75" hidden="1" customHeight="1" x14ac:dyDescent="0.25">
      <c r="A144" s="78">
        <f>IF(B144="","",COUNTA($B$7:B143))</f>
        <v>137</v>
      </c>
      <c r="B144" s="85">
        <v>46062</v>
      </c>
      <c r="C144" s="77" t="s">
        <v>115</v>
      </c>
      <c r="D144" s="77" t="s">
        <v>436</v>
      </c>
      <c r="E144" s="77" t="s">
        <v>434</v>
      </c>
      <c r="F144" s="77" t="s">
        <v>118</v>
      </c>
      <c r="G144" s="77" t="s">
        <v>437</v>
      </c>
      <c r="H144" s="131" t="s">
        <v>118</v>
      </c>
      <c r="I144" s="86" t="str">
        <f t="shared" si="4"/>
        <v>LENC</v>
      </c>
      <c r="J144" s="86" t="str">
        <f t="shared" si="5"/>
        <v>26</v>
      </c>
      <c r="K144" s="77" t="s">
        <v>69</v>
      </c>
      <c r="L144" s="77">
        <v>1</v>
      </c>
      <c r="M144" s="77" t="s">
        <v>69</v>
      </c>
      <c r="N144" s="88">
        <v>20</v>
      </c>
      <c r="O144" s="77" t="s">
        <v>159</v>
      </c>
      <c r="P144" s="77"/>
      <c r="Q144" s="31"/>
      <c r="R144" s="63"/>
    </row>
    <row r="145" spans="1:18" ht="39.75" hidden="1" customHeight="1" x14ac:dyDescent="0.25">
      <c r="A145" s="78">
        <f>IF(B145="","",COUNTA($B$7:B144))</f>
        <v>138</v>
      </c>
      <c r="B145" s="85">
        <v>46028</v>
      </c>
      <c r="C145" s="77" t="s">
        <v>150</v>
      </c>
      <c r="D145" s="77" t="s">
        <v>237</v>
      </c>
      <c r="E145" s="77" t="s">
        <v>152</v>
      </c>
      <c r="F145" s="77" t="s">
        <v>118</v>
      </c>
      <c r="G145" s="77">
        <v>20776</v>
      </c>
      <c r="H145" s="131" t="s">
        <v>118</v>
      </c>
      <c r="I145" s="86" t="str">
        <f t="shared" si="4"/>
        <v>LENC</v>
      </c>
      <c r="J145" s="86" t="str">
        <f t="shared" si="5"/>
        <v>26</v>
      </c>
      <c r="K145" s="77" t="s">
        <v>438</v>
      </c>
      <c r="L145" s="77">
        <v>1</v>
      </c>
      <c r="M145" s="77" t="s">
        <v>69</v>
      </c>
      <c r="N145" s="88">
        <v>4</v>
      </c>
      <c r="O145" s="77" t="s">
        <v>159</v>
      </c>
      <c r="P145" s="77" t="s">
        <v>439</v>
      </c>
      <c r="Q145" s="31"/>
      <c r="R145" s="63"/>
    </row>
    <row r="146" spans="1:18" ht="39.75" hidden="1" customHeight="1" x14ac:dyDescent="0.25">
      <c r="A146" s="78">
        <f>IF(B146="","",COUNTA($B$7:B145))</f>
        <v>139</v>
      </c>
      <c r="B146" s="85">
        <v>46063</v>
      </c>
      <c r="C146" s="77" t="s">
        <v>440</v>
      </c>
      <c r="D146" s="77" t="s">
        <v>241</v>
      </c>
      <c r="E146" s="77" t="s">
        <v>441</v>
      </c>
      <c r="F146" s="77" t="s">
        <v>118</v>
      </c>
      <c r="G146" s="77">
        <v>18901</v>
      </c>
      <c r="H146" s="131" t="s">
        <v>118</v>
      </c>
      <c r="I146" s="86" t="str">
        <f t="shared" si="4"/>
        <v>LENC</v>
      </c>
      <c r="J146" s="86" t="str">
        <f t="shared" si="5"/>
        <v>26</v>
      </c>
      <c r="K146" s="77" t="s">
        <v>442</v>
      </c>
      <c r="L146" s="77">
        <v>1</v>
      </c>
      <c r="M146" s="77" t="s">
        <v>69</v>
      </c>
      <c r="N146" s="88">
        <v>77</v>
      </c>
      <c r="O146" s="77" t="s">
        <v>159</v>
      </c>
      <c r="P146" s="77"/>
      <c r="Q146" s="31"/>
      <c r="R146" s="63"/>
    </row>
    <row r="147" spans="1:18" ht="39.75" hidden="1" customHeight="1" x14ac:dyDescent="0.25">
      <c r="A147" s="78">
        <f>IF(B147="","",COUNTA($B$7:B146))</f>
        <v>140</v>
      </c>
      <c r="B147" s="85">
        <v>46062</v>
      </c>
      <c r="C147" s="77" t="s">
        <v>443</v>
      </c>
      <c r="D147" s="77" t="s">
        <v>244</v>
      </c>
      <c r="E147" s="77" t="s">
        <v>360</v>
      </c>
      <c r="F147" s="77" t="s">
        <v>118</v>
      </c>
      <c r="G147" s="77" t="s">
        <v>444</v>
      </c>
      <c r="H147" s="131" t="s">
        <v>118</v>
      </c>
      <c r="I147" s="86" t="str">
        <f t="shared" si="4"/>
        <v>LENC</v>
      </c>
      <c r="J147" s="86" t="str">
        <f t="shared" si="5"/>
        <v>26</v>
      </c>
      <c r="K147" s="77" t="s">
        <v>69</v>
      </c>
      <c r="L147" s="77">
        <v>2</v>
      </c>
      <c r="M147" s="77" t="s">
        <v>69</v>
      </c>
      <c r="N147" s="88" t="s">
        <v>428</v>
      </c>
      <c r="O147" s="77" t="s">
        <v>121</v>
      </c>
      <c r="P147" s="77"/>
      <c r="Q147" s="31"/>
      <c r="R147" s="63"/>
    </row>
    <row r="148" spans="1:18" ht="39.75" hidden="1" customHeight="1" x14ac:dyDescent="0.25">
      <c r="A148" s="78">
        <f>IF(B148="","",COUNTA($B$7:B147))</f>
        <v>141</v>
      </c>
      <c r="B148" s="85">
        <v>46063</v>
      </c>
      <c r="C148" s="77" t="s">
        <v>445</v>
      </c>
      <c r="D148" s="77" t="s">
        <v>247</v>
      </c>
      <c r="E148" s="77" t="s">
        <v>446</v>
      </c>
      <c r="F148" s="77" t="s">
        <v>118</v>
      </c>
      <c r="G148" s="77" t="s">
        <v>69</v>
      </c>
      <c r="H148" s="131" t="s">
        <v>118</v>
      </c>
      <c r="I148" s="86" t="str">
        <f t="shared" si="4"/>
        <v>LENC</v>
      </c>
      <c r="J148" s="86" t="str">
        <f t="shared" si="5"/>
        <v>26</v>
      </c>
      <c r="K148" s="77" t="s">
        <v>69</v>
      </c>
      <c r="L148" s="77">
        <v>1</v>
      </c>
      <c r="M148" s="77" t="s">
        <v>69</v>
      </c>
      <c r="N148" s="88" t="s">
        <v>203</v>
      </c>
      <c r="O148" s="77" t="s">
        <v>121</v>
      </c>
      <c r="P148" s="77"/>
      <c r="Q148" s="31"/>
      <c r="R148" s="63"/>
    </row>
    <row r="149" spans="1:18" ht="39.75" hidden="1" customHeight="1" x14ac:dyDescent="0.25">
      <c r="A149" s="78">
        <f>IF(B149="","",COUNTA($B$7:B148))</f>
        <v>142</v>
      </c>
      <c r="B149" s="85">
        <v>46062</v>
      </c>
      <c r="C149" s="77" t="s">
        <v>443</v>
      </c>
      <c r="D149" s="77" t="s">
        <v>247</v>
      </c>
      <c r="E149" s="77" t="s">
        <v>360</v>
      </c>
      <c r="F149" s="77" t="s">
        <v>118</v>
      </c>
      <c r="G149" s="77">
        <v>20963</v>
      </c>
      <c r="H149" s="131" t="s">
        <v>118</v>
      </c>
      <c r="I149" s="86" t="str">
        <f t="shared" si="4"/>
        <v>LENC</v>
      </c>
      <c r="J149" s="86" t="str">
        <f t="shared" si="5"/>
        <v>26</v>
      </c>
      <c r="K149" s="77" t="s">
        <v>69</v>
      </c>
      <c r="L149" s="77">
        <v>1</v>
      </c>
      <c r="M149" s="77" t="s">
        <v>69</v>
      </c>
      <c r="N149" s="88" t="s">
        <v>428</v>
      </c>
      <c r="O149" s="77" t="s">
        <v>121</v>
      </c>
      <c r="P149" s="77"/>
      <c r="Q149" s="31"/>
      <c r="R149" s="63"/>
    </row>
    <row r="150" spans="1:18" ht="39.75" hidden="1" customHeight="1" x14ac:dyDescent="0.25">
      <c r="A150" s="78">
        <f>IF(B150="","",COUNTA($B$7:B149))</f>
        <v>143</v>
      </c>
      <c r="B150" s="85">
        <v>46024</v>
      </c>
      <c r="C150" s="77" t="s">
        <v>326</v>
      </c>
      <c r="D150" s="77" t="s">
        <v>248</v>
      </c>
      <c r="E150" s="129" t="s">
        <v>328</v>
      </c>
      <c r="F150" s="77" t="s">
        <v>118</v>
      </c>
      <c r="G150" s="77">
        <v>18886</v>
      </c>
      <c r="H150" s="131" t="s">
        <v>118</v>
      </c>
      <c r="I150" s="86" t="str">
        <f t="shared" si="4"/>
        <v>LENC</v>
      </c>
      <c r="J150" s="86" t="str">
        <f t="shared" si="5"/>
        <v>26</v>
      </c>
      <c r="K150" s="77" t="s">
        <v>447</v>
      </c>
      <c r="L150" s="77">
        <v>1</v>
      </c>
      <c r="M150" s="77" t="s">
        <v>69</v>
      </c>
      <c r="N150" s="88">
        <v>65</v>
      </c>
      <c r="O150" s="77" t="s">
        <v>159</v>
      </c>
      <c r="P150" s="77"/>
      <c r="Q150" s="31"/>
      <c r="R150" s="63"/>
    </row>
    <row r="151" spans="1:18" ht="39.75" hidden="1" customHeight="1" x14ac:dyDescent="0.25">
      <c r="A151" s="78">
        <f>IF(B151="","",COUNTA($B$7:B150))</f>
        <v>144</v>
      </c>
      <c r="B151" s="85">
        <v>46065</v>
      </c>
      <c r="C151" s="77" t="s">
        <v>448</v>
      </c>
      <c r="D151" s="77" t="s">
        <v>249</v>
      </c>
      <c r="E151" s="77" t="s">
        <v>448</v>
      </c>
      <c r="F151" s="77" t="s">
        <v>118</v>
      </c>
      <c r="G151" s="77" t="s">
        <v>69</v>
      </c>
      <c r="H151" s="131" t="s">
        <v>118</v>
      </c>
      <c r="I151" s="86" t="str">
        <f t="shared" si="4"/>
        <v>LENC</v>
      </c>
      <c r="J151" s="86" t="str">
        <f t="shared" si="5"/>
        <v>26</v>
      </c>
      <c r="K151" s="77" t="s">
        <v>449</v>
      </c>
      <c r="L151" s="77">
        <v>3</v>
      </c>
      <c r="M151" s="77" t="s">
        <v>450</v>
      </c>
      <c r="N151" s="88" t="s">
        <v>203</v>
      </c>
      <c r="O151" s="77" t="s">
        <v>121</v>
      </c>
      <c r="P151" s="77" t="s">
        <v>451</v>
      </c>
      <c r="Q151" s="31"/>
      <c r="R151" s="63"/>
    </row>
    <row r="152" spans="1:18" ht="39.75" hidden="1" customHeight="1" x14ac:dyDescent="0.25">
      <c r="A152" s="78">
        <f>IF(B152="","",COUNTA($B$7:B151))</f>
        <v>145</v>
      </c>
      <c r="B152" s="85">
        <v>45981</v>
      </c>
      <c r="C152" s="77" t="s">
        <v>452</v>
      </c>
      <c r="D152" s="77" t="s">
        <v>250</v>
      </c>
      <c r="E152" s="77" t="s">
        <v>453</v>
      </c>
      <c r="F152" s="77" t="s">
        <v>118</v>
      </c>
      <c r="G152" s="77">
        <v>12678</v>
      </c>
      <c r="H152" s="131" t="s">
        <v>118</v>
      </c>
      <c r="I152" s="86" t="str">
        <f t="shared" si="4"/>
        <v>LENC</v>
      </c>
      <c r="J152" s="86" t="str">
        <f t="shared" si="5"/>
        <v>25</v>
      </c>
      <c r="K152" s="77" t="s">
        <v>454</v>
      </c>
      <c r="L152" s="77">
        <v>1</v>
      </c>
      <c r="M152" s="77" t="s">
        <v>455</v>
      </c>
      <c r="N152" s="88">
        <v>42</v>
      </c>
      <c r="O152" s="77" t="s">
        <v>159</v>
      </c>
      <c r="P152" s="77" t="s">
        <v>456</v>
      </c>
      <c r="Q152" s="31"/>
      <c r="R152" s="63"/>
    </row>
    <row r="153" spans="1:18" ht="39.75" hidden="1" customHeight="1" x14ac:dyDescent="0.25">
      <c r="A153" s="78">
        <f>IF(B153="","",COUNTA($B$7:B152))</f>
        <v>146</v>
      </c>
      <c r="B153" s="85">
        <v>45981</v>
      </c>
      <c r="C153" s="77" t="s">
        <v>452</v>
      </c>
      <c r="D153" s="77" t="s">
        <v>252</v>
      </c>
      <c r="E153" s="77" t="s">
        <v>453</v>
      </c>
      <c r="F153" s="77" t="s">
        <v>118</v>
      </c>
      <c r="G153" s="77">
        <v>12679</v>
      </c>
      <c r="H153" s="131" t="s">
        <v>118</v>
      </c>
      <c r="I153" s="86" t="str">
        <f t="shared" si="4"/>
        <v>LENC</v>
      </c>
      <c r="J153" s="86" t="str">
        <f t="shared" si="5"/>
        <v>25</v>
      </c>
      <c r="K153" s="77" t="s">
        <v>454</v>
      </c>
      <c r="L153" s="77">
        <v>1</v>
      </c>
      <c r="M153" s="77" t="s">
        <v>455</v>
      </c>
      <c r="N153" s="88">
        <v>42</v>
      </c>
      <c r="O153" s="77" t="s">
        <v>159</v>
      </c>
      <c r="P153" s="77" t="s">
        <v>456</v>
      </c>
      <c r="Q153" s="31"/>
      <c r="R153" s="63"/>
    </row>
    <row r="154" spans="1:18" ht="39.75" hidden="1" customHeight="1" x14ac:dyDescent="0.25">
      <c r="A154" s="78">
        <f>IF(B154="","",COUNTA($B$7:B153))</f>
        <v>147</v>
      </c>
      <c r="B154" s="85">
        <v>46052</v>
      </c>
      <c r="C154" s="77" t="s">
        <v>150</v>
      </c>
      <c r="D154" s="77" t="s">
        <v>253</v>
      </c>
      <c r="E154" s="77" t="s">
        <v>69</v>
      </c>
      <c r="F154" s="77" t="s">
        <v>118</v>
      </c>
      <c r="G154" s="77" t="s">
        <v>457</v>
      </c>
      <c r="H154" s="131" t="s">
        <v>118</v>
      </c>
      <c r="I154" s="86" t="str">
        <f t="shared" si="4"/>
        <v>LENC</v>
      </c>
      <c r="J154" s="86" t="str">
        <f t="shared" si="5"/>
        <v>26</v>
      </c>
      <c r="K154" s="77" t="s">
        <v>458</v>
      </c>
      <c r="L154" s="77">
        <v>1</v>
      </c>
      <c r="M154" s="77"/>
      <c r="N154" s="88">
        <v>5</v>
      </c>
      <c r="O154" s="77" t="s">
        <v>159</v>
      </c>
      <c r="P154" s="77"/>
      <c r="Q154" s="31"/>
      <c r="R154" s="63"/>
    </row>
    <row r="155" spans="1:18" ht="39.75" hidden="1" customHeight="1" x14ac:dyDescent="0.25">
      <c r="A155" s="78">
        <f>IF(B155="","",COUNTA($B$7:B154))</f>
        <v>148</v>
      </c>
      <c r="B155" s="85">
        <v>46066</v>
      </c>
      <c r="C155" s="77" t="s">
        <v>459</v>
      </c>
      <c r="D155" s="77" t="s">
        <v>188</v>
      </c>
      <c r="E155" s="77" t="s">
        <v>460</v>
      </c>
      <c r="F155" s="77" t="s">
        <v>118</v>
      </c>
      <c r="G155" s="77">
        <v>21334</v>
      </c>
      <c r="H155" s="131" t="s">
        <v>118</v>
      </c>
      <c r="I155" s="86" t="str">
        <f t="shared" si="4"/>
        <v>LENC</v>
      </c>
      <c r="J155" s="86" t="str">
        <f t="shared" si="5"/>
        <v>26</v>
      </c>
      <c r="K155" s="77" t="s">
        <v>461</v>
      </c>
      <c r="L155" s="77">
        <v>1</v>
      </c>
      <c r="M155" s="77" t="s">
        <v>462</v>
      </c>
      <c r="N155" s="88">
        <v>8</v>
      </c>
      <c r="O155" s="77" t="s">
        <v>235</v>
      </c>
      <c r="P155" s="77"/>
      <c r="Q155" s="31"/>
      <c r="R155" s="63"/>
    </row>
    <row r="156" spans="1:18" ht="39.75" hidden="1" customHeight="1" x14ac:dyDescent="0.25">
      <c r="A156" s="78">
        <f>IF(B156="","",COUNTA($B$7:B155))</f>
        <v>149</v>
      </c>
      <c r="B156" s="85">
        <v>46070</v>
      </c>
      <c r="C156" s="77" t="s">
        <v>152</v>
      </c>
      <c r="D156" s="77" t="s">
        <v>256</v>
      </c>
      <c r="E156" s="77" t="s">
        <v>152</v>
      </c>
      <c r="F156" s="77" t="s">
        <v>118</v>
      </c>
      <c r="G156" s="77" t="s">
        <v>463</v>
      </c>
      <c r="H156" s="131" t="s">
        <v>118</v>
      </c>
      <c r="I156" s="86" t="str">
        <f t="shared" si="4"/>
        <v>LENC</v>
      </c>
      <c r="J156" s="86" t="str">
        <f t="shared" si="5"/>
        <v>26</v>
      </c>
      <c r="K156" s="77" t="s">
        <v>464</v>
      </c>
      <c r="L156" s="77">
        <v>2</v>
      </c>
      <c r="M156" s="77" t="s">
        <v>69</v>
      </c>
      <c r="N156" s="88" t="s">
        <v>465</v>
      </c>
      <c r="O156" s="77" t="s">
        <v>126</v>
      </c>
      <c r="P156" s="77" t="s">
        <v>466</v>
      </c>
      <c r="Q156" s="31"/>
      <c r="R156" s="63"/>
    </row>
    <row r="157" spans="1:18" ht="39.75" hidden="1" customHeight="1" x14ac:dyDescent="0.25">
      <c r="A157" s="78">
        <f>IF(B157="","",COUNTA($B$7:B156))</f>
        <v>150</v>
      </c>
      <c r="B157" s="85">
        <v>46071</v>
      </c>
      <c r="C157" s="77" t="s">
        <v>150</v>
      </c>
      <c r="D157" s="77" t="s">
        <v>257</v>
      </c>
      <c r="E157" s="77" t="s">
        <v>467</v>
      </c>
      <c r="F157" s="77" t="s">
        <v>118</v>
      </c>
      <c r="G157" s="77">
        <v>21629</v>
      </c>
      <c r="H157" s="131" t="s">
        <v>118</v>
      </c>
      <c r="I157" s="86" t="str">
        <f t="shared" si="4"/>
        <v>LENC</v>
      </c>
      <c r="J157" s="86" t="str">
        <f t="shared" si="5"/>
        <v>26</v>
      </c>
      <c r="K157" s="77" t="s">
        <v>468</v>
      </c>
      <c r="L157" s="77">
        <v>1</v>
      </c>
      <c r="M157" s="77" t="s">
        <v>469</v>
      </c>
      <c r="N157" s="88"/>
      <c r="O157" s="77" t="s">
        <v>121</v>
      </c>
      <c r="P157" s="77"/>
      <c r="Q157" s="31"/>
      <c r="R157" s="63"/>
    </row>
    <row r="158" spans="1:18" ht="39.75" hidden="1" customHeight="1" x14ac:dyDescent="0.25">
      <c r="A158" s="78">
        <f>IF(B158="","",COUNTA($B$7:B157))</f>
        <v>151</v>
      </c>
      <c r="B158" s="85">
        <v>46057</v>
      </c>
      <c r="C158" s="77" t="s">
        <v>443</v>
      </c>
      <c r="D158" s="77" t="s">
        <v>258</v>
      </c>
      <c r="E158" s="77" t="s">
        <v>360</v>
      </c>
      <c r="F158" s="77" t="s">
        <v>118</v>
      </c>
      <c r="G158" s="77">
        <v>18874</v>
      </c>
      <c r="H158" s="131" t="s">
        <v>118</v>
      </c>
      <c r="I158" s="86" t="str">
        <f t="shared" si="4"/>
        <v>LENC</v>
      </c>
      <c r="J158" s="86" t="str">
        <f t="shared" si="5"/>
        <v>26</v>
      </c>
      <c r="K158" s="77" t="s">
        <v>69</v>
      </c>
      <c r="L158" s="77">
        <v>1</v>
      </c>
      <c r="M158" s="77" t="s">
        <v>69</v>
      </c>
      <c r="N158" s="88">
        <v>8</v>
      </c>
      <c r="O158" s="77" t="s">
        <v>235</v>
      </c>
      <c r="P158" s="77"/>
      <c r="Q158" s="31"/>
      <c r="R158" s="63"/>
    </row>
    <row r="159" spans="1:18" ht="39.75" hidden="1" customHeight="1" x14ac:dyDescent="0.25">
      <c r="A159" s="78">
        <f>IF(B159="","",COUNTA($B$7:B158))</f>
        <v>152</v>
      </c>
      <c r="B159" s="85">
        <v>46071</v>
      </c>
      <c r="C159" s="77" t="s">
        <v>138</v>
      </c>
      <c r="D159" s="77" t="s">
        <v>261</v>
      </c>
      <c r="E159" s="77" t="s">
        <v>470</v>
      </c>
      <c r="F159" s="77" t="s">
        <v>118</v>
      </c>
      <c r="G159" s="77" t="s">
        <v>471</v>
      </c>
      <c r="H159" s="131" t="s">
        <v>118</v>
      </c>
      <c r="I159" s="86" t="str">
        <f t="shared" si="4"/>
        <v>LENC</v>
      </c>
      <c r="J159" s="86" t="str">
        <f t="shared" si="5"/>
        <v>26</v>
      </c>
      <c r="K159" s="77" t="s">
        <v>472</v>
      </c>
      <c r="L159" s="77">
        <v>1</v>
      </c>
      <c r="M159" s="77" t="s">
        <v>473</v>
      </c>
      <c r="N159" s="88" t="s">
        <v>400</v>
      </c>
      <c r="O159" s="77" t="s">
        <v>126</v>
      </c>
      <c r="P159" s="77"/>
      <c r="Q159" s="31"/>
      <c r="R159" s="63"/>
    </row>
    <row r="160" spans="1:18" ht="39.75" hidden="1" customHeight="1" x14ac:dyDescent="0.25">
      <c r="A160" s="78">
        <f>IF(B160="","",COUNTA($B$7:B159))</f>
        <v>153</v>
      </c>
      <c r="B160" s="85">
        <v>46071</v>
      </c>
      <c r="C160" s="77" t="s">
        <v>305</v>
      </c>
      <c r="D160" s="77" t="s">
        <v>266</v>
      </c>
      <c r="E160" s="77" t="s">
        <v>474</v>
      </c>
      <c r="F160" s="77" t="s">
        <v>118</v>
      </c>
      <c r="G160" s="77" t="s">
        <v>475</v>
      </c>
      <c r="H160" s="131" t="s">
        <v>118</v>
      </c>
      <c r="I160" s="86" t="str">
        <f t="shared" si="4"/>
        <v>LENC</v>
      </c>
      <c r="J160" s="86" t="str">
        <f t="shared" si="5"/>
        <v>26</v>
      </c>
      <c r="K160" s="77" t="s">
        <v>476</v>
      </c>
      <c r="L160" s="77">
        <v>1</v>
      </c>
      <c r="M160" s="77" t="s">
        <v>477</v>
      </c>
      <c r="N160" s="88">
        <v>82</v>
      </c>
      <c r="O160" s="77" t="s">
        <v>159</v>
      </c>
      <c r="P160" s="77" t="s">
        <v>478</v>
      </c>
      <c r="Q160" s="31"/>
      <c r="R160" s="63"/>
    </row>
    <row r="161" spans="1:18" ht="39.75" hidden="1" customHeight="1" x14ac:dyDescent="0.25">
      <c r="A161" s="78">
        <f>IF(B161="","",COUNTA($B$7:B160))</f>
        <v>154</v>
      </c>
      <c r="B161" s="85">
        <v>46071</v>
      </c>
      <c r="C161" s="77" t="s">
        <v>305</v>
      </c>
      <c r="D161" s="77" t="s">
        <v>271</v>
      </c>
      <c r="E161" s="77" t="s">
        <v>479</v>
      </c>
      <c r="F161" s="77" t="s">
        <v>118</v>
      </c>
      <c r="G161" s="77" t="s">
        <v>480</v>
      </c>
      <c r="H161" s="131" t="s">
        <v>118</v>
      </c>
      <c r="I161" s="86" t="str">
        <f t="shared" si="4"/>
        <v>LENC</v>
      </c>
      <c r="J161" s="86" t="str">
        <f t="shared" si="5"/>
        <v>26</v>
      </c>
      <c r="K161" s="77" t="s">
        <v>481</v>
      </c>
      <c r="L161" s="77">
        <v>5</v>
      </c>
      <c r="M161" s="77" t="s">
        <v>69</v>
      </c>
      <c r="N161" s="88" t="s">
        <v>143</v>
      </c>
      <c r="O161" s="77" t="s">
        <v>126</v>
      </c>
      <c r="P161" s="77" t="s">
        <v>144</v>
      </c>
      <c r="Q161" s="31"/>
      <c r="R161" s="63"/>
    </row>
    <row r="162" spans="1:18" ht="39.75" hidden="1" customHeight="1" x14ac:dyDescent="0.25">
      <c r="A162" s="78">
        <f>IF(B162="","",COUNTA($B$7:B161))</f>
        <v>155</v>
      </c>
      <c r="B162" s="85">
        <v>46071</v>
      </c>
      <c r="C162" s="77" t="s">
        <v>208</v>
      </c>
      <c r="D162" s="77" t="s">
        <v>273</v>
      </c>
      <c r="E162" s="77" t="s">
        <v>482</v>
      </c>
      <c r="F162" s="77" t="s">
        <v>118</v>
      </c>
      <c r="G162" s="110" t="s">
        <v>483</v>
      </c>
      <c r="H162" s="131" t="s">
        <v>118</v>
      </c>
      <c r="I162" s="86" t="str">
        <f t="shared" si="4"/>
        <v>LENC</v>
      </c>
      <c r="J162" s="86" t="str">
        <f t="shared" si="5"/>
        <v>26</v>
      </c>
      <c r="K162" s="77" t="s">
        <v>484</v>
      </c>
      <c r="L162" s="77">
        <v>1</v>
      </c>
      <c r="M162" s="77" t="s">
        <v>485</v>
      </c>
      <c r="N162" s="88">
        <v>31</v>
      </c>
      <c r="O162" s="77" t="s">
        <v>159</v>
      </c>
      <c r="P162" s="77"/>
      <c r="Q162" s="31"/>
      <c r="R162" s="63"/>
    </row>
    <row r="163" spans="1:18" ht="39.75" hidden="1" customHeight="1" x14ac:dyDescent="0.25">
      <c r="A163" s="78">
        <f>IF(B163="","",COUNTA($B$7:B162))</f>
        <v>156</v>
      </c>
      <c r="B163" s="85">
        <v>46071</v>
      </c>
      <c r="C163" s="77" t="s">
        <v>138</v>
      </c>
      <c r="D163" s="77" t="s">
        <v>275</v>
      </c>
      <c r="E163" s="77" t="s">
        <v>470</v>
      </c>
      <c r="F163" s="77" t="s">
        <v>118</v>
      </c>
      <c r="G163" s="77" t="s">
        <v>486</v>
      </c>
      <c r="H163" s="131" t="s">
        <v>118</v>
      </c>
      <c r="I163" s="86" t="str">
        <f t="shared" si="4"/>
        <v>LENC</v>
      </c>
      <c r="J163" s="86" t="str">
        <f t="shared" si="5"/>
        <v>26</v>
      </c>
      <c r="K163" s="77" t="s">
        <v>472</v>
      </c>
      <c r="L163" s="77">
        <v>1</v>
      </c>
      <c r="M163" s="77" t="s">
        <v>473</v>
      </c>
      <c r="N163" s="88" t="s">
        <v>400</v>
      </c>
      <c r="O163" s="77" t="s">
        <v>126</v>
      </c>
      <c r="P163" s="77"/>
      <c r="Q163" s="31"/>
      <c r="R163" s="63"/>
    </row>
    <row r="164" spans="1:18" ht="39.75" hidden="1" customHeight="1" x14ac:dyDescent="0.25">
      <c r="A164" s="78">
        <f>IF(B164="","",COUNTA($B$7:B163))</f>
        <v>157</v>
      </c>
      <c r="B164" s="85">
        <v>46072</v>
      </c>
      <c r="C164" s="77" t="s">
        <v>487</v>
      </c>
      <c r="D164" s="77" t="s">
        <v>275</v>
      </c>
      <c r="E164" s="77" t="s">
        <v>488</v>
      </c>
      <c r="F164" s="77" t="s">
        <v>118</v>
      </c>
      <c r="G164" s="77">
        <v>20785</v>
      </c>
      <c r="H164" s="131" t="s">
        <v>118</v>
      </c>
      <c r="I164" s="86" t="str">
        <f t="shared" si="4"/>
        <v>LENC</v>
      </c>
      <c r="J164" s="86" t="str">
        <f t="shared" si="5"/>
        <v>26</v>
      </c>
      <c r="K164" s="77" t="s">
        <v>69</v>
      </c>
      <c r="L164" s="77">
        <v>1</v>
      </c>
      <c r="M164" s="77" t="s">
        <v>69</v>
      </c>
      <c r="N164" s="88">
        <v>26</v>
      </c>
      <c r="O164" s="77" t="s">
        <v>235</v>
      </c>
      <c r="P164" s="77" t="s">
        <v>489</v>
      </c>
      <c r="Q164" s="31"/>
      <c r="R164" s="63"/>
    </row>
    <row r="165" spans="1:18" ht="39.75" hidden="1" customHeight="1" x14ac:dyDescent="0.25">
      <c r="A165" s="78">
        <f>IF(B165="","",COUNTA($B$7:B164))</f>
        <v>158</v>
      </c>
      <c r="B165" s="85">
        <v>46066</v>
      </c>
      <c r="C165" s="77" t="s">
        <v>115</v>
      </c>
      <c r="D165" s="77" t="s">
        <v>282</v>
      </c>
      <c r="E165" s="77" t="s">
        <v>434</v>
      </c>
      <c r="F165" s="77" t="s">
        <v>118</v>
      </c>
      <c r="G165" s="77" t="s">
        <v>490</v>
      </c>
      <c r="H165" s="131" t="s">
        <v>118</v>
      </c>
      <c r="I165" s="86" t="str">
        <f t="shared" si="4"/>
        <v>LENC</v>
      </c>
      <c r="J165" s="86" t="str">
        <f t="shared" si="5"/>
        <v>26</v>
      </c>
      <c r="K165" s="77" t="s">
        <v>69</v>
      </c>
      <c r="L165" s="77">
        <v>1</v>
      </c>
      <c r="M165" s="77" t="s">
        <v>69</v>
      </c>
      <c r="N165" s="88">
        <v>41</v>
      </c>
      <c r="O165" s="77" t="s">
        <v>159</v>
      </c>
      <c r="P165" s="77" t="s">
        <v>221</v>
      </c>
      <c r="Q165" s="31"/>
      <c r="R165" s="63"/>
    </row>
    <row r="166" spans="1:18" ht="39.75" hidden="1" customHeight="1" x14ac:dyDescent="0.25">
      <c r="A166" s="78">
        <f>IF(B166="","",COUNTA($B$7:B165))</f>
        <v>159</v>
      </c>
      <c r="B166" s="85">
        <v>46066</v>
      </c>
      <c r="C166" s="77" t="s">
        <v>115</v>
      </c>
      <c r="D166" s="77" t="s">
        <v>287</v>
      </c>
      <c r="E166" s="77" t="s">
        <v>434</v>
      </c>
      <c r="F166" s="77" t="s">
        <v>118</v>
      </c>
      <c r="G166" s="77" t="s">
        <v>491</v>
      </c>
      <c r="H166" s="131" t="s">
        <v>118</v>
      </c>
      <c r="I166" s="86" t="str">
        <f t="shared" si="4"/>
        <v>LENC</v>
      </c>
      <c r="J166" s="86" t="str">
        <f t="shared" si="5"/>
        <v>26</v>
      </c>
      <c r="K166" s="77" t="s">
        <v>69</v>
      </c>
      <c r="L166" s="77">
        <v>1</v>
      </c>
      <c r="M166" s="77" t="s">
        <v>69</v>
      </c>
      <c r="N166" s="88">
        <v>24</v>
      </c>
      <c r="O166" s="77" t="s">
        <v>159</v>
      </c>
      <c r="P166" s="77"/>
      <c r="Q166" s="31"/>
      <c r="R166" s="63"/>
    </row>
    <row r="167" spans="1:18" ht="39.75" hidden="1" customHeight="1" x14ac:dyDescent="0.25">
      <c r="A167" s="78">
        <f>IF(B167="","",COUNTA($B$7:B166))</f>
        <v>160</v>
      </c>
      <c r="B167" s="85">
        <v>46066</v>
      </c>
      <c r="C167" s="77" t="s">
        <v>305</v>
      </c>
      <c r="D167" s="77" t="s">
        <v>492</v>
      </c>
      <c r="E167" s="77" t="s">
        <v>493</v>
      </c>
      <c r="F167" s="77" t="s">
        <v>118</v>
      </c>
      <c r="G167" s="77" t="s">
        <v>494</v>
      </c>
      <c r="H167" s="131" t="s">
        <v>118</v>
      </c>
      <c r="I167" s="86" t="str">
        <f t="shared" si="4"/>
        <v>LENC</v>
      </c>
      <c r="J167" s="86" t="str">
        <f t="shared" si="5"/>
        <v>26</v>
      </c>
      <c r="K167" s="77" t="s">
        <v>69</v>
      </c>
      <c r="L167" s="77">
        <v>1</v>
      </c>
      <c r="M167" s="77" t="s">
        <v>69</v>
      </c>
      <c r="N167" s="88">
        <v>53</v>
      </c>
      <c r="O167" s="77" t="s">
        <v>159</v>
      </c>
      <c r="P167" s="77"/>
      <c r="Q167" s="31"/>
      <c r="R167" s="63"/>
    </row>
    <row r="168" spans="1:18" ht="39.75" hidden="1" customHeight="1" x14ac:dyDescent="0.25">
      <c r="A168" s="78">
        <f>IF(B168="","",COUNTA($B$7:B167))</f>
        <v>161</v>
      </c>
      <c r="B168" s="85">
        <v>46066</v>
      </c>
      <c r="C168" s="77" t="s">
        <v>305</v>
      </c>
      <c r="D168" s="77" t="s">
        <v>495</v>
      </c>
      <c r="E168" s="77" t="s">
        <v>493</v>
      </c>
      <c r="F168" s="77" t="s">
        <v>118</v>
      </c>
      <c r="G168" s="77" t="s">
        <v>496</v>
      </c>
      <c r="H168" s="131" t="s">
        <v>118</v>
      </c>
      <c r="I168" s="86" t="str">
        <f t="shared" si="4"/>
        <v>LENC</v>
      </c>
      <c r="J168" s="86" t="str">
        <f t="shared" si="5"/>
        <v>26</v>
      </c>
      <c r="K168" s="77" t="s">
        <v>69</v>
      </c>
      <c r="L168" s="77">
        <v>1</v>
      </c>
      <c r="M168" s="77" t="s">
        <v>69</v>
      </c>
      <c r="N168" s="88">
        <v>53</v>
      </c>
      <c r="O168" s="77" t="s">
        <v>159</v>
      </c>
      <c r="P168" s="77"/>
      <c r="Q168" s="31"/>
      <c r="R168" s="63"/>
    </row>
    <row r="169" spans="1:18" ht="39.75" hidden="1" customHeight="1" x14ac:dyDescent="0.25">
      <c r="A169" s="78">
        <f>IF(B169="","",COUNTA($B$7:B168))</f>
        <v>162</v>
      </c>
      <c r="B169" s="85">
        <v>46066</v>
      </c>
      <c r="C169" s="77" t="s">
        <v>305</v>
      </c>
      <c r="D169" s="77" t="s">
        <v>497</v>
      </c>
      <c r="E169" s="77" t="s">
        <v>493</v>
      </c>
      <c r="F169" s="77" t="s">
        <v>118</v>
      </c>
      <c r="G169" s="77" t="s">
        <v>498</v>
      </c>
      <c r="H169" s="131" t="s">
        <v>118</v>
      </c>
      <c r="I169" s="86" t="str">
        <f t="shared" si="4"/>
        <v>LENC</v>
      </c>
      <c r="J169" s="86" t="str">
        <f t="shared" si="5"/>
        <v>26</v>
      </c>
      <c r="K169" s="77" t="s">
        <v>69</v>
      </c>
      <c r="L169" s="77">
        <v>1</v>
      </c>
      <c r="M169" s="77" t="s">
        <v>69</v>
      </c>
      <c r="N169" s="88">
        <v>53</v>
      </c>
      <c r="O169" s="77" t="s">
        <v>159</v>
      </c>
      <c r="P169" s="77"/>
      <c r="Q169" s="31"/>
      <c r="R169" s="63"/>
    </row>
    <row r="170" spans="1:18" ht="39.75" hidden="1" customHeight="1" x14ac:dyDescent="0.25">
      <c r="A170" s="78">
        <f>IF(B170="","",COUNTA($B$7:B169))</f>
        <v>163</v>
      </c>
      <c r="B170" s="85">
        <v>46066</v>
      </c>
      <c r="C170" s="77" t="s">
        <v>305</v>
      </c>
      <c r="D170" s="77" t="s">
        <v>499</v>
      </c>
      <c r="E170" s="77" t="s">
        <v>493</v>
      </c>
      <c r="F170" s="77" t="s">
        <v>118</v>
      </c>
      <c r="G170" s="77" t="s">
        <v>500</v>
      </c>
      <c r="H170" s="131" t="s">
        <v>118</v>
      </c>
      <c r="I170" s="86" t="str">
        <f t="shared" si="4"/>
        <v>LENC</v>
      </c>
      <c r="J170" s="86" t="str">
        <f t="shared" si="5"/>
        <v>26</v>
      </c>
      <c r="K170" s="77" t="s">
        <v>69</v>
      </c>
      <c r="L170" s="77">
        <v>3</v>
      </c>
      <c r="M170" s="77" t="s">
        <v>69</v>
      </c>
      <c r="N170" s="88"/>
      <c r="O170" s="77"/>
      <c r="P170" s="77"/>
      <c r="Q170" s="31"/>
      <c r="R170" s="63"/>
    </row>
    <row r="171" spans="1:18" ht="39.75" hidden="1" customHeight="1" x14ac:dyDescent="0.25">
      <c r="A171" s="78">
        <f>IF(B171="","",COUNTA($B$7:B170))</f>
        <v>164</v>
      </c>
      <c r="B171" s="85">
        <v>46066</v>
      </c>
      <c r="C171" s="77" t="s">
        <v>115</v>
      </c>
      <c r="D171" s="77" t="s">
        <v>501</v>
      </c>
      <c r="E171" s="77" t="s">
        <v>434</v>
      </c>
      <c r="F171" s="77" t="s">
        <v>118</v>
      </c>
      <c r="G171" s="77" t="s">
        <v>502</v>
      </c>
      <c r="H171" s="131" t="s">
        <v>118</v>
      </c>
      <c r="I171" s="86" t="str">
        <f t="shared" si="4"/>
        <v>LENC</v>
      </c>
      <c r="J171" s="86" t="str">
        <f t="shared" si="5"/>
        <v>26</v>
      </c>
      <c r="K171" s="77" t="s">
        <v>69</v>
      </c>
      <c r="L171" s="77">
        <v>1</v>
      </c>
      <c r="M171" s="77" t="s">
        <v>69</v>
      </c>
      <c r="N171" s="88">
        <v>20</v>
      </c>
      <c r="O171" s="77" t="s">
        <v>159</v>
      </c>
      <c r="P171" s="77"/>
      <c r="Q171" s="31"/>
      <c r="R171" s="63"/>
    </row>
    <row r="172" spans="1:18" ht="39.75" hidden="1" customHeight="1" x14ac:dyDescent="0.25">
      <c r="A172" s="78">
        <f>IF(B172="","",COUNTA($B$7:B171))</f>
        <v>165</v>
      </c>
      <c r="B172" s="85">
        <v>46066</v>
      </c>
      <c r="C172" s="77" t="s">
        <v>115</v>
      </c>
      <c r="D172" s="77" t="s">
        <v>300</v>
      </c>
      <c r="E172" s="77" t="s">
        <v>434</v>
      </c>
      <c r="F172" s="77" t="s">
        <v>118</v>
      </c>
      <c r="G172" s="77" t="s">
        <v>503</v>
      </c>
      <c r="H172" s="131" t="s">
        <v>118</v>
      </c>
      <c r="I172" s="86" t="str">
        <f t="shared" si="4"/>
        <v>LENC</v>
      </c>
      <c r="J172" s="86" t="str">
        <f t="shared" si="5"/>
        <v>26</v>
      </c>
      <c r="K172" s="77" t="s">
        <v>69</v>
      </c>
      <c r="L172" s="77">
        <v>1</v>
      </c>
      <c r="M172" s="77" t="s">
        <v>69</v>
      </c>
      <c r="N172" s="88">
        <v>20</v>
      </c>
      <c r="O172" s="77" t="s">
        <v>159</v>
      </c>
      <c r="P172" s="77"/>
      <c r="Q172" s="31"/>
      <c r="R172" s="63"/>
    </row>
    <row r="173" spans="1:18" ht="39.75" hidden="1" customHeight="1" x14ac:dyDescent="0.25">
      <c r="A173" s="78">
        <f>IF(B173="","",COUNTA($B$7:B172))</f>
        <v>166</v>
      </c>
      <c r="B173" s="85">
        <v>46072</v>
      </c>
      <c r="C173" s="77" t="s">
        <v>150</v>
      </c>
      <c r="D173" s="77" t="s">
        <v>306</v>
      </c>
      <c r="E173" s="77" t="s">
        <v>504</v>
      </c>
      <c r="F173" s="77" t="s">
        <v>118</v>
      </c>
      <c r="G173" s="77" t="s">
        <v>505</v>
      </c>
      <c r="H173" s="131" t="s">
        <v>118</v>
      </c>
      <c r="I173" s="86" t="str">
        <f t="shared" si="4"/>
        <v>LENC</v>
      </c>
      <c r="J173" s="86" t="str">
        <f t="shared" si="5"/>
        <v>26</v>
      </c>
      <c r="K173" s="77" t="s">
        <v>69</v>
      </c>
      <c r="L173" s="77">
        <v>1</v>
      </c>
      <c r="M173" s="77" t="s">
        <v>69</v>
      </c>
      <c r="N173" s="88" t="s">
        <v>166</v>
      </c>
      <c r="O173" s="77" t="s">
        <v>121</v>
      </c>
      <c r="P173" s="77"/>
      <c r="Q173" s="31"/>
      <c r="R173" s="63"/>
    </row>
    <row r="174" spans="1:18" ht="39.75" hidden="1" customHeight="1" x14ac:dyDescent="0.25">
      <c r="A174" s="78">
        <f>IF(B174="","",COUNTA($B$7:B173))</f>
        <v>167</v>
      </c>
      <c r="B174" s="85">
        <v>46072</v>
      </c>
      <c r="C174" s="77" t="s">
        <v>506</v>
      </c>
      <c r="D174" s="77" t="s">
        <v>309</v>
      </c>
      <c r="E174" s="77" t="s">
        <v>507</v>
      </c>
      <c r="F174" s="77" t="s">
        <v>118</v>
      </c>
      <c r="G174" s="77" t="s">
        <v>508</v>
      </c>
      <c r="H174" s="131" t="s">
        <v>118</v>
      </c>
      <c r="I174" s="86" t="str">
        <f t="shared" si="4"/>
        <v>LENC</v>
      </c>
      <c r="J174" s="86" t="str">
        <f t="shared" si="5"/>
        <v>26</v>
      </c>
      <c r="K174" s="77" t="s">
        <v>509</v>
      </c>
      <c r="L174" s="77">
        <v>3</v>
      </c>
      <c r="M174" s="77" t="s">
        <v>510</v>
      </c>
      <c r="N174" s="88" t="s">
        <v>511</v>
      </c>
      <c r="O174" s="77" t="s">
        <v>126</v>
      </c>
      <c r="P174" s="77"/>
      <c r="Q174" s="31"/>
      <c r="R174" s="63"/>
    </row>
    <row r="175" spans="1:18" ht="39.75" hidden="1" customHeight="1" x14ac:dyDescent="0.25">
      <c r="A175" s="78">
        <f>IF(B175="","",COUNTA($B$7:B174))</f>
        <v>168</v>
      </c>
      <c r="B175" s="85">
        <v>46072</v>
      </c>
      <c r="C175" s="77" t="s">
        <v>506</v>
      </c>
      <c r="D175" s="77" t="s">
        <v>310</v>
      </c>
      <c r="E175" s="77" t="s">
        <v>507</v>
      </c>
      <c r="F175" s="77" t="s">
        <v>118</v>
      </c>
      <c r="G175" s="77" t="s">
        <v>512</v>
      </c>
      <c r="H175" s="131" t="s">
        <v>118</v>
      </c>
      <c r="I175" s="86" t="str">
        <f t="shared" si="4"/>
        <v>LENC</v>
      </c>
      <c r="J175" s="86" t="str">
        <f t="shared" si="5"/>
        <v>26</v>
      </c>
      <c r="K175" s="77" t="s">
        <v>513</v>
      </c>
      <c r="L175" s="77">
        <v>3</v>
      </c>
      <c r="M175" s="77" t="s">
        <v>514</v>
      </c>
      <c r="N175" s="88" t="s">
        <v>270</v>
      </c>
      <c r="O175" s="77" t="s">
        <v>126</v>
      </c>
      <c r="P175" s="77" t="s">
        <v>515</v>
      </c>
      <c r="Q175" s="31"/>
      <c r="R175" s="63"/>
    </row>
    <row r="176" spans="1:18" ht="39.75" hidden="1" customHeight="1" x14ac:dyDescent="0.25">
      <c r="A176" s="78">
        <f>IF(B176="","",COUNTA($B$7:B175))</f>
        <v>169</v>
      </c>
      <c r="B176" s="85">
        <v>46072</v>
      </c>
      <c r="C176" s="77" t="s">
        <v>506</v>
      </c>
      <c r="D176" s="77" t="s">
        <v>312</v>
      </c>
      <c r="E176" s="77" t="s">
        <v>507</v>
      </c>
      <c r="F176" s="77" t="s">
        <v>118</v>
      </c>
      <c r="G176" s="77" t="s">
        <v>516</v>
      </c>
      <c r="H176" s="131" t="s">
        <v>118</v>
      </c>
      <c r="I176" s="86" t="str">
        <f t="shared" si="4"/>
        <v>LENC</v>
      </c>
      <c r="J176" s="86" t="str">
        <f t="shared" si="5"/>
        <v>26</v>
      </c>
      <c r="K176" s="77" t="s">
        <v>517</v>
      </c>
      <c r="L176" s="77">
        <v>3</v>
      </c>
      <c r="M176" s="77" t="s">
        <v>518</v>
      </c>
      <c r="N176" s="88">
        <v>14</v>
      </c>
      <c r="O176" s="77" t="s">
        <v>235</v>
      </c>
      <c r="P176" s="77" t="s">
        <v>519</v>
      </c>
      <c r="Q176" s="31"/>
      <c r="R176" s="63"/>
    </row>
    <row r="177" spans="1:18" ht="39.75" hidden="1" customHeight="1" x14ac:dyDescent="0.25">
      <c r="A177" s="78">
        <f>IF(B177="","",COUNTA($B$7:B176))</f>
        <v>170</v>
      </c>
      <c r="B177" s="85">
        <v>46072</v>
      </c>
      <c r="C177" s="77" t="s">
        <v>506</v>
      </c>
      <c r="D177" s="77" t="s">
        <v>313</v>
      </c>
      <c r="E177" s="77" t="s">
        <v>507</v>
      </c>
      <c r="F177" s="77" t="s">
        <v>118</v>
      </c>
      <c r="G177" s="77" t="s">
        <v>520</v>
      </c>
      <c r="H177" s="131" t="s">
        <v>118</v>
      </c>
      <c r="I177" s="86" t="str">
        <f t="shared" si="4"/>
        <v>LENC</v>
      </c>
      <c r="J177" s="86" t="str">
        <f t="shared" si="5"/>
        <v>26</v>
      </c>
      <c r="K177" s="77" t="s">
        <v>517</v>
      </c>
      <c r="L177" s="77">
        <v>3</v>
      </c>
      <c r="M177" s="77" t="s">
        <v>518</v>
      </c>
      <c r="N177" s="88">
        <v>14</v>
      </c>
      <c r="O177" s="77" t="s">
        <v>235</v>
      </c>
      <c r="P177" s="77" t="s">
        <v>521</v>
      </c>
      <c r="Q177" s="31"/>
      <c r="R177" s="63"/>
    </row>
    <row r="178" spans="1:18" ht="39.75" hidden="1" customHeight="1" x14ac:dyDescent="0.25">
      <c r="A178" s="78">
        <f>IF(B178="","",COUNTA($B$7:B177))</f>
        <v>171</v>
      </c>
      <c r="B178" s="85">
        <v>46072</v>
      </c>
      <c r="C178" s="77" t="s">
        <v>506</v>
      </c>
      <c r="D178" s="77" t="s">
        <v>315</v>
      </c>
      <c r="E178" s="77" t="s">
        <v>507</v>
      </c>
      <c r="F178" s="77" t="s">
        <v>118</v>
      </c>
      <c r="G178" s="77" t="s">
        <v>522</v>
      </c>
      <c r="H178" s="131" t="s">
        <v>118</v>
      </c>
      <c r="I178" s="86" t="str">
        <f t="shared" si="4"/>
        <v>LENC</v>
      </c>
      <c r="J178" s="86" t="str">
        <f t="shared" si="5"/>
        <v>26</v>
      </c>
      <c r="K178" s="77" t="s">
        <v>523</v>
      </c>
      <c r="L178" s="77">
        <v>3</v>
      </c>
      <c r="M178" s="77" t="s">
        <v>524</v>
      </c>
      <c r="N178" s="88"/>
      <c r="O178" s="77" t="s">
        <v>172</v>
      </c>
      <c r="P178" s="77" t="s">
        <v>525</v>
      </c>
      <c r="Q178" s="31"/>
      <c r="R178" s="63"/>
    </row>
    <row r="179" spans="1:18" ht="39.75" hidden="1" customHeight="1" x14ac:dyDescent="0.25">
      <c r="A179" s="78">
        <f>IF(B179="","",COUNTA($B$7:B178))</f>
        <v>172</v>
      </c>
      <c r="B179" s="85">
        <v>46072</v>
      </c>
      <c r="C179" s="77" t="s">
        <v>506</v>
      </c>
      <c r="D179" s="77" t="s">
        <v>526</v>
      </c>
      <c r="E179" s="77" t="s">
        <v>507</v>
      </c>
      <c r="F179" s="77" t="s">
        <v>118</v>
      </c>
      <c r="G179" s="77" t="s">
        <v>527</v>
      </c>
      <c r="H179" s="131" t="s">
        <v>118</v>
      </c>
      <c r="I179" s="86" t="str">
        <f t="shared" si="4"/>
        <v>LENC</v>
      </c>
      <c r="J179" s="86" t="str">
        <f t="shared" si="5"/>
        <v>26</v>
      </c>
      <c r="K179" s="77" t="s">
        <v>523</v>
      </c>
      <c r="L179" s="77">
        <v>3</v>
      </c>
      <c r="M179" s="77" t="s">
        <v>524</v>
      </c>
      <c r="N179" s="88"/>
      <c r="O179" s="77" t="s">
        <v>172</v>
      </c>
      <c r="P179" s="77" t="s">
        <v>528</v>
      </c>
      <c r="Q179" s="31"/>
      <c r="R179" s="63"/>
    </row>
    <row r="180" spans="1:18" ht="39.75" hidden="1" customHeight="1" x14ac:dyDescent="0.25">
      <c r="A180" s="78">
        <f>IF(B180="","",COUNTA($B$7:B179))</f>
        <v>173</v>
      </c>
      <c r="B180" s="85">
        <v>46072</v>
      </c>
      <c r="C180" s="77" t="s">
        <v>529</v>
      </c>
      <c r="D180" s="77" t="s">
        <v>321</v>
      </c>
      <c r="E180" s="77" t="s">
        <v>69</v>
      </c>
      <c r="F180" s="77" t="s">
        <v>118</v>
      </c>
      <c r="G180" s="77">
        <v>18503</v>
      </c>
      <c r="H180" s="131" t="s">
        <v>118</v>
      </c>
      <c r="I180" s="86" t="str">
        <f t="shared" si="4"/>
        <v>LENC</v>
      </c>
      <c r="J180" s="86" t="str">
        <f t="shared" si="5"/>
        <v>26</v>
      </c>
      <c r="K180" s="77" t="s">
        <v>530</v>
      </c>
      <c r="L180" s="77">
        <v>1</v>
      </c>
      <c r="M180" s="77" t="s">
        <v>531</v>
      </c>
      <c r="N180" s="88">
        <v>39</v>
      </c>
      <c r="O180" s="77" t="s">
        <v>235</v>
      </c>
      <c r="P180" s="77" t="s">
        <v>532</v>
      </c>
      <c r="Q180" s="31"/>
      <c r="R180" s="63"/>
    </row>
    <row r="181" spans="1:18" ht="39.75" hidden="1" customHeight="1" x14ac:dyDescent="0.25">
      <c r="A181" s="78">
        <f>IF(B181="","",COUNTA($B$7:B180))</f>
        <v>174</v>
      </c>
      <c r="B181" s="85">
        <v>46072</v>
      </c>
      <c r="C181" s="77" t="s">
        <v>529</v>
      </c>
      <c r="D181" s="77" t="s">
        <v>321</v>
      </c>
      <c r="E181" s="77" t="s">
        <v>69</v>
      </c>
      <c r="F181" s="77" t="s">
        <v>118</v>
      </c>
      <c r="G181" s="77" t="s">
        <v>201</v>
      </c>
      <c r="H181" s="131" t="s">
        <v>118</v>
      </c>
      <c r="I181" s="86" t="str">
        <f t="shared" si="4"/>
        <v>LENC</v>
      </c>
      <c r="J181" s="86" t="str">
        <f t="shared" si="5"/>
        <v>26</v>
      </c>
      <c r="K181" s="77" t="s">
        <v>530</v>
      </c>
      <c r="L181" s="77">
        <v>5</v>
      </c>
      <c r="M181" s="77" t="s">
        <v>531</v>
      </c>
      <c r="N181" s="88" t="s">
        <v>198</v>
      </c>
      <c r="O181" s="77" t="s">
        <v>172</v>
      </c>
      <c r="P181" s="77"/>
      <c r="Q181" s="31"/>
      <c r="R181" s="63"/>
    </row>
    <row r="182" spans="1:18" ht="39.75" hidden="1" customHeight="1" x14ac:dyDescent="0.25">
      <c r="A182" s="78">
        <f>IF(B182="","",COUNTA($B$7:B181))</f>
        <v>175</v>
      </c>
      <c r="B182" s="85">
        <v>46073</v>
      </c>
      <c r="C182" s="77" t="s">
        <v>204</v>
      </c>
      <c r="D182" s="77" t="s">
        <v>324</v>
      </c>
      <c r="E182" s="77" t="s">
        <v>533</v>
      </c>
      <c r="F182" s="77" t="s">
        <v>118</v>
      </c>
      <c r="G182" s="77">
        <v>103901</v>
      </c>
      <c r="H182" s="131" t="s">
        <v>118</v>
      </c>
      <c r="I182" s="86" t="str">
        <f t="shared" si="4"/>
        <v>LENC</v>
      </c>
      <c r="J182" s="86" t="str">
        <f t="shared" si="5"/>
        <v>26</v>
      </c>
      <c r="K182" s="77" t="s">
        <v>534</v>
      </c>
      <c r="L182" s="77">
        <v>1</v>
      </c>
      <c r="M182" s="77" t="s">
        <v>69</v>
      </c>
      <c r="N182" s="88" t="s">
        <v>270</v>
      </c>
      <c r="O182" s="77" t="s">
        <v>126</v>
      </c>
      <c r="P182" s="77"/>
      <c r="Q182" s="31"/>
      <c r="R182" s="63"/>
    </row>
    <row r="183" spans="1:18" ht="39.75" hidden="1" customHeight="1" x14ac:dyDescent="0.25">
      <c r="A183" s="78">
        <f>IF(B183="","",COUNTA($B$7:B182))</f>
        <v>176</v>
      </c>
      <c r="B183" s="85">
        <v>46073</v>
      </c>
      <c r="C183" s="77" t="s">
        <v>204</v>
      </c>
      <c r="D183" s="77" t="s">
        <v>79</v>
      </c>
      <c r="E183" s="77" t="s">
        <v>533</v>
      </c>
      <c r="F183" s="77" t="s">
        <v>118</v>
      </c>
      <c r="G183" s="77">
        <v>103902</v>
      </c>
      <c r="H183" s="131" t="s">
        <v>118</v>
      </c>
      <c r="I183" s="86" t="str">
        <f t="shared" si="4"/>
        <v>LENC</v>
      </c>
      <c r="J183" s="86" t="str">
        <f t="shared" si="5"/>
        <v>26</v>
      </c>
      <c r="K183" s="77" t="s">
        <v>534</v>
      </c>
      <c r="L183" s="77">
        <v>1</v>
      </c>
      <c r="M183" s="77" t="s">
        <v>69</v>
      </c>
      <c r="N183" s="88" t="s">
        <v>270</v>
      </c>
      <c r="O183" s="77" t="s">
        <v>126</v>
      </c>
      <c r="P183" s="77"/>
      <c r="Q183" s="31"/>
      <c r="R183" s="63"/>
    </row>
    <row r="184" spans="1:18" ht="39.75" hidden="1" customHeight="1" x14ac:dyDescent="0.25">
      <c r="A184" s="78">
        <f>IF(B184="","",COUNTA($B$7:B183))</f>
        <v>177</v>
      </c>
      <c r="B184" s="85">
        <v>46073</v>
      </c>
      <c r="C184" s="77" t="s">
        <v>204</v>
      </c>
      <c r="D184" s="77" t="s">
        <v>79</v>
      </c>
      <c r="E184" s="77" t="s">
        <v>533</v>
      </c>
      <c r="F184" s="77" t="s">
        <v>118</v>
      </c>
      <c r="G184" s="77">
        <v>103903</v>
      </c>
      <c r="H184" s="131" t="s">
        <v>118</v>
      </c>
      <c r="I184" s="86" t="str">
        <f t="shared" si="4"/>
        <v>LENC</v>
      </c>
      <c r="J184" s="86" t="str">
        <f t="shared" si="5"/>
        <v>26</v>
      </c>
      <c r="K184" s="77" t="s">
        <v>534</v>
      </c>
      <c r="L184" s="77">
        <v>1</v>
      </c>
      <c r="M184" s="77" t="s">
        <v>69</v>
      </c>
      <c r="N184" s="88" t="s">
        <v>270</v>
      </c>
      <c r="O184" s="77" t="s">
        <v>126</v>
      </c>
      <c r="P184" s="77"/>
      <c r="Q184" s="31"/>
      <c r="R184" s="63"/>
    </row>
    <row r="185" spans="1:18" ht="39.75" hidden="1" customHeight="1" x14ac:dyDescent="0.25">
      <c r="A185" s="78">
        <f>IF(B185="","",COUNTA($B$7:B184))</f>
        <v>178</v>
      </c>
      <c r="B185" s="85">
        <v>46073</v>
      </c>
      <c r="C185" s="77" t="s">
        <v>204</v>
      </c>
      <c r="D185" s="77" t="s">
        <v>79</v>
      </c>
      <c r="E185" s="77" t="s">
        <v>533</v>
      </c>
      <c r="F185" s="77" t="s">
        <v>118</v>
      </c>
      <c r="G185" s="77">
        <v>103931</v>
      </c>
      <c r="H185" s="131" t="s">
        <v>118</v>
      </c>
      <c r="I185" s="86" t="str">
        <f t="shared" si="4"/>
        <v>LENC</v>
      </c>
      <c r="J185" s="86" t="str">
        <f t="shared" si="5"/>
        <v>26</v>
      </c>
      <c r="K185" s="77" t="s">
        <v>534</v>
      </c>
      <c r="L185" s="77">
        <v>1</v>
      </c>
      <c r="M185" s="77" t="s">
        <v>69</v>
      </c>
      <c r="N185" s="88" t="s">
        <v>270</v>
      </c>
      <c r="O185" s="77" t="s">
        <v>126</v>
      </c>
      <c r="P185" s="77"/>
      <c r="Q185" s="31"/>
      <c r="R185" s="63"/>
    </row>
    <row r="186" spans="1:18" ht="39.75" hidden="1" customHeight="1" x14ac:dyDescent="0.25">
      <c r="A186" s="78">
        <f>IF(B186="","",COUNTA($B$7:B185))</f>
        <v>179</v>
      </c>
      <c r="B186" s="85">
        <v>46073</v>
      </c>
      <c r="C186" s="77" t="s">
        <v>204</v>
      </c>
      <c r="D186" s="77" t="s">
        <v>79</v>
      </c>
      <c r="E186" s="77" t="s">
        <v>533</v>
      </c>
      <c r="F186" s="77" t="s">
        <v>118</v>
      </c>
      <c r="G186" s="77">
        <v>103932</v>
      </c>
      <c r="H186" s="131" t="s">
        <v>118</v>
      </c>
      <c r="I186" s="86" t="str">
        <f t="shared" si="4"/>
        <v>LENC</v>
      </c>
      <c r="J186" s="86" t="str">
        <f t="shared" si="5"/>
        <v>26</v>
      </c>
      <c r="K186" s="77" t="s">
        <v>534</v>
      </c>
      <c r="L186" s="77">
        <v>1</v>
      </c>
      <c r="M186" s="77" t="s">
        <v>69</v>
      </c>
      <c r="N186" s="88" t="s">
        <v>270</v>
      </c>
      <c r="O186" s="77" t="s">
        <v>126</v>
      </c>
      <c r="P186" s="77"/>
      <c r="Q186" s="31"/>
      <c r="R186" s="63"/>
    </row>
    <row r="187" spans="1:18" ht="39.75" hidden="1" customHeight="1" x14ac:dyDescent="0.25">
      <c r="A187" s="78">
        <f>IF(B187="","",COUNTA($B$7:B186))</f>
        <v>180</v>
      </c>
      <c r="B187" s="85">
        <v>46059</v>
      </c>
      <c r="C187" s="77" t="s">
        <v>208</v>
      </c>
      <c r="D187" s="77" t="s">
        <v>79</v>
      </c>
      <c r="E187" s="77" t="s">
        <v>388</v>
      </c>
      <c r="F187" s="77" t="s">
        <v>118</v>
      </c>
      <c r="G187" s="110" t="s">
        <v>535</v>
      </c>
      <c r="H187" s="131" t="s">
        <v>118</v>
      </c>
      <c r="I187" s="86" t="str">
        <f t="shared" si="4"/>
        <v>LENC</v>
      </c>
      <c r="J187" s="86" t="str">
        <f t="shared" si="5"/>
        <v>26</v>
      </c>
      <c r="K187" s="77" t="s">
        <v>69</v>
      </c>
      <c r="L187" s="77">
        <v>2</v>
      </c>
      <c r="M187" s="77" t="s">
        <v>69</v>
      </c>
      <c r="N187" s="88">
        <v>34</v>
      </c>
      <c r="O187" s="77" t="s">
        <v>121</v>
      </c>
      <c r="P187" s="77"/>
      <c r="Q187" s="31"/>
      <c r="R187" s="63"/>
    </row>
    <row r="188" spans="1:18" ht="39.75" hidden="1" customHeight="1" x14ac:dyDescent="0.25">
      <c r="A188" s="78">
        <f>IF(B188="","",COUNTA($B$7:B187))</f>
        <v>181</v>
      </c>
      <c r="B188" s="85">
        <v>46073</v>
      </c>
      <c r="C188" s="77" t="s">
        <v>122</v>
      </c>
      <c r="D188" s="77" t="s">
        <v>79</v>
      </c>
      <c r="E188" s="110" t="s">
        <v>536</v>
      </c>
      <c r="F188" s="77" t="s">
        <v>118</v>
      </c>
      <c r="G188" s="77">
        <v>20382</v>
      </c>
      <c r="H188" s="131" t="s">
        <v>118</v>
      </c>
      <c r="I188" s="86" t="str">
        <f t="shared" si="4"/>
        <v>LENC</v>
      </c>
      <c r="J188" s="86" t="str">
        <f t="shared" si="5"/>
        <v>26</v>
      </c>
      <c r="K188" s="77" t="s">
        <v>245</v>
      </c>
      <c r="L188" s="77">
        <v>1</v>
      </c>
      <c r="M188" s="77" t="s">
        <v>246</v>
      </c>
      <c r="N188" s="88">
        <v>45</v>
      </c>
      <c r="O188" s="77" t="s">
        <v>159</v>
      </c>
      <c r="P188" s="77"/>
      <c r="Q188" s="31"/>
      <c r="R188" s="63"/>
    </row>
    <row r="189" spans="1:18" ht="39.75" hidden="1" customHeight="1" x14ac:dyDescent="0.25">
      <c r="A189" s="78">
        <f>IF(B189="","",COUNTA($B$7:B188))</f>
        <v>182</v>
      </c>
      <c r="B189" s="85">
        <v>46070</v>
      </c>
      <c r="C189" s="77" t="s">
        <v>305</v>
      </c>
      <c r="D189" s="77" t="s">
        <v>79</v>
      </c>
      <c r="E189" s="77" t="s">
        <v>537</v>
      </c>
      <c r="F189" s="77" t="s">
        <v>118</v>
      </c>
      <c r="G189" s="77" t="s">
        <v>538</v>
      </c>
      <c r="H189" s="131" t="s">
        <v>118</v>
      </c>
      <c r="I189" s="86" t="str">
        <f t="shared" si="4"/>
        <v>LENC</v>
      </c>
      <c r="J189" s="86" t="str">
        <f t="shared" si="5"/>
        <v>26</v>
      </c>
      <c r="K189" s="77" t="s">
        <v>539</v>
      </c>
      <c r="L189" s="77">
        <v>4</v>
      </c>
      <c r="M189" s="77" t="s">
        <v>540</v>
      </c>
      <c r="N189" s="88" t="s">
        <v>308</v>
      </c>
      <c r="O189" s="77" t="s">
        <v>121</v>
      </c>
      <c r="P189" s="77"/>
      <c r="Q189" s="31"/>
      <c r="R189" s="63"/>
    </row>
    <row r="190" spans="1:18" ht="39.75" hidden="1" customHeight="1" x14ac:dyDescent="0.25">
      <c r="A190" s="78">
        <f>IF(B190="","",COUNTA($B$7:B189))</f>
        <v>183</v>
      </c>
      <c r="B190" s="85">
        <v>46070</v>
      </c>
      <c r="C190" s="77" t="s">
        <v>305</v>
      </c>
      <c r="D190" s="77" t="s">
        <v>79</v>
      </c>
      <c r="E190" s="77" t="s">
        <v>537</v>
      </c>
      <c r="F190" s="77" t="s">
        <v>118</v>
      </c>
      <c r="G190" s="77" t="s">
        <v>541</v>
      </c>
      <c r="H190" s="131" t="s">
        <v>118</v>
      </c>
      <c r="I190" s="86" t="str">
        <f t="shared" si="4"/>
        <v>LENC</v>
      </c>
      <c r="J190" s="86" t="str">
        <f t="shared" si="5"/>
        <v>26</v>
      </c>
      <c r="K190" s="77" t="s">
        <v>539</v>
      </c>
      <c r="L190" s="77">
        <v>6</v>
      </c>
      <c r="M190" s="77" t="s">
        <v>540</v>
      </c>
      <c r="N190" s="88" t="s">
        <v>308</v>
      </c>
      <c r="O190" s="77" t="s">
        <v>121</v>
      </c>
      <c r="P190" s="77"/>
      <c r="Q190" s="31"/>
      <c r="R190" s="63"/>
    </row>
    <row r="191" spans="1:18" ht="39.75" hidden="1" customHeight="1" x14ac:dyDescent="0.25">
      <c r="A191" s="78">
        <f>IF(B191="","",COUNTA($B$7:B190))</f>
        <v>184</v>
      </c>
      <c r="B191" s="85">
        <v>46070</v>
      </c>
      <c r="C191" s="77" t="s">
        <v>305</v>
      </c>
      <c r="D191" s="77" t="s">
        <v>327</v>
      </c>
      <c r="E191" s="77" t="s">
        <v>537</v>
      </c>
      <c r="F191" s="77" t="s">
        <v>118</v>
      </c>
      <c r="G191" s="77" t="s">
        <v>542</v>
      </c>
      <c r="H191" s="131" t="s">
        <v>118</v>
      </c>
      <c r="I191" s="86" t="str">
        <f t="shared" si="4"/>
        <v>LENC</v>
      </c>
      <c r="J191" s="86" t="str">
        <f t="shared" si="5"/>
        <v>26</v>
      </c>
      <c r="K191" s="77" t="s">
        <v>539</v>
      </c>
      <c r="L191" s="77">
        <v>3</v>
      </c>
      <c r="M191" s="77" t="s">
        <v>540</v>
      </c>
      <c r="N191" s="88">
        <v>32</v>
      </c>
      <c r="O191" s="77" t="s">
        <v>159</v>
      </c>
      <c r="P191" s="77"/>
      <c r="Q191" s="31"/>
      <c r="R191" s="63"/>
    </row>
    <row r="192" spans="1:18" ht="39.75" hidden="1" customHeight="1" x14ac:dyDescent="0.25">
      <c r="A192" s="78">
        <f>IF(B192="","",COUNTA($B$7:B191))</f>
        <v>185</v>
      </c>
      <c r="B192" s="85">
        <v>46070</v>
      </c>
      <c r="C192" s="77" t="s">
        <v>305</v>
      </c>
      <c r="D192" s="77" t="s">
        <v>330</v>
      </c>
      <c r="E192" s="77" t="s">
        <v>537</v>
      </c>
      <c r="F192" s="77" t="s">
        <v>118</v>
      </c>
      <c r="G192" s="77" t="s">
        <v>543</v>
      </c>
      <c r="H192" s="131" t="s">
        <v>118</v>
      </c>
      <c r="I192" s="86" t="str">
        <f t="shared" si="4"/>
        <v>LENC</v>
      </c>
      <c r="J192" s="86" t="str">
        <f t="shared" si="5"/>
        <v>26</v>
      </c>
      <c r="K192" s="77" t="s">
        <v>539</v>
      </c>
      <c r="L192" s="77">
        <v>1</v>
      </c>
      <c r="M192" s="77" t="s">
        <v>540</v>
      </c>
      <c r="N192" s="88">
        <v>32</v>
      </c>
      <c r="O192" s="77" t="s">
        <v>159</v>
      </c>
      <c r="P192" s="77"/>
      <c r="Q192" s="31"/>
      <c r="R192" s="63"/>
    </row>
    <row r="193" spans="1:18" ht="39.75" hidden="1" customHeight="1" x14ac:dyDescent="0.25">
      <c r="A193" s="78">
        <f>IF(B193="","",COUNTA($B$7:B192))</f>
        <v>186</v>
      </c>
      <c r="B193" s="85">
        <v>46076</v>
      </c>
      <c r="C193" s="77" t="s">
        <v>544</v>
      </c>
      <c r="D193" s="77" t="s">
        <v>211</v>
      </c>
      <c r="E193" s="77" t="s">
        <v>545</v>
      </c>
      <c r="F193" s="77" t="s">
        <v>118</v>
      </c>
      <c r="G193" s="77" t="s">
        <v>546</v>
      </c>
      <c r="H193" s="131" t="s">
        <v>118</v>
      </c>
      <c r="I193" s="86" t="str">
        <f t="shared" si="4"/>
        <v>LENC</v>
      </c>
      <c r="J193" s="86" t="str">
        <f t="shared" si="5"/>
        <v>26</v>
      </c>
      <c r="K193" s="77" t="s">
        <v>547</v>
      </c>
      <c r="L193" s="77">
        <v>1</v>
      </c>
      <c r="M193" s="77" t="s">
        <v>548</v>
      </c>
      <c r="N193" s="88" t="s">
        <v>215</v>
      </c>
      <c r="O193" s="77" t="s">
        <v>126</v>
      </c>
      <c r="P193" s="77" t="s">
        <v>144</v>
      </c>
      <c r="Q193" s="31"/>
      <c r="R193" s="63"/>
    </row>
    <row r="194" spans="1:18" ht="39.75" hidden="1" customHeight="1" x14ac:dyDescent="0.25">
      <c r="A194" s="78">
        <f>IF(B194="","",COUNTA($B$7:B193))</f>
        <v>187</v>
      </c>
      <c r="B194" s="85">
        <v>46077</v>
      </c>
      <c r="C194" s="77" t="s">
        <v>48</v>
      </c>
      <c r="D194" s="77" t="s">
        <v>211</v>
      </c>
      <c r="E194" s="77" t="s">
        <v>549</v>
      </c>
      <c r="F194" s="77" t="s">
        <v>118</v>
      </c>
      <c r="G194" s="77">
        <v>21469</v>
      </c>
      <c r="H194" s="131" t="s">
        <v>118</v>
      </c>
      <c r="I194" s="86" t="str">
        <f t="shared" si="4"/>
        <v>LENC</v>
      </c>
      <c r="J194" s="86" t="str">
        <f t="shared" si="5"/>
        <v>26</v>
      </c>
      <c r="K194" s="77" t="s">
        <v>550</v>
      </c>
      <c r="L194" s="77">
        <v>1</v>
      </c>
      <c r="M194" s="77" t="s">
        <v>551</v>
      </c>
      <c r="N194" s="88">
        <v>89</v>
      </c>
      <c r="O194" s="77" t="s">
        <v>159</v>
      </c>
      <c r="P194" s="77" t="s">
        <v>478</v>
      </c>
      <c r="Q194" s="31"/>
      <c r="R194" s="63"/>
    </row>
    <row r="195" spans="1:18" ht="39.75" hidden="1" customHeight="1" x14ac:dyDescent="0.25">
      <c r="A195" s="78">
        <f>IF(B195="","",COUNTA($B$7:B194))</f>
        <v>188</v>
      </c>
      <c r="B195" s="85">
        <v>46042</v>
      </c>
      <c r="C195" s="77" t="s">
        <v>544</v>
      </c>
      <c r="D195" s="77" t="s">
        <v>334</v>
      </c>
      <c r="E195" s="77" t="s">
        <v>552</v>
      </c>
      <c r="F195" s="77" t="s">
        <v>118</v>
      </c>
      <c r="G195" s="77" t="s">
        <v>553</v>
      </c>
      <c r="H195" s="131" t="s">
        <v>118</v>
      </c>
      <c r="I195" s="86" t="str">
        <f t="shared" si="4"/>
        <v>LENC</v>
      </c>
      <c r="J195" s="86" t="str">
        <f t="shared" si="5"/>
        <v>26</v>
      </c>
      <c r="K195" s="77" t="s">
        <v>69</v>
      </c>
      <c r="L195" s="77">
        <v>2</v>
      </c>
      <c r="M195" s="77" t="s">
        <v>554</v>
      </c>
      <c r="N195" s="88">
        <v>13</v>
      </c>
      <c r="O195" s="77" t="s">
        <v>159</v>
      </c>
      <c r="P195" s="77"/>
      <c r="Q195" s="31"/>
      <c r="R195" s="63"/>
    </row>
    <row r="196" spans="1:18" ht="39.75" hidden="1" customHeight="1" x14ac:dyDescent="0.25">
      <c r="A196" s="78">
        <f>IF(B196="","",COUNTA($B$7:B195))</f>
        <v>189</v>
      </c>
      <c r="B196" s="85">
        <v>46078</v>
      </c>
      <c r="C196" s="77" t="s">
        <v>208</v>
      </c>
      <c r="D196" s="77" t="s">
        <v>334</v>
      </c>
      <c r="E196" s="77" t="s">
        <v>555</v>
      </c>
      <c r="F196" s="77" t="s">
        <v>118</v>
      </c>
      <c r="G196" s="77" t="s">
        <v>556</v>
      </c>
      <c r="H196" s="131" t="s">
        <v>118</v>
      </c>
      <c r="I196" s="86" t="str">
        <f t="shared" si="4"/>
        <v>LENC</v>
      </c>
      <c r="J196" s="86" t="str">
        <f t="shared" si="5"/>
        <v>26</v>
      </c>
      <c r="K196" s="77" t="s">
        <v>557</v>
      </c>
      <c r="L196" s="77">
        <v>2</v>
      </c>
      <c r="M196" s="77" t="s">
        <v>558</v>
      </c>
      <c r="N196" s="88" t="s">
        <v>559</v>
      </c>
      <c r="O196" s="77" t="s">
        <v>126</v>
      </c>
      <c r="P196" s="77"/>
      <c r="Q196" s="31"/>
      <c r="R196" s="63"/>
    </row>
    <row r="197" spans="1:18" ht="39.75" hidden="1" customHeight="1" x14ac:dyDescent="0.25">
      <c r="A197" s="78">
        <f>IF(B197="","",COUNTA($B$7:B196))</f>
        <v>190</v>
      </c>
      <c r="B197" s="85">
        <v>46057</v>
      </c>
      <c r="C197" s="77" t="s">
        <v>360</v>
      </c>
      <c r="D197" s="77" t="s">
        <v>336</v>
      </c>
      <c r="E197" s="77" t="s">
        <v>360</v>
      </c>
      <c r="F197" s="77" t="s">
        <v>118</v>
      </c>
      <c r="G197" s="77">
        <v>20956</v>
      </c>
      <c r="H197" s="131" t="s">
        <v>118</v>
      </c>
      <c r="I197" s="86" t="str">
        <f t="shared" si="4"/>
        <v>LENC</v>
      </c>
      <c r="J197" s="86" t="str">
        <f t="shared" si="5"/>
        <v>26</v>
      </c>
      <c r="K197" s="77" t="s">
        <v>69</v>
      </c>
      <c r="L197" s="77">
        <v>1</v>
      </c>
      <c r="M197" s="77" t="s">
        <v>69</v>
      </c>
      <c r="N197" s="88" t="s">
        <v>149</v>
      </c>
      <c r="O197" s="77" t="s">
        <v>121</v>
      </c>
      <c r="P197" s="121" t="s">
        <v>560</v>
      </c>
      <c r="Q197" s="31"/>
      <c r="R197" s="63"/>
    </row>
    <row r="198" spans="1:18" ht="39.75" hidden="1" customHeight="1" x14ac:dyDescent="0.25">
      <c r="A198" s="78">
        <f>IF(B198="","",COUNTA($B$7:B197))</f>
        <v>191</v>
      </c>
      <c r="B198" s="85">
        <v>46078</v>
      </c>
      <c r="C198" s="77" t="s">
        <v>561</v>
      </c>
      <c r="D198" s="77" t="s">
        <v>339</v>
      </c>
      <c r="E198" s="77" t="s">
        <v>561</v>
      </c>
      <c r="F198" s="77" t="s">
        <v>118</v>
      </c>
      <c r="G198" s="77" t="s">
        <v>69</v>
      </c>
      <c r="H198" s="131" t="s">
        <v>118</v>
      </c>
      <c r="I198" s="86" t="str">
        <f t="shared" si="4"/>
        <v>LENC</v>
      </c>
      <c r="J198" s="86" t="str">
        <f t="shared" si="5"/>
        <v>26</v>
      </c>
      <c r="K198" s="77" t="s">
        <v>562</v>
      </c>
      <c r="L198" s="77">
        <v>3</v>
      </c>
      <c r="M198" s="77" t="s">
        <v>563</v>
      </c>
      <c r="N198" s="88">
        <v>66</v>
      </c>
      <c r="O198" s="77" t="s">
        <v>159</v>
      </c>
      <c r="P198" s="77" t="s">
        <v>183</v>
      </c>
      <c r="Q198" s="31"/>
      <c r="R198" s="63"/>
    </row>
    <row r="199" spans="1:18" ht="39.75" hidden="1" customHeight="1" x14ac:dyDescent="0.25">
      <c r="A199" s="78">
        <f>IF(B199="","",COUNTA($B$7:B198))</f>
        <v>192</v>
      </c>
      <c r="B199" s="85">
        <v>46077</v>
      </c>
      <c r="C199" s="77" t="s">
        <v>115</v>
      </c>
      <c r="D199" s="77" t="s">
        <v>341</v>
      </c>
      <c r="E199" s="77" t="s">
        <v>434</v>
      </c>
      <c r="F199" s="77" t="s">
        <v>118</v>
      </c>
      <c r="G199" s="77" t="s">
        <v>564</v>
      </c>
      <c r="H199" s="131" t="s">
        <v>118</v>
      </c>
      <c r="I199" s="86" t="str">
        <f t="shared" si="4"/>
        <v>LENC</v>
      </c>
      <c r="J199" s="86" t="str">
        <f t="shared" si="5"/>
        <v>26</v>
      </c>
      <c r="K199" s="77" t="s">
        <v>69</v>
      </c>
      <c r="L199" s="77">
        <v>1</v>
      </c>
      <c r="M199" s="77" t="s">
        <v>69</v>
      </c>
      <c r="N199" s="88">
        <v>24</v>
      </c>
      <c r="O199" s="77" t="s">
        <v>159</v>
      </c>
      <c r="P199" s="77"/>
      <c r="Q199" s="31"/>
      <c r="R199" s="63"/>
    </row>
    <row r="200" spans="1:18" ht="39.75" hidden="1" customHeight="1" x14ac:dyDescent="0.25">
      <c r="A200" s="78">
        <f>IF(B200="","",COUNTA($B$7:B199))</f>
        <v>193</v>
      </c>
      <c r="B200" s="85">
        <v>46077</v>
      </c>
      <c r="C200" s="77" t="s">
        <v>150</v>
      </c>
      <c r="D200" s="77" t="s">
        <v>344</v>
      </c>
      <c r="E200" s="77" t="s">
        <v>69</v>
      </c>
      <c r="F200" s="77" t="s">
        <v>118</v>
      </c>
      <c r="G200" s="77" t="s">
        <v>565</v>
      </c>
      <c r="H200" s="131" t="s">
        <v>118</v>
      </c>
      <c r="I200" s="86" t="str">
        <f t="shared" si="4"/>
        <v>LENC</v>
      </c>
      <c r="J200" s="86" t="str">
        <f t="shared" si="5"/>
        <v>26</v>
      </c>
      <c r="K200" s="77" t="s">
        <v>69</v>
      </c>
      <c r="L200" s="77">
        <v>1</v>
      </c>
      <c r="M200" s="77" t="s">
        <v>69</v>
      </c>
      <c r="N200" s="88" t="s">
        <v>295</v>
      </c>
      <c r="O200" s="77" t="s">
        <v>121</v>
      </c>
      <c r="P200" s="77"/>
      <c r="Q200" s="31"/>
      <c r="R200" s="63"/>
    </row>
    <row r="201" spans="1:18" ht="39.75" hidden="1" customHeight="1" x14ac:dyDescent="0.25">
      <c r="A201" s="78">
        <f>IF(B201="","",COUNTA($B$7:B200))</f>
        <v>194</v>
      </c>
      <c r="B201" s="85">
        <v>46078</v>
      </c>
      <c r="C201" s="77" t="s">
        <v>150</v>
      </c>
      <c r="D201" s="77" t="s">
        <v>347</v>
      </c>
      <c r="E201" s="77" t="s">
        <v>69</v>
      </c>
      <c r="F201" s="77" t="s">
        <v>118</v>
      </c>
      <c r="G201" s="77" t="s">
        <v>566</v>
      </c>
      <c r="H201" s="131" t="s">
        <v>118</v>
      </c>
      <c r="I201" s="86" t="str">
        <f t="shared" ref="I201:I264" si="6">IF(B201="","","LENC")</f>
        <v>LENC</v>
      </c>
      <c r="J201" s="86" t="str">
        <f t="shared" ref="J201:J264" si="7">IF(B201="","",TEXT(B201,"yy"))</f>
        <v>26</v>
      </c>
      <c r="K201" s="77" t="s">
        <v>69</v>
      </c>
      <c r="L201" s="77">
        <v>1</v>
      </c>
      <c r="M201" s="77" t="s">
        <v>69</v>
      </c>
      <c r="N201" s="88" t="s">
        <v>295</v>
      </c>
      <c r="O201" s="77" t="s">
        <v>121</v>
      </c>
      <c r="P201" s="77"/>
      <c r="Q201" s="31"/>
      <c r="R201" s="63"/>
    </row>
    <row r="202" spans="1:18" ht="39.75" hidden="1" customHeight="1" x14ac:dyDescent="0.25">
      <c r="A202" s="78">
        <f>IF(B202="","",COUNTA($B$7:B201))</f>
        <v>195</v>
      </c>
      <c r="B202" s="85">
        <v>46077</v>
      </c>
      <c r="C202" s="77" t="s">
        <v>305</v>
      </c>
      <c r="D202" s="77" t="s">
        <v>352</v>
      </c>
      <c r="E202" s="122" t="s">
        <v>567</v>
      </c>
      <c r="F202" s="77" t="s">
        <v>118</v>
      </c>
      <c r="G202" s="77" t="s">
        <v>568</v>
      </c>
      <c r="H202" s="131" t="s">
        <v>118</v>
      </c>
      <c r="I202" s="86" t="str">
        <f t="shared" si="6"/>
        <v>LENC</v>
      </c>
      <c r="J202" s="86" t="str">
        <f t="shared" si="7"/>
        <v>26</v>
      </c>
      <c r="K202" s="77" t="s">
        <v>569</v>
      </c>
      <c r="L202" s="77">
        <v>1</v>
      </c>
      <c r="M202" s="77" t="s">
        <v>570</v>
      </c>
      <c r="N202" s="88">
        <v>57</v>
      </c>
      <c r="O202" s="77" t="s">
        <v>159</v>
      </c>
      <c r="P202" s="77"/>
      <c r="Q202" s="31"/>
      <c r="R202" s="63"/>
    </row>
    <row r="203" spans="1:18" ht="39.75" hidden="1" customHeight="1" x14ac:dyDescent="0.25">
      <c r="A203" s="78">
        <f>IF(B203="","",COUNTA($B$7:B202))</f>
        <v>196</v>
      </c>
      <c r="B203" s="85">
        <v>46078</v>
      </c>
      <c r="C203" s="77" t="s">
        <v>571</v>
      </c>
      <c r="D203" s="77" t="s">
        <v>356</v>
      </c>
      <c r="E203" s="77" t="s">
        <v>572</v>
      </c>
      <c r="F203" s="77" t="s">
        <v>118</v>
      </c>
      <c r="G203" s="77">
        <v>749</v>
      </c>
      <c r="H203" s="131" t="s">
        <v>118</v>
      </c>
      <c r="I203" s="86" t="str">
        <f t="shared" si="6"/>
        <v>LENC</v>
      </c>
      <c r="J203" s="86" t="str">
        <f t="shared" si="7"/>
        <v>26</v>
      </c>
      <c r="K203" s="77" t="s">
        <v>573</v>
      </c>
      <c r="L203" s="77">
        <v>1</v>
      </c>
      <c r="M203" s="77" t="s">
        <v>69</v>
      </c>
      <c r="N203" s="88">
        <v>51</v>
      </c>
      <c r="O203" s="77" t="s">
        <v>159</v>
      </c>
      <c r="P203" s="77"/>
      <c r="Q203" s="31"/>
      <c r="R203" s="63"/>
    </row>
    <row r="204" spans="1:18" ht="39.75" hidden="1" customHeight="1" x14ac:dyDescent="0.25">
      <c r="A204" s="78">
        <f>IF(B204="","",COUNTA($B$7:B203))</f>
        <v>197</v>
      </c>
      <c r="B204" s="85">
        <v>46078</v>
      </c>
      <c r="C204" s="77" t="s">
        <v>571</v>
      </c>
      <c r="D204" s="77" t="s">
        <v>359</v>
      </c>
      <c r="E204" s="77" t="s">
        <v>572</v>
      </c>
      <c r="F204" s="77" t="s">
        <v>118</v>
      </c>
      <c r="G204" s="77">
        <v>750</v>
      </c>
      <c r="H204" s="131" t="s">
        <v>118</v>
      </c>
      <c r="I204" s="86" t="str">
        <f t="shared" si="6"/>
        <v>LENC</v>
      </c>
      <c r="J204" s="86" t="str">
        <f t="shared" si="7"/>
        <v>26</v>
      </c>
      <c r="K204" s="77" t="s">
        <v>573</v>
      </c>
      <c r="L204" s="77">
        <v>1</v>
      </c>
      <c r="M204" s="77" t="s">
        <v>69</v>
      </c>
      <c r="N204" s="88">
        <v>51</v>
      </c>
      <c r="O204" s="77" t="s">
        <v>159</v>
      </c>
      <c r="P204" s="77"/>
      <c r="Q204" s="31"/>
      <c r="R204" s="63"/>
    </row>
    <row r="205" spans="1:18" ht="39.75" hidden="1" customHeight="1" x14ac:dyDescent="0.25">
      <c r="A205" s="78">
        <f>IF(B205="","",COUNTA($B$7:B204))</f>
        <v>198</v>
      </c>
      <c r="B205" s="85">
        <f>-[1]Portada!$J$44</f>
        <v>0</v>
      </c>
      <c r="C205" s="77" t="s">
        <v>571</v>
      </c>
      <c r="D205" s="77" t="s">
        <v>362</v>
      </c>
      <c r="E205" s="77" t="s">
        <v>572</v>
      </c>
      <c r="F205" s="77" t="s">
        <v>118</v>
      </c>
      <c r="G205" s="77">
        <v>751</v>
      </c>
      <c r="H205" s="131" t="s">
        <v>118</v>
      </c>
      <c r="I205" s="86" t="str">
        <f t="shared" si="6"/>
        <v>LENC</v>
      </c>
      <c r="J205" s="86" t="str">
        <f t="shared" si="7"/>
        <v>00</v>
      </c>
      <c r="K205" s="77" t="s">
        <v>573</v>
      </c>
      <c r="L205" s="77">
        <v>1</v>
      </c>
      <c r="M205" s="77" t="s">
        <v>69</v>
      </c>
      <c r="N205" s="88">
        <v>51</v>
      </c>
      <c r="O205" s="77" t="s">
        <v>159</v>
      </c>
      <c r="P205" s="77"/>
      <c r="Q205" s="31"/>
      <c r="R205" s="63"/>
    </row>
    <row r="206" spans="1:18" ht="39.75" hidden="1" customHeight="1" x14ac:dyDescent="0.25">
      <c r="A206" s="78">
        <f>IF(B206="","",COUNTA($B$7:B205))</f>
        <v>199</v>
      </c>
      <c r="B206" s="85">
        <v>46078</v>
      </c>
      <c r="C206" s="77" t="s">
        <v>571</v>
      </c>
      <c r="D206" s="77" t="s">
        <v>365</v>
      </c>
      <c r="E206" s="77" t="s">
        <v>572</v>
      </c>
      <c r="F206" s="77" t="s">
        <v>118</v>
      </c>
      <c r="G206" s="77">
        <v>752</v>
      </c>
      <c r="H206" s="131" t="s">
        <v>118</v>
      </c>
      <c r="I206" s="86" t="str">
        <f t="shared" si="6"/>
        <v>LENC</v>
      </c>
      <c r="J206" s="86" t="str">
        <f t="shared" si="7"/>
        <v>26</v>
      </c>
      <c r="K206" s="77" t="s">
        <v>573</v>
      </c>
      <c r="L206" s="77">
        <v>1</v>
      </c>
      <c r="M206" s="77" t="s">
        <v>69</v>
      </c>
      <c r="N206" s="88">
        <v>51</v>
      </c>
      <c r="O206" s="77" t="s">
        <v>159</v>
      </c>
      <c r="P206" s="77"/>
      <c r="Q206" s="31"/>
      <c r="R206" s="63"/>
    </row>
    <row r="207" spans="1:18" ht="39.75" hidden="1" customHeight="1" x14ac:dyDescent="0.25">
      <c r="A207" s="78">
        <f>IF(B207="","",COUNTA($B$7:B206))</f>
        <v>200</v>
      </c>
      <c r="B207" s="85">
        <v>46078</v>
      </c>
      <c r="C207" s="77" t="s">
        <v>208</v>
      </c>
      <c r="D207" s="77" t="s">
        <v>359</v>
      </c>
      <c r="E207" s="77" t="s">
        <v>574</v>
      </c>
      <c r="F207" s="77" t="s">
        <v>118</v>
      </c>
      <c r="G207" s="110" t="s">
        <v>575</v>
      </c>
      <c r="H207" s="131" t="s">
        <v>118</v>
      </c>
      <c r="I207" s="86" t="str">
        <f t="shared" si="6"/>
        <v>LENC</v>
      </c>
      <c r="J207" s="86" t="str">
        <f t="shared" si="7"/>
        <v>26</v>
      </c>
      <c r="K207" s="77" t="s">
        <v>576</v>
      </c>
      <c r="L207" s="77">
        <v>1</v>
      </c>
      <c r="M207" s="77" t="s">
        <v>577</v>
      </c>
      <c r="N207" s="88">
        <v>36</v>
      </c>
      <c r="O207" s="77" t="s">
        <v>159</v>
      </c>
      <c r="P207" s="77"/>
      <c r="Q207" s="31"/>
      <c r="R207" s="63"/>
    </row>
    <row r="208" spans="1:18" ht="39.75" hidden="1" customHeight="1" x14ac:dyDescent="0.25">
      <c r="A208" s="78">
        <f>IF(B208="","",COUNTA($B$7:B207))</f>
        <v>201</v>
      </c>
      <c r="B208" s="85">
        <v>46078</v>
      </c>
      <c r="C208" s="77" t="s">
        <v>529</v>
      </c>
      <c r="D208" s="77" t="s">
        <v>369</v>
      </c>
      <c r="E208" s="77" t="s">
        <v>549</v>
      </c>
      <c r="F208" s="77" t="s">
        <v>118</v>
      </c>
      <c r="G208" s="77" t="s">
        <v>69</v>
      </c>
      <c r="H208" s="131" t="s">
        <v>118</v>
      </c>
      <c r="I208" s="86" t="str">
        <f t="shared" si="6"/>
        <v>LENC</v>
      </c>
      <c r="J208" s="86" t="str">
        <f t="shared" si="7"/>
        <v>26</v>
      </c>
      <c r="K208" s="77" t="s">
        <v>69</v>
      </c>
      <c r="L208" s="77">
        <v>1</v>
      </c>
      <c r="M208" s="77" t="s">
        <v>69</v>
      </c>
      <c r="N208" s="88" t="s">
        <v>295</v>
      </c>
      <c r="O208" s="77" t="s">
        <v>121</v>
      </c>
      <c r="P208" s="77"/>
      <c r="Q208" s="31"/>
      <c r="R208" s="63"/>
    </row>
    <row r="209" spans="1:18" ht="39.75" hidden="1" customHeight="1" x14ac:dyDescent="0.25">
      <c r="A209" s="78">
        <f>IF(B209="","",COUNTA($B$7:B208))</f>
        <v>202</v>
      </c>
      <c r="B209" s="85">
        <v>46078</v>
      </c>
      <c r="C209" s="77" t="s">
        <v>578</v>
      </c>
      <c r="D209" s="77" t="s">
        <v>372</v>
      </c>
      <c r="E209" s="77" t="s">
        <v>579</v>
      </c>
      <c r="F209" s="77" t="s">
        <v>118</v>
      </c>
      <c r="G209" s="77" t="s">
        <v>580</v>
      </c>
      <c r="H209" s="131" t="s">
        <v>118</v>
      </c>
      <c r="I209" s="86" t="str">
        <f t="shared" si="6"/>
        <v>LENC</v>
      </c>
      <c r="J209" s="86" t="str">
        <f t="shared" si="7"/>
        <v>26</v>
      </c>
      <c r="K209" s="77" t="s">
        <v>69</v>
      </c>
      <c r="L209" s="77">
        <v>1</v>
      </c>
      <c r="M209" s="77" t="s">
        <v>581</v>
      </c>
      <c r="N209" s="88" t="s">
        <v>582</v>
      </c>
      <c r="O209" s="77" t="s">
        <v>121</v>
      </c>
      <c r="P209" s="77"/>
      <c r="Q209" s="31"/>
      <c r="R209" s="63"/>
    </row>
    <row r="210" spans="1:18" ht="39.75" hidden="1" customHeight="1" x14ac:dyDescent="0.25">
      <c r="A210" s="78">
        <f>IF(B210="","",COUNTA($B$7:B209))</f>
        <v>203</v>
      </c>
      <c r="B210" s="85">
        <v>45833</v>
      </c>
      <c r="C210" s="77" t="s">
        <v>583</v>
      </c>
      <c r="D210" s="77" t="s">
        <v>374</v>
      </c>
      <c r="E210" s="77" t="s">
        <v>584</v>
      </c>
      <c r="F210" s="77" t="s">
        <v>118</v>
      </c>
      <c r="G210" s="77" t="s">
        <v>585</v>
      </c>
      <c r="H210" s="131" t="s">
        <v>118</v>
      </c>
      <c r="I210" s="86" t="str">
        <f t="shared" si="6"/>
        <v>LENC</v>
      </c>
      <c r="J210" s="86" t="str">
        <f t="shared" si="7"/>
        <v>25</v>
      </c>
      <c r="K210" s="77" t="s">
        <v>586</v>
      </c>
      <c r="L210" s="77">
        <v>1</v>
      </c>
      <c r="M210" s="77" t="s">
        <v>69</v>
      </c>
      <c r="N210" s="88">
        <v>16</v>
      </c>
      <c r="O210" s="77" t="s">
        <v>235</v>
      </c>
      <c r="P210" s="77" t="s">
        <v>587</v>
      </c>
      <c r="Q210" s="31"/>
      <c r="R210" s="63"/>
    </row>
    <row r="211" spans="1:18" ht="39.75" hidden="1" customHeight="1" x14ac:dyDescent="0.25">
      <c r="A211" s="78">
        <f>IF(B211="","",COUNTA($B$7:B210))</f>
        <v>204</v>
      </c>
      <c r="B211" s="85">
        <v>45833</v>
      </c>
      <c r="C211" s="77" t="s">
        <v>583</v>
      </c>
      <c r="D211" s="77" t="s">
        <v>377</v>
      </c>
      <c r="E211" s="77" t="s">
        <v>584</v>
      </c>
      <c r="F211" s="77" t="s">
        <v>118</v>
      </c>
      <c r="G211" s="77" t="s">
        <v>588</v>
      </c>
      <c r="H211" s="131" t="s">
        <v>118</v>
      </c>
      <c r="I211" s="86" t="str">
        <f t="shared" si="6"/>
        <v>LENC</v>
      </c>
      <c r="J211" s="86" t="str">
        <f t="shared" si="7"/>
        <v>25</v>
      </c>
      <c r="K211" s="77" t="s">
        <v>586</v>
      </c>
      <c r="L211" s="77">
        <v>1</v>
      </c>
      <c r="M211" s="77" t="s">
        <v>69</v>
      </c>
      <c r="N211" s="88">
        <v>16</v>
      </c>
      <c r="O211" s="77" t="s">
        <v>235</v>
      </c>
      <c r="P211" s="77" t="s">
        <v>587</v>
      </c>
      <c r="Q211" s="31"/>
      <c r="R211" s="63"/>
    </row>
    <row r="212" spans="1:18" ht="39.75" hidden="1" customHeight="1" x14ac:dyDescent="0.25">
      <c r="A212" s="78">
        <f>IF(B212="","",COUNTA($B$7:B211))</f>
        <v>205</v>
      </c>
      <c r="B212" s="85">
        <v>45833</v>
      </c>
      <c r="C212" s="77" t="s">
        <v>583</v>
      </c>
      <c r="D212" s="77" t="s">
        <v>380</v>
      </c>
      <c r="E212" s="77" t="s">
        <v>584</v>
      </c>
      <c r="F212" s="77" t="s">
        <v>118</v>
      </c>
      <c r="G212" s="77" t="s">
        <v>69</v>
      </c>
      <c r="H212" s="131" t="s">
        <v>118</v>
      </c>
      <c r="I212" s="86" t="str">
        <f t="shared" si="6"/>
        <v>LENC</v>
      </c>
      <c r="J212" s="86" t="str">
        <f t="shared" si="7"/>
        <v>25</v>
      </c>
      <c r="K212" s="77" t="s">
        <v>69</v>
      </c>
      <c r="L212" s="77">
        <v>1</v>
      </c>
      <c r="M212" s="77" t="s">
        <v>69</v>
      </c>
      <c r="N212" s="88">
        <v>16</v>
      </c>
      <c r="O212" s="77" t="s">
        <v>235</v>
      </c>
      <c r="P212" s="77" t="s">
        <v>587</v>
      </c>
      <c r="Q212" s="31"/>
      <c r="R212" s="63"/>
    </row>
    <row r="213" spans="1:18" ht="39.75" hidden="1" customHeight="1" x14ac:dyDescent="0.25">
      <c r="A213" s="78">
        <f>IF(B213="","",COUNTA($B$7:B212))</f>
        <v>206</v>
      </c>
      <c r="B213" s="85">
        <v>45995</v>
      </c>
      <c r="C213" s="77" t="s">
        <v>152</v>
      </c>
      <c r="D213" s="77" t="s">
        <v>383</v>
      </c>
      <c r="E213" s="77" t="s">
        <v>152</v>
      </c>
      <c r="F213" s="77" t="s">
        <v>118</v>
      </c>
      <c r="G213" s="77" t="s">
        <v>589</v>
      </c>
      <c r="H213" s="131" t="s">
        <v>118</v>
      </c>
      <c r="I213" s="86" t="str">
        <f t="shared" si="6"/>
        <v>LENC</v>
      </c>
      <c r="J213" s="86" t="str">
        <f t="shared" si="7"/>
        <v>25</v>
      </c>
      <c r="K213" s="77" t="s">
        <v>69</v>
      </c>
      <c r="L213" s="77">
        <v>1</v>
      </c>
      <c r="M213" s="77" t="s">
        <v>69</v>
      </c>
      <c r="N213" s="88">
        <v>16</v>
      </c>
      <c r="O213" s="77" t="s">
        <v>235</v>
      </c>
      <c r="P213" s="77" t="s">
        <v>587</v>
      </c>
      <c r="Q213" s="31"/>
      <c r="R213" s="63"/>
    </row>
    <row r="214" spans="1:18" ht="39.75" hidden="1" customHeight="1" x14ac:dyDescent="0.25">
      <c r="A214" s="78">
        <f>IF(B214="","",COUNTA($B$7:B213))</f>
        <v>207</v>
      </c>
      <c r="B214" s="85">
        <v>45996</v>
      </c>
      <c r="C214" s="77" t="s">
        <v>152</v>
      </c>
      <c r="D214" s="77" t="s">
        <v>116</v>
      </c>
      <c r="E214" s="77" t="s">
        <v>152</v>
      </c>
      <c r="F214" s="77" t="s">
        <v>118</v>
      </c>
      <c r="G214" s="77">
        <v>20888</v>
      </c>
      <c r="H214" s="131" t="s">
        <v>118</v>
      </c>
      <c r="I214" s="86" t="str">
        <f t="shared" si="6"/>
        <v>LENC</v>
      </c>
      <c r="J214" s="86" t="str">
        <f t="shared" si="7"/>
        <v>25</v>
      </c>
      <c r="K214" s="77" t="s">
        <v>69</v>
      </c>
      <c r="L214" s="77">
        <v>1</v>
      </c>
      <c r="M214" s="77" t="s">
        <v>69</v>
      </c>
      <c r="N214" s="88">
        <v>16</v>
      </c>
      <c r="O214" s="77" t="s">
        <v>235</v>
      </c>
      <c r="P214" s="77" t="s">
        <v>587</v>
      </c>
      <c r="Q214" s="31"/>
      <c r="R214" s="63"/>
    </row>
    <row r="215" spans="1:18" ht="39.75" hidden="1" customHeight="1" x14ac:dyDescent="0.25">
      <c r="A215" s="78">
        <f>IF(B215="","",COUNTA($B$7:B214))</f>
        <v>208</v>
      </c>
      <c r="B215" s="85">
        <v>45997</v>
      </c>
      <c r="C215" s="77" t="s">
        <v>152</v>
      </c>
      <c r="D215" s="77" t="s">
        <v>123</v>
      </c>
      <c r="E215" s="77" t="s">
        <v>152</v>
      </c>
      <c r="F215" s="77" t="s">
        <v>118</v>
      </c>
      <c r="G215" s="77">
        <v>20906</v>
      </c>
      <c r="H215" s="131" t="s">
        <v>118</v>
      </c>
      <c r="I215" s="86" t="str">
        <f t="shared" si="6"/>
        <v>LENC</v>
      </c>
      <c r="J215" s="86" t="str">
        <f t="shared" si="7"/>
        <v>25</v>
      </c>
      <c r="K215" s="77" t="s">
        <v>69</v>
      </c>
      <c r="L215" s="77">
        <v>1</v>
      </c>
      <c r="M215" s="77" t="s">
        <v>69</v>
      </c>
      <c r="N215" s="88">
        <v>16</v>
      </c>
      <c r="O215" s="77" t="s">
        <v>235</v>
      </c>
      <c r="P215" s="77" t="s">
        <v>587</v>
      </c>
      <c r="Q215" s="31"/>
      <c r="R215" s="63"/>
    </row>
    <row r="216" spans="1:18" ht="39.75" hidden="1" customHeight="1" x14ac:dyDescent="0.25">
      <c r="A216" s="78">
        <f>IF(B216="","",COUNTA($B$7:B215))</f>
        <v>209</v>
      </c>
      <c r="B216" s="85">
        <v>45998</v>
      </c>
      <c r="C216" s="77" t="s">
        <v>152</v>
      </c>
      <c r="D216" s="77" t="s">
        <v>127</v>
      </c>
      <c r="E216" s="77" t="s">
        <v>152</v>
      </c>
      <c r="F216" s="77" t="s">
        <v>118</v>
      </c>
      <c r="G216" s="77">
        <v>18604</v>
      </c>
      <c r="H216" s="131" t="s">
        <v>118</v>
      </c>
      <c r="I216" s="86" t="str">
        <f t="shared" si="6"/>
        <v>LENC</v>
      </c>
      <c r="J216" s="86" t="str">
        <f t="shared" si="7"/>
        <v>25</v>
      </c>
      <c r="K216" s="77" t="s">
        <v>69</v>
      </c>
      <c r="L216" s="77">
        <v>1</v>
      </c>
      <c r="M216" s="77" t="s">
        <v>69</v>
      </c>
      <c r="N216" s="88">
        <v>16</v>
      </c>
      <c r="O216" s="77" t="s">
        <v>235</v>
      </c>
      <c r="P216" s="77" t="s">
        <v>587</v>
      </c>
      <c r="Q216" s="31"/>
      <c r="R216" s="63"/>
    </row>
    <row r="217" spans="1:18" ht="39.75" hidden="1" customHeight="1" x14ac:dyDescent="0.25">
      <c r="A217" s="78">
        <f>IF(B217="","",COUNTA($B$7:B216))</f>
        <v>210</v>
      </c>
      <c r="B217" s="85">
        <v>45999</v>
      </c>
      <c r="C217" s="77" t="s">
        <v>152</v>
      </c>
      <c r="D217" s="77" t="s">
        <v>133</v>
      </c>
      <c r="E217" s="77" t="s">
        <v>152</v>
      </c>
      <c r="F217" s="77" t="s">
        <v>118</v>
      </c>
      <c r="G217" s="77">
        <v>17552</v>
      </c>
      <c r="H217" s="131" t="s">
        <v>118</v>
      </c>
      <c r="I217" s="86" t="str">
        <f t="shared" si="6"/>
        <v>LENC</v>
      </c>
      <c r="J217" s="86" t="str">
        <f t="shared" si="7"/>
        <v>25</v>
      </c>
      <c r="K217" s="77" t="s">
        <v>69</v>
      </c>
      <c r="L217" s="77">
        <v>1</v>
      </c>
      <c r="M217" s="77" t="s">
        <v>69</v>
      </c>
      <c r="N217" s="88">
        <v>16</v>
      </c>
      <c r="O217" s="77" t="s">
        <v>235</v>
      </c>
      <c r="P217" s="77" t="s">
        <v>587</v>
      </c>
      <c r="Q217" s="31"/>
      <c r="R217" s="63"/>
    </row>
    <row r="218" spans="1:18" ht="39.75" hidden="1" customHeight="1" x14ac:dyDescent="0.25">
      <c r="A218" s="78">
        <f>IF(B218="","",COUNTA($B$7:B217))</f>
        <v>211</v>
      </c>
      <c r="B218" s="85">
        <v>45908</v>
      </c>
      <c r="C218" s="77" t="s">
        <v>152</v>
      </c>
      <c r="D218" s="77" t="s">
        <v>135</v>
      </c>
      <c r="E218" s="77" t="s">
        <v>152</v>
      </c>
      <c r="F218" s="77" t="s">
        <v>118</v>
      </c>
      <c r="G218" s="77">
        <v>18611</v>
      </c>
      <c r="H218" s="131" t="s">
        <v>118</v>
      </c>
      <c r="I218" s="86" t="str">
        <f t="shared" si="6"/>
        <v>LENC</v>
      </c>
      <c r="J218" s="86" t="str">
        <f t="shared" si="7"/>
        <v>25</v>
      </c>
      <c r="K218" s="77" t="s">
        <v>69</v>
      </c>
      <c r="L218" s="77">
        <v>1</v>
      </c>
      <c r="M218" s="77" t="s">
        <v>69</v>
      </c>
      <c r="N218" s="88">
        <v>16</v>
      </c>
      <c r="O218" s="77" t="s">
        <v>235</v>
      </c>
      <c r="P218" s="77" t="s">
        <v>587</v>
      </c>
      <c r="Q218" s="31"/>
      <c r="R218" s="63"/>
    </row>
    <row r="219" spans="1:18" ht="39.75" hidden="1" customHeight="1" x14ac:dyDescent="0.25">
      <c r="A219" s="78">
        <f>IF(B219="","",COUNTA($B$7:B218))</f>
        <v>212</v>
      </c>
      <c r="B219" s="85">
        <v>46078</v>
      </c>
      <c r="C219" s="77" t="s">
        <v>544</v>
      </c>
      <c r="D219" s="77" t="s">
        <v>139</v>
      </c>
      <c r="E219" s="77" t="s">
        <v>590</v>
      </c>
      <c r="F219" s="77" t="s">
        <v>118</v>
      </c>
      <c r="G219" s="77" t="s">
        <v>591</v>
      </c>
      <c r="H219" s="131" t="s">
        <v>118</v>
      </c>
      <c r="I219" s="86" t="str">
        <f t="shared" si="6"/>
        <v>LENC</v>
      </c>
      <c r="J219" s="86" t="str">
        <f t="shared" si="7"/>
        <v>26</v>
      </c>
      <c r="K219" s="77" t="s">
        <v>592</v>
      </c>
      <c r="L219" s="77">
        <v>1</v>
      </c>
      <c r="M219" s="77" t="s">
        <v>593</v>
      </c>
      <c r="N219" s="88">
        <v>56</v>
      </c>
      <c r="O219" s="77" t="s">
        <v>121</v>
      </c>
      <c r="P219" s="77"/>
      <c r="Q219" s="31"/>
      <c r="R219" s="63"/>
    </row>
    <row r="220" spans="1:18" ht="39.75" hidden="1" customHeight="1" x14ac:dyDescent="0.25">
      <c r="A220" s="78">
        <f>IF(B220="","",COUNTA($B$7:B219))</f>
        <v>213</v>
      </c>
      <c r="B220" s="85">
        <v>46078</v>
      </c>
      <c r="C220" s="77" t="s">
        <v>544</v>
      </c>
      <c r="D220" s="77" t="s">
        <v>146</v>
      </c>
      <c r="E220" s="77" t="s">
        <v>590</v>
      </c>
      <c r="F220" s="77" t="s">
        <v>118</v>
      </c>
      <c r="G220" s="77" t="s">
        <v>594</v>
      </c>
      <c r="H220" s="131" t="s">
        <v>118</v>
      </c>
      <c r="I220" s="86" t="str">
        <f t="shared" si="6"/>
        <v>LENC</v>
      </c>
      <c r="J220" s="86" t="str">
        <f t="shared" si="7"/>
        <v>26</v>
      </c>
      <c r="K220" s="77" t="s">
        <v>592</v>
      </c>
      <c r="L220" s="77">
        <v>1</v>
      </c>
      <c r="M220" s="77" t="s">
        <v>593</v>
      </c>
      <c r="N220" s="88">
        <v>56</v>
      </c>
      <c r="O220" s="77" t="s">
        <v>121</v>
      </c>
      <c r="P220" s="77"/>
      <c r="Q220" s="31"/>
      <c r="R220" s="63"/>
    </row>
    <row r="221" spans="1:18" ht="39.75" hidden="1" customHeight="1" x14ac:dyDescent="0.25">
      <c r="A221" s="78">
        <f>IF(B221="","",COUNTA($B$7:B220))</f>
        <v>214</v>
      </c>
      <c r="B221" s="85">
        <v>46078</v>
      </c>
      <c r="C221" s="77" t="s">
        <v>595</v>
      </c>
      <c r="D221" s="77" t="s">
        <v>596</v>
      </c>
      <c r="E221" s="77" t="s">
        <v>597</v>
      </c>
      <c r="F221" s="77" t="s">
        <v>118</v>
      </c>
      <c r="G221" s="77">
        <v>21652</v>
      </c>
      <c r="H221" s="131" t="s">
        <v>118</v>
      </c>
      <c r="I221" s="86" t="str">
        <f t="shared" si="6"/>
        <v>LENC</v>
      </c>
      <c r="J221" s="86" t="str">
        <f t="shared" si="7"/>
        <v>26</v>
      </c>
      <c r="K221" s="77" t="s">
        <v>598</v>
      </c>
      <c r="L221" s="77">
        <v>1</v>
      </c>
      <c r="M221" s="77" t="s">
        <v>599</v>
      </c>
      <c r="N221" s="88" t="s">
        <v>600</v>
      </c>
      <c r="O221" s="77" t="s">
        <v>121</v>
      </c>
      <c r="P221" s="77"/>
      <c r="Q221" s="31"/>
      <c r="R221" s="63"/>
    </row>
    <row r="222" spans="1:18" ht="39.75" hidden="1" customHeight="1" x14ac:dyDescent="0.25">
      <c r="A222" s="78">
        <f>IF(B222="","",COUNTA($B$7:B221))</f>
        <v>215</v>
      </c>
      <c r="B222" s="85">
        <v>46078</v>
      </c>
      <c r="C222" s="77" t="s">
        <v>595</v>
      </c>
      <c r="D222" s="77" t="s">
        <v>154</v>
      </c>
      <c r="E222" s="77" t="s">
        <v>597</v>
      </c>
      <c r="F222" s="77" t="s">
        <v>118</v>
      </c>
      <c r="G222" s="77">
        <v>21653</v>
      </c>
      <c r="H222" s="131" t="s">
        <v>118</v>
      </c>
      <c r="I222" s="86" t="str">
        <f t="shared" si="6"/>
        <v>LENC</v>
      </c>
      <c r="J222" s="86" t="str">
        <f t="shared" si="7"/>
        <v>26</v>
      </c>
      <c r="K222" s="77" t="s">
        <v>598</v>
      </c>
      <c r="L222" s="77">
        <v>1</v>
      </c>
      <c r="M222" s="77" t="s">
        <v>69</v>
      </c>
      <c r="N222" s="88" t="s">
        <v>295</v>
      </c>
      <c r="O222" s="77" t="s">
        <v>121</v>
      </c>
      <c r="P222" s="77"/>
      <c r="Q222" s="31"/>
      <c r="R222" s="63"/>
    </row>
    <row r="223" spans="1:18" ht="39.75" hidden="1" customHeight="1" x14ac:dyDescent="0.25">
      <c r="A223" s="78">
        <f>IF(B223="","",COUNTA($B$7:B222))</f>
        <v>216</v>
      </c>
      <c r="B223" s="85">
        <v>46078</v>
      </c>
      <c r="C223" s="77" t="s">
        <v>595</v>
      </c>
      <c r="D223" s="77" t="s">
        <v>160</v>
      </c>
      <c r="E223" s="77" t="s">
        <v>597</v>
      </c>
      <c r="F223" s="77" t="s">
        <v>118</v>
      </c>
      <c r="G223" s="77">
        <v>21654</v>
      </c>
      <c r="H223" s="131" t="s">
        <v>118</v>
      </c>
      <c r="I223" s="86" t="str">
        <f t="shared" si="6"/>
        <v>LENC</v>
      </c>
      <c r="J223" s="86" t="str">
        <f t="shared" si="7"/>
        <v>26</v>
      </c>
      <c r="K223" s="77" t="s">
        <v>598</v>
      </c>
      <c r="L223" s="77">
        <v>1</v>
      </c>
      <c r="M223" s="77" t="s">
        <v>69</v>
      </c>
      <c r="N223" s="88" t="s">
        <v>295</v>
      </c>
      <c r="O223" s="77" t="s">
        <v>121</v>
      </c>
      <c r="P223" s="77"/>
      <c r="Q223" s="31"/>
      <c r="R223" s="63"/>
    </row>
    <row r="224" spans="1:18" ht="39.75" hidden="1" customHeight="1" x14ac:dyDescent="0.25">
      <c r="A224" s="78">
        <f>IF(B224="","",COUNTA($B$7:B223))</f>
        <v>217</v>
      </c>
      <c r="B224" s="85">
        <v>46079</v>
      </c>
      <c r="C224" s="77" t="s">
        <v>351</v>
      </c>
      <c r="D224" s="77" t="s">
        <v>162</v>
      </c>
      <c r="E224" s="77" t="s">
        <v>353</v>
      </c>
      <c r="F224" s="77" t="s">
        <v>118</v>
      </c>
      <c r="G224" s="77">
        <v>21661</v>
      </c>
      <c r="H224" s="131" t="s">
        <v>118</v>
      </c>
      <c r="I224" s="86" t="str">
        <f t="shared" si="6"/>
        <v>LENC</v>
      </c>
      <c r="J224" s="86" t="str">
        <f t="shared" si="7"/>
        <v>26</v>
      </c>
      <c r="K224" s="77" t="s">
        <v>601</v>
      </c>
      <c r="L224" s="77">
        <v>1</v>
      </c>
      <c r="M224" s="77" t="s">
        <v>602</v>
      </c>
      <c r="N224" s="88" t="s">
        <v>432</v>
      </c>
      <c r="O224" s="77" t="s">
        <v>172</v>
      </c>
      <c r="P224" s="77"/>
      <c r="Q224" s="31"/>
      <c r="R224" s="63"/>
    </row>
    <row r="225" spans="1:18" ht="39.75" hidden="1" customHeight="1" x14ac:dyDescent="0.25">
      <c r="A225" s="78">
        <f>IF(B225="","",COUNTA($B$7:B224))</f>
        <v>218</v>
      </c>
      <c r="B225" s="85">
        <v>46028</v>
      </c>
      <c r="C225" s="77" t="s">
        <v>152</v>
      </c>
      <c r="D225" s="77" t="s">
        <v>164</v>
      </c>
      <c r="E225" s="77" t="s">
        <v>152</v>
      </c>
      <c r="F225" s="77" t="s">
        <v>118</v>
      </c>
      <c r="G225" s="77">
        <v>20794</v>
      </c>
      <c r="H225" s="131" t="s">
        <v>118</v>
      </c>
      <c r="I225" s="86" t="str">
        <f t="shared" si="6"/>
        <v>LENC</v>
      </c>
      <c r="J225" s="86" t="str">
        <f t="shared" si="7"/>
        <v>26</v>
      </c>
      <c r="K225" s="77" t="s">
        <v>69</v>
      </c>
      <c r="L225" s="77">
        <v>1</v>
      </c>
      <c r="M225" s="77" t="s">
        <v>69</v>
      </c>
      <c r="N225" s="88">
        <v>17</v>
      </c>
      <c r="O225" s="77" t="s">
        <v>159</v>
      </c>
      <c r="P225" s="77"/>
      <c r="Q225" s="31"/>
      <c r="R225" s="63"/>
    </row>
    <row r="226" spans="1:18" ht="39.75" hidden="1" customHeight="1" x14ac:dyDescent="0.25">
      <c r="A226" s="78">
        <f>IF(B226="","",COUNTA($B$7:B225))</f>
        <v>219</v>
      </c>
      <c r="B226" s="85">
        <v>46078</v>
      </c>
      <c r="C226" s="77" t="s">
        <v>578</v>
      </c>
      <c r="D226" s="77" t="s">
        <v>167</v>
      </c>
      <c r="E226" s="77" t="s">
        <v>579</v>
      </c>
      <c r="F226" s="77" t="s">
        <v>118</v>
      </c>
      <c r="G226" s="77" t="s">
        <v>603</v>
      </c>
      <c r="H226" s="131" t="s">
        <v>118</v>
      </c>
      <c r="I226" s="86" t="str">
        <f t="shared" si="6"/>
        <v>LENC</v>
      </c>
      <c r="J226" s="86" t="str">
        <f t="shared" si="7"/>
        <v>26</v>
      </c>
      <c r="K226" s="77" t="s">
        <v>69</v>
      </c>
      <c r="L226" s="77">
        <v>1</v>
      </c>
      <c r="M226" s="77" t="s">
        <v>604</v>
      </c>
      <c r="N226" s="88" t="s">
        <v>582</v>
      </c>
      <c r="O226" s="77" t="s">
        <v>121</v>
      </c>
      <c r="P226" s="77"/>
      <c r="Q226" s="31"/>
      <c r="R226" s="63"/>
    </row>
    <row r="227" spans="1:18" ht="39.75" hidden="1" customHeight="1" x14ac:dyDescent="0.25">
      <c r="A227" s="78">
        <f>IF(B227="","",COUNTA($B$7:B226))</f>
        <v>220</v>
      </c>
      <c r="B227" s="85">
        <v>46078</v>
      </c>
      <c r="C227" s="77" t="s">
        <v>578</v>
      </c>
      <c r="D227" s="77" t="s">
        <v>167</v>
      </c>
      <c r="E227" s="77" t="s">
        <v>579</v>
      </c>
      <c r="F227" s="77" t="s">
        <v>118</v>
      </c>
      <c r="G227" s="77" t="s">
        <v>605</v>
      </c>
      <c r="H227" s="131" t="s">
        <v>118</v>
      </c>
      <c r="I227" s="86" t="str">
        <f t="shared" si="6"/>
        <v>LENC</v>
      </c>
      <c r="J227" s="86" t="str">
        <f t="shared" si="7"/>
        <v>26</v>
      </c>
      <c r="K227" s="77" t="s">
        <v>69</v>
      </c>
      <c r="L227" s="77">
        <v>1</v>
      </c>
      <c r="M227" s="77" t="s">
        <v>606</v>
      </c>
      <c r="N227" s="88" t="s">
        <v>582</v>
      </c>
      <c r="O227" s="77" t="s">
        <v>121</v>
      </c>
      <c r="P227" s="77"/>
      <c r="Q227" s="31"/>
      <c r="R227" s="63"/>
    </row>
    <row r="228" spans="1:18" ht="39.75" hidden="1" customHeight="1" x14ac:dyDescent="0.25">
      <c r="A228" s="78">
        <f>IF(B228="","",COUNTA($B$7:B227))</f>
        <v>221</v>
      </c>
      <c r="B228" s="85">
        <v>46080</v>
      </c>
      <c r="C228" s="77" t="s">
        <v>115</v>
      </c>
      <c r="D228" s="77" t="s">
        <v>177</v>
      </c>
      <c r="E228" s="77" t="s">
        <v>607</v>
      </c>
      <c r="F228" s="77" t="s">
        <v>118</v>
      </c>
      <c r="G228" s="77">
        <v>30412</v>
      </c>
      <c r="H228" s="131" t="s">
        <v>118</v>
      </c>
      <c r="I228" s="86" t="str">
        <f t="shared" si="6"/>
        <v>LENC</v>
      </c>
      <c r="J228" s="86" t="str">
        <f t="shared" si="7"/>
        <v>26</v>
      </c>
      <c r="K228" s="77" t="s">
        <v>608</v>
      </c>
      <c r="L228" s="77">
        <v>12</v>
      </c>
      <c r="M228" s="77" t="s">
        <v>609</v>
      </c>
      <c r="N228" s="88"/>
      <c r="O228" s="77" t="s">
        <v>159</v>
      </c>
      <c r="P228" s="77"/>
      <c r="Q228" s="31"/>
      <c r="R228" s="63"/>
    </row>
    <row r="229" spans="1:18" ht="39.75" hidden="1" customHeight="1" x14ac:dyDescent="0.25">
      <c r="A229" s="78">
        <f>IF(B229="","",COUNTA($B$7:B228))</f>
        <v>222</v>
      </c>
      <c r="B229" s="85">
        <v>46080</v>
      </c>
      <c r="C229" s="77" t="s">
        <v>115</v>
      </c>
      <c r="D229" s="77" t="s">
        <v>182</v>
      </c>
      <c r="E229" s="77" t="s">
        <v>607</v>
      </c>
      <c r="F229" s="77" t="s">
        <v>118</v>
      </c>
      <c r="G229" s="77">
        <v>30414</v>
      </c>
      <c r="H229" s="131" t="s">
        <v>118</v>
      </c>
      <c r="I229" s="86" t="str">
        <f t="shared" si="6"/>
        <v>LENC</v>
      </c>
      <c r="J229" s="86" t="str">
        <f t="shared" si="7"/>
        <v>26</v>
      </c>
      <c r="K229" s="77" t="s">
        <v>608</v>
      </c>
      <c r="L229" s="77">
        <v>12</v>
      </c>
      <c r="M229" s="77" t="s">
        <v>609</v>
      </c>
      <c r="N229" s="88"/>
      <c r="O229" s="77" t="s">
        <v>159</v>
      </c>
      <c r="P229" s="77"/>
      <c r="Q229" s="31"/>
      <c r="R229" s="63"/>
    </row>
    <row r="230" spans="1:18" ht="39.75" hidden="1" customHeight="1" x14ac:dyDescent="0.25">
      <c r="A230" s="78">
        <f>IF(B230="","",COUNTA($B$7:B229))</f>
        <v>223</v>
      </c>
      <c r="B230" s="85">
        <v>46062</v>
      </c>
      <c r="C230" s="77" t="s">
        <v>115</v>
      </c>
      <c r="D230" s="77" t="s">
        <v>184</v>
      </c>
      <c r="E230" s="77" t="s">
        <v>434</v>
      </c>
      <c r="F230" s="77" t="s">
        <v>118</v>
      </c>
      <c r="G230" s="77" t="s">
        <v>610</v>
      </c>
      <c r="H230" s="131" t="s">
        <v>118</v>
      </c>
      <c r="I230" s="86" t="str">
        <f t="shared" si="6"/>
        <v>LENC</v>
      </c>
      <c r="J230" s="86" t="str">
        <f t="shared" si="7"/>
        <v>26</v>
      </c>
      <c r="K230" s="77" t="s">
        <v>69</v>
      </c>
      <c r="L230" s="77">
        <v>1</v>
      </c>
      <c r="M230" s="77" t="s">
        <v>69</v>
      </c>
      <c r="N230" s="88">
        <v>20</v>
      </c>
      <c r="O230" s="77" t="s">
        <v>159</v>
      </c>
      <c r="P230" s="77"/>
      <c r="Q230" s="31"/>
      <c r="R230" s="63"/>
    </row>
    <row r="231" spans="1:18" ht="39.75" hidden="1" customHeight="1" x14ac:dyDescent="0.25">
      <c r="A231" s="78">
        <f>IF(B231="","",COUNTA($B$7:B230))</f>
        <v>224</v>
      </c>
      <c r="B231" s="85">
        <v>46080</v>
      </c>
      <c r="C231" s="77" t="s">
        <v>611</v>
      </c>
      <c r="D231" s="77" t="s">
        <v>188</v>
      </c>
      <c r="E231" s="77" t="s">
        <v>612</v>
      </c>
      <c r="F231" s="77" t="s">
        <v>118</v>
      </c>
      <c r="G231" s="77" t="s">
        <v>69</v>
      </c>
      <c r="H231" s="131" t="s">
        <v>118</v>
      </c>
      <c r="I231" s="86" t="str">
        <f t="shared" si="6"/>
        <v>LENC</v>
      </c>
      <c r="J231" s="86" t="str">
        <f t="shared" si="7"/>
        <v>26</v>
      </c>
      <c r="K231" s="77" t="s">
        <v>613</v>
      </c>
      <c r="L231" s="77">
        <v>4</v>
      </c>
      <c r="M231" s="77" t="s">
        <v>614</v>
      </c>
      <c r="N231" s="88" t="s">
        <v>559</v>
      </c>
      <c r="O231" s="77" t="s">
        <v>126</v>
      </c>
      <c r="P231" s="77"/>
      <c r="Q231" s="31"/>
      <c r="R231" s="63"/>
    </row>
    <row r="232" spans="1:18" ht="39.75" hidden="1" customHeight="1" x14ac:dyDescent="0.25">
      <c r="A232" s="78">
        <f>IF(B232="","",COUNTA($B$7:B231))</f>
        <v>225</v>
      </c>
      <c r="B232" s="85">
        <v>46080</v>
      </c>
      <c r="C232" s="77" t="s">
        <v>615</v>
      </c>
      <c r="D232" s="77" t="s">
        <v>616</v>
      </c>
      <c r="E232" s="77" t="s">
        <v>617</v>
      </c>
      <c r="F232" s="77" t="s">
        <v>118</v>
      </c>
      <c r="G232" s="77">
        <v>961900</v>
      </c>
      <c r="H232" s="131" t="s">
        <v>118</v>
      </c>
      <c r="I232" s="86" t="str">
        <f t="shared" si="6"/>
        <v>LENC</v>
      </c>
      <c r="J232" s="86" t="str">
        <f t="shared" si="7"/>
        <v>26</v>
      </c>
      <c r="K232" s="77" t="s">
        <v>618</v>
      </c>
      <c r="L232" s="77">
        <v>2</v>
      </c>
      <c r="M232" s="77" t="s">
        <v>619</v>
      </c>
      <c r="N232" s="88" t="s">
        <v>620</v>
      </c>
      <c r="O232" s="77" t="s">
        <v>126</v>
      </c>
      <c r="P232" s="77"/>
      <c r="Q232" s="31"/>
      <c r="R232" s="63"/>
    </row>
    <row r="233" spans="1:18" ht="39.75" hidden="1" customHeight="1" x14ac:dyDescent="0.25">
      <c r="A233" s="78">
        <f>IF(B233="","",COUNTA($B$7:B232))</f>
        <v>226</v>
      </c>
      <c r="B233" s="85">
        <v>46080</v>
      </c>
      <c r="C233" s="77" t="s">
        <v>150</v>
      </c>
      <c r="D233" s="77" t="s">
        <v>200</v>
      </c>
      <c r="E233" s="77" t="s">
        <v>621</v>
      </c>
      <c r="F233" s="77" t="s">
        <v>118</v>
      </c>
      <c r="G233" s="77" t="s">
        <v>69</v>
      </c>
      <c r="H233" s="131" t="s">
        <v>118</v>
      </c>
      <c r="I233" s="86" t="str">
        <f t="shared" si="6"/>
        <v>LENC</v>
      </c>
      <c r="J233" s="86" t="str">
        <f t="shared" si="7"/>
        <v>26</v>
      </c>
      <c r="K233" s="77" t="s">
        <v>69</v>
      </c>
      <c r="L233" s="77">
        <v>2</v>
      </c>
      <c r="M233" s="77" t="s">
        <v>69</v>
      </c>
      <c r="N233" s="88" t="s">
        <v>308</v>
      </c>
      <c r="O233" s="77" t="s">
        <v>121</v>
      </c>
      <c r="P233" s="77"/>
      <c r="Q233" s="31"/>
      <c r="R233" s="63"/>
    </row>
    <row r="234" spans="1:18" ht="39.75" hidden="1" customHeight="1" x14ac:dyDescent="0.25">
      <c r="A234" s="78">
        <f>IF(B234="","",COUNTA($B$7:B233))</f>
        <v>227</v>
      </c>
      <c r="B234" s="85">
        <v>46083</v>
      </c>
      <c r="C234" s="77" t="s">
        <v>305</v>
      </c>
      <c r="D234" s="77" t="s">
        <v>202</v>
      </c>
      <c r="E234" s="77" t="s">
        <v>622</v>
      </c>
      <c r="F234" s="77" t="s">
        <v>118</v>
      </c>
      <c r="G234" s="77" t="s">
        <v>623</v>
      </c>
      <c r="H234" s="131" t="s">
        <v>118</v>
      </c>
      <c r="I234" s="86" t="str">
        <f t="shared" si="6"/>
        <v>LENC</v>
      </c>
      <c r="J234" s="86" t="str">
        <f t="shared" si="7"/>
        <v>26</v>
      </c>
      <c r="K234" s="77" t="s">
        <v>624</v>
      </c>
      <c r="L234" s="77">
        <v>1</v>
      </c>
      <c r="M234" s="77" t="s">
        <v>625</v>
      </c>
      <c r="N234" s="88">
        <v>58</v>
      </c>
      <c r="O234" s="77" t="s">
        <v>159</v>
      </c>
      <c r="P234" s="77" t="s">
        <v>626</v>
      </c>
      <c r="Q234" s="31"/>
      <c r="R234" s="63"/>
    </row>
    <row r="235" spans="1:18" ht="39.75" hidden="1" customHeight="1" x14ac:dyDescent="0.25">
      <c r="A235" s="78">
        <f>IF(B235="","",COUNTA($B$7:B234))</f>
        <v>228</v>
      </c>
      <c r="B235" s="85">
        <v>46083</v>
      </c>
      <c r="C235" s="77" t="s">
        <v>351</v>
      </c>
      <c r="D235" s="77" t="s">
        <v>188</v>
      </c>
      <c r="E235" s="77" t="s">
        <v>353</v>
      </c>
      <c r="F235" s="77" t="s">
        <v>118</v>
      </c>
      <c r="G235" s="77" t="s">
        <v>69</v>
      </c>
      <c r="H235" s="131" t="s">
        <v>118</v>
      </c>
      <c r="I235" s="86" t="str">
        <f t="shared" si="6"/>
        <v>LENC</v>
      </c>
      <c r="J235" s="86" t="str">
        <f t="shared" si="7"/>
        <v>26</v>
      </c>
      <c r="K235" s="77" t="s">
        <v>69</v>
      </c>
      <c r="L235" s="77">
        <v>1</v>
      </c>
      <c r="M235" s="77" t="s">
        <v>69</v>
      </c>
      <c r="N235" s="88" t="s">
        <v>166</v>
      </c>
      <c r="O235" s="77" t="s">
        <v>121</v>
      </c>
      <c r="P235" s="77"/>
      <c r="Q235" s="31"/>
      <c r="R235" s="63"/>
    </row>
    <row r="236" spans="1:18" ht="39.75" hidden="1" customHeight="1" x14ac:dyDescent="0.25">
      <c r="A236" s="78">
        <f>IF(B236="","",COUNTA($B$7:B235))</f>
        <v>229</v>
      </c>
      <c r="B236" s="85">
        <v>46079</v>
      </c>
      <c r="C236" s="77" t="s">
        <v>405</v>
      </c>
      <c r="D236" s="77" t="s">
        <v>209</v>
      </c>
      <c r="E236" s="77" t="s">
        <v>406</v>
      </c>
      <c r="F236" s="77" t="s">
        <v>118</v>
      </c>
      <c r="G236" s="77" t="s">
        <v>69</v>
      </c>
      <c r="H236" s="131" t="s">
        <v>118</v>
      </c>
      <c r="I236" s="86" t="str">
        <f t="shared" si="6"/>
        <v>LENC</v>
      </c>
      <c r="J236" s="86" t="str">
        <f t="shared" si="7"/>
        <v>26</v>
      </c>
      <c r="K236" s="77" t="s">
        <v>627</v>
      </c>
      <c r="L236" s="77">
        <v>1</v>
      </c>
      <c r="M236" s="77" t="s">
        <v>628</v>
      </c>
      <c r="N236" s="88" t="s">
        <v>419</v>
      </c>
      <c r="O236" s="77" t="s">
        <v>121</v>
      </c>
      <c r="P236" s="77" t="s">
        <v>629</v>
      </c>
      <c r="Q236" s="31"/>
      <c r="R236" s="63"/>
    </row>
    <row r="237" spans="1:18" ht="39.75" hidden="1" customHeight="1" x14ac:dyDescent="0.25">
      <c r="A237" s="78">
        <f>IF(B237="","",COUNTA($B$7:B236))</f>
        <v>230</v>
      </c>
      <c r="B237" s="85">
        <v>46083</v>
      </c>
      <c r="C237" s="77" t="s">
        <v>305</v>
      </c>
      <c r="D237" s="77" t="s">
        <v>211</v>
      </c>
      <c r="E237" s="77" t="s">
        <v>630</v>
      </c>
      <c r="F237" s="77" t="s">
        <v>118</v>
      </c>
      <c r="G237" s="77" t="s">
        <v>631</v>
      </c>
      <c r="H237" s="131" t="s">
        <v>118</v>
      </c>
      <c r="I237" s="86" t="str">
        <f t="shared" si="6"/>
        <v>LENC</v>
      </c>
      <c r="J237" s="86" t="str">
        <f t="shared" si="7"/>
        <v>26</v>
      </c>
      <c r="K237" s="77" t="s">
        <v>69</v>
      </c>
      <c r="L237" s="77">
        <v>1</v>
      </c>
      <c r="M237" s="77" t="s">
        <v>69</v>
      </c>
      <c r="N237" s="88">
        <v>53</v>
      </c>
      <c r="O237" s="77" t="s">
        <v>159</v>
      </c>
      <c r="P237" s="77"/>
      <c r="Q237" s="31"/>
      <c r="R237" s="63"/>
    </row>
    <row r="238" spans="1:18" ht="39.75" hidden="1" customHeight="1" x14ac:dyDescent="0.25">
      <c r="A238" s="78">
        <f>IF(B238="","",COUNTA($B$7:B237))</f>
        <v>231</v>
      </c>
      <c r="B238" s="85">
        <v>46084</v>
      </c>
      <c r="C238" s="77" t="s">
        <v>632</v>
      </c>
      <c r="D238" s="77" t="s">
        <v>217</v>
      </c>
      <c r="E238" s="77" t="s">
        <v>633</v>
      </c>
      <c r="F238" s="77" t="s">
        <v>118</v>
      </c>
      <c r="G238" s="77">
        <v>18905</v>
      </c>
      <c r="H238" s="131" t="s">
        <v>118</v>
      </c>
      <c r="I238" s="86" t="str">
        <f t="shared" si="6"/>
        <v>LENC</v>
      </c>
      <c r="J238" s="86" t="str">
        <f t="shared" si="7"/>
        <v>26</v>
      </c>
      <c r="K238" s="77" t="s">
        <v>69</v>
      </c>
      <c r="L238" s="77">
        <v>1</v>
      </c>
      <c r="M238" s="77" t="s">
        <v>69</v>
      </c>
      <c r="N238" s="88">
        <v>27</v>
      </c>
      <c r="O238" s="77" t="s">
        <v>235</v>
      </c>
      <c r="P238" s="77" t="s">
        <v>634</v>
      </c>
      <c r="Q238" s="31"/>
      <c r="R238" s="63"/>
    </row>
    <row r="239" spans="1:18" ht="39.75" hidden="1" customHeight="1" x14ac:dyDescent="0.25">
      <c r="A239" s="78">
        <f>IF(B239="","",COUNTA($B$7:B238))</f>
        <v>232</v>
      </c>
      <c r="B239" s="85">
        <v>46084</v>
      </c>
      <c r="C239" s="77" t="s">
        <v>632</v>
      </c>
      <c r="D239" s="77" t="s">
        <v>222</v>
      </c>
      <c r="E239" s="77" t="s">
        <v>633</v>
      </c>
      <c r="F239" s="77" t="s">
        <v>118</v>
      </c>
      <c r="G239" s="77">
        <v>18904</v>
      </c>
      <c r="H239" s="131" t="s">
        <v>118</v>
      </c>
      <c r="I239" s="86" t="str">
        <f t="shared" si="6"/>
        <v>LENC</v>
      </c>
      <c r="J239" s="86" t="str">
        <f t="shared" si="7"/>
        <v>26</v>
      </c>
      <c r="K239" s="77" t="s">
        <v>635</v>
      </c>
      <c r="L239" s="77">
        <v>1</v>
      </c>
      <c r="M239" s="77" t="s">
        <v>636</v>
      </c>
      <c r="N239" s="88">
        <v>62</v>
      </c>
      <c r="O239" s="77" t="s">
        <v>126</v>
      </c>
      <c r="P239" s="77"/>
      <c r="Q239" s="31"/>
      <c r="R239" s="63"/>
    </row>
    <row r="240" spans="1:18" ht="39.75" hidden="1" customHeight="1" x14ac:dyDescent="0.25">
      <c r="A240" s="78">
        <f>IF(B240="","",COUNTA($B$7:B239))</f>
        <v>233</v>
      </c>
      <c r="B240" s="85">
        <v>46083</v>
      </c>
      <c r="C240" s="77" t="s">
        <v>115</v>
      </c>
      <c r="D240" s="77" t="s">
        <v>224</v>
      </c>
      <c r="E240" s="77" t="s">
        <v>637</v>
      </c>
      <c r="F240" s="77" t="s">
        <v>118</v>
      </c>
      <c r="G240" s="77">
        <v>3</v>
      </c>
      <c r="H240" s="131" t="s">
        <v>118</v>
      </c>
      <c r="I240" s="86" t="str">
        <f t="shared" si="6"/>
        <v>LENC</v>
      </c>
      <c r="J240" s="86" t="str">
        <f t="shared" si="7"/>
        <v>26</v>
      </c>
      <c r="K240" s="77" t="s">
        <v>69</v>
      </c>
      <c r="L240" s="77">
        <v>1</v>
      </c>
      <c r="M240" s="77" t="s">
        <v>69</v>
      </c>
      <c r="N240" s="88">
        <v>35</v>
      </c>
      <c r="O240" s="77" t="s">
        <v>159</v>
      </c>
      <c r="P240" s="77"/>
      <c r="Q240" s="31"/>
      <c r="R240" s="63"/>
    </row>
    <row r="241" spans="1:18" ht="39.75" hidden="1" customHeight="1" x14ac:dyDescent="0.25">
      <c r="A241" s="78">
        <f>IF(B241="","",COUNTA($B$7:B240))</f>
        <v>234</v>
      </c>
      <c r="B241" s="85">
        <v>46083</v>
      </c>
      <c r="C241" s="77" t="s">
        <v>115</v>
      </c>
      <c r="D241" s="77" t="s">
        <v>229</v>
      </c>
      <c r="E241" s="77" t="s">
        <v>637</v>
      </c>
      <c r="F241" s="77" t="s">
        <v>118</v>
      </c>
      <c r="G241" s="77">
        <v>4</v>
      </c>
      <c r="H241" s="131" t="s">
        <v>118</v>
      </c>
      <c r="I241" s="86" t="str">
        <f t="shared" si="6"/>
        <v>LENC</v>
      </c>
      <c r="J241" s="86" t="str">
        <f t="shared" si="7"/>
        <v>26</v>
      </c>
      <c r="K241" s="77" t="s">
        <v>69</v>
      </c>
      <c r="L241" s="77">
        <v>1</v>
      </c>
      <c r="M241" s="77" t="s">
        <v>69</v>
      </c>
      <c r="N241" s="88">
        <v>35</v>
      </c>
      <c r="O241" s="77" t="s">
        <v>159</v>
      </c>
      <c r="P241" s="77"/>
      <c r="Q241" s="31"/>
      <c r="R241" s="63"/>
    </row>
    <row r="242" spans="1:18" ht="39.75" hidden="1" customHeight="1" x14ac:dyDescent="0.25">
      <c r="A242" s="78">
        <f>IF(B242="","",COUNTA($B$7:B241))</f>
        <v>235</v>
      </c>
      <c r="B242" s="85">
        <v>46083</v>
      </c>
      <c r="C242" s="77" t="s">
        <v>115</v>
      </c>
      <c r="D242" s="77" t="s">
        <v>230</v>
      </c>
      <c r="E242" s="77" t="s">
        <v>637</v>
      </c>
      <c r="F242" s="77" t="s">
        <v>118</v>
      </c>
      <c r="G242" s="77">
        <v>1</v>
      </c>
      <c r="H242" s="131" t="s">
        <v>118</v>
      </c>
      <c r="I242" s="86" t="str">
        <f t="shared" si="6"/>
        <v>LENC</v>
      </c>
      <c r="J242" s="86" t="str">
        <f t="shared" si="7"/>
        <v>26</v>
      </c>
      <c r="K242" s="77" t="s">
        <v>638</v>
      </c>
      <c r="L242" s="77">
        <v>1</v>
      </c>
      <c r="M242" s="77" t="s">
        <v>639</v>
      </c>
      <c r="N242" s="88">
        <v>76</v>
      </c>
      <c r="O242" s="77" t="s">
        <v>159</v>
      </c>
      <c r="P242" s="77"/>
      <c r="Q242" s="31"/>
      <c r="R242" s="63"/>
    </row>
    <row r="243" spans="1:18" ht="39.75" hidden="1" customHeight="1" x14ac:dyDescent="0.25">
      <c r="A243" s="78">
        <f>IF(B243="","",COUNTA($B$7:B242))</f>
        <v>236</v>
      </c>
      <c r="B243" s="85">
        <v>46065</v>
      </c>
      <c r="C243" s="77" t="s">
        <v>152</v>
      </c>
      <c r="D243" s="77" t="s">
        <v>231</v>
      </c>
      <c r="E243" s="77" t="s">
        <v>152</v>
      </c>
      <c r="F243" s="77" t="s">
        <v>118</v>
      </c>
      <c r="G243" s="77" t="s">
        <v>640</v>
      </c>
      <c r="H243" s="131" t="s">
        <v>118</v>
      </c>
      <c r="I243" s="86" t="str">
        <f t="shared" si="6"/>
        <v>LENC</v>
      </c>
      <c r="J243" s="86" t="str">
        <f t="shared" si="7"/>
        <v>26</v>
      </c>
      <c r="K243" s="77" t="s">
        <v>69</v>
      </c>
      <c r="L243" s="77">
        <v>1</v>
      </c>
      <c r="M243" s="77" t="s">
        <v>69</v>
      </c>
      <c r="N243" s="88"/>
      <c r="O243" s="77" t="s">
        <v>121</v>
      </c>
      <c r="P243" s="77"/>
      <c r="Q243" s="31"/>
      <c r="R243" s="63"/>
    </row>
    <row r="244" spans="1:18" ht="39.75" hidden="1" customHeight="1" x14ac:dyDescent="0.25">
      <c r="A244" s="78">
        <f>IF(B244="","",COUNTA($B$7:B243))</f>
        <v>237</v>
      </c>
      <c r="B244" s="85">
        <v>46084</v>
      </c>
      <c r="C244" s="77" t="s">
        <v>48</v>
      </c>
      <c r="D244" s="77" t="s">
        <v>232</v>
      </c>
      <c r="E244" s="77" t="s">
        <v>641</v>
      </c>
      <c r="F244" s="77" t="s">
        <v>118</v>
      </c>
      <c r="G244" s="77">
        <v>23649</v>
      </c>
      <c r="H244" s="131" t="s">
        <v>118</v>
      </c>
      <c r="I244" s="86" t="str">
        <f t="shared" si="6"/>
        <v>LENC</v>
      </c>
      <c r="J244" s="86" t="str">
        <f t="shared" si="7"/>
        <v>26</v>
      </c>
      <c r="K244" s="77" t="s">
        <v>642</v>
      </c>
      <c r="L244" s="77">
        <v>1</v>
      </c>
      <c r="M244" s="77" t="s">
        <v>643</v>
      </c>
      <c r="N244" s="88"/>
      <c r="O244" s="77" t="s">
        <v>172</v>
      </c>
      <c r="P244" s="77" t="s">
        <v>644</v>
      </c>
      <c r="Q244" s="31"/>
      <c r="R244" s="63"/>
    </row>
    <row r="245" spans="1:18" ht="39.75" hidden="1" customHeight="1" x14ac:dyDescent="0.25">
      <c r="A245" s="78">
        <f>IF(B245="","",COUNTA($B$7:B244))</f>
        <v>238</v>
      </c>
      <c r="B245" s="85">
        <v>46084</v>
      </c>
      <c r="C245" s="77" t="s">
        <v>152</v>
      </c>
      <c r="D245" s="77" t="s">
        <v>233</v>
      </c>
      <c r="E245" s="77" t="s">
        <v>645</v>
      </c>
      <c r="F245" s="77" t="s">
        <v>118</v>
      </c>
      <c r="G245" s="77" t="s">
        <v>646</v>
      </c>
      <c r="H245" s="131" t="s">
        <v>118</v>
      </c>
      <c r="I245" s="86" t="str">
        <f t="shared" si="6"/>
        <v>LENC</v>
      </c>
      <c r="J245" s="86" t="str">
        <f t="shared" si="7"/>
        <v>26</v>
      </c>
      <c r="K245" s="77" t="s">
        <v>69</v>
      </c>
      <c r="L245" s="77">
        <v>1</v>
      </c>
      <c r="M245" s="77" t="s">
        <v>69</v>
      </c>
      <c r="N245" s="88" t="s">
        <v>149</v>
      </c>
      <c r="O245" s="77" t="s">
        <v>121</v>
      </c>
      <c r="P245" s="77"/>
      <c r="Q245" s="31"/>
      <c r="R245" s="63"/>
    </row>
    <row r="246" spans="1:18" ht="39.75" hidden="1" customHeight="1" x14ac:dyDescent="0.25">
      <c r="A246" s="78">
        <f>IF(B246="","",COUNTA($B$7:B245))</f>
        <v>239</v>
      </c>
      <c r="B246" s="85">
        <v>46084</v>
      </c>
      <c r="C246" s="77" t="s">
        <v>152</v>
      </c>
      <c r="D246" s="77" t="s">
        <v>234</v>
      </c>
      <c r="E246" s="77" t="s">
        <v>645</v>
      </c>
      <c r="F246" s="77" t="s">
        <v>118</v>
      </c>
      <c r="G246" s="77" t="s">
        <v>647</v>
      </c>
      <c r="H246" s="131" t="s">
        <v>118</v>
      </c>
      <c r="I246" s="86" t="str">
        <f t="shared" si="6"/>
        <v>LENC</v>
      </c>
      <c r="J246" s="86" t="str">
        <f t="shared" si="7"/>
        <v>26</v>
      </c>
      <c r="K246" s="77" t="s">
        <v>69</v>
      </c>
      <c r="L246" s="77">
        <v>2</v>
      </c>
      <c r="M246" s="77" t="s">
        <v>69</v>
      </c>
      <c r="N246" s="88" t="s">
        <v>149</v>
      </c>
      <c r="O246" s="77" t="s">
        <v>121</v>
      </c>
      <c r="P246" s="77"/>
      <c r="Q246" s="31"/>
      <c r="R246" s="63"/>
    </row>
    <row r="247" spans="1:18" ht="39.75" hidden="1" customHeight="1" x14ac:dyDescent="0.25">
      <c r="A247" s="78">
        <f>IF(B247="","",COUNTA($B$7:B246))</f>
        <v>240</v>
      </c>
      <c r="B247" s="85">
        <v>46084</v>
      </c>
      <c r="C247" s="77" t="s">
        <v>152</v>
      </c>
      <c r="D247" s="77" t="s">
        <v>648</v>
      </c>
      <c r="E247" s="77" t="s">
        <v>645</v>
      </c>
      <c r="F247" s="77" t="s">
        <v>118</v>
      </c>
      <c r="G247" s="77" t="s">
        <v>649</v>
      </c>
      <c r="H247" s="131" t="s">
        <v>118</v>
      </c>
      <c r="I247" s="86" t="str">
        <f t="shared" si="6"/>
        <v>LENC</v>
      </c>
      <c r="J247" s="86" t="str">
        <f t="shared" si="7"/>
        <v>26</v>
      </c>
      <c r="K247" s="77" t="s">
        <v>69</v>
      </c>
      <c r="L247" s="77">
        <v>2</v>
      </c>
      <c r="M247" s="77" t="s">
        <v>69</v>
      </c>
      <c r="N247" s="88" t="s">
        <v>149</v>
      </c>
      <c r="O247" s="77" t="s">
        <v>121</v>
      </c>
      <c r="P247" s="77"/>
      <c r="Q247" s="31"/>
      <c r="R247" s="63"/>
    </row>
    <row r="248" spans="1:18" ht="39.75" hidden="1" customHeight="1" x14ac:dyDescent="0.25">
      <c r="A248" s="78">
        <f>IF(B248="","",COUNTA($B$7:B247))</f>
        <v>241</v>
      </c>
      <c r="B248" s="85">
        <v>46068</v>
      </c>
      <c r="C248" s="77" t="s">
        <v>208</v>
      </c>
      <c r="D248" s="77" t="s">
        <v>237</v>
      </c>
      <c r="E248" s="77" t="s">
        <v>650</v>
      </c>
      <c r="F248" s="77" t="s">
        <v>118</v>
      </c>
      <c r="G248" s="110" t="s">
        <v>651</v>
      </c>
      <c r="H248" s="131" t="s">
        <v>118</v>
      </c>
      <c r="I248" s="86" t="str">
        <f t="shared" si="6"/>
        <v>LENC</v>
      </c>
      <c r="J248" s="86" t="str">
        <f t="shared" si="7"/>
        <v>26</v>
      </c>
      <c r="K248" s="77" t="s">
        <v>652</v>
      </c>
      <c r="L248" s="77">
        <v>1</v>
      </c>
      <c r="M248" s="77" t="s">
        <v>653</v>
      </c>
      <c r="N248" s="88">
        <v>73</v>
      </c>
      <c r="O248" s="77" t="s">
        <v>159</v>
      </c>
      <c r="P248" s="77"/>
      <c r="Q248" s="31"/>
      <c r="R248" s="63"/>
    </row>
    <row r="249" spans="1:18" ht="39.75" hidden="1" customHeight="1" x14ac:dyDescent="0.25">
      <c r="A249" s="78">
        <f>IF(B249="","",COUNTA($B$7:B248))</f>
        <v>242</v>
      </c>
      <c r="B249" s="85">
        <v>46068</v>
      </c>
      <c r="C249" s="77" t="s">
        <v>208</v>
      </c>
      <c r="D249" s="77" t="s">
        <v>241</v>
      </c>
      <c r="E249" s="77" t="s">
        <v>69</v>
      </c>
      <c r="F249" s="77" t="s">
        <v>118</v>
      </c>
      <c r="G249" s="77" t="s">
        <v>210</v>
      </c>
      <c r="H249" s="131" t="s">
        <v>118</v>
      </c>
      <c r="I249" s="86" t="str">
        <f t="shared" si="6"/>
        <v>LENC</v>
      </c>
      <c r="J249" s="86" t="str">
        <f t="shared" si="7"/>
        <v>26</v>
      </c>
      <c r="K249" s="77" t="s">
        <v>69</v>
      </c>
      <c r="L249" s="77">
        <v>5</v>
      </c>
      <c r="M249" s="77" t="s">
        <v>69</v>
      </c>
      <c r="N249" s="88" t="s">
        <v>308</v>
      </c>
      <c r="O249" s="77" t="s">
        <v>121</v>
      </c>
      <c r="P249" s="77"/>
      <c r="Q249" s="31"/>
      <c r="R249" s="63"/>
    </row>
    <row r="250" spans="1:18" ht="39.75" hidden="1" customHeight="1" x14ac:dyDescent="0.25">
      <c r="A250" s="78">
        <f>IF(B250="","",COUNTA($B$7:B249))</f>
        <v>243</v>
      </c>
      <c r="B250" s="85">
        <v>46086</v>
      </c>
      <c r="C250" s="77" t="s">
        <v>305</v>
      </c>
      <c r="D250" s="77" t="s">
        <v>244</v>
      </c>
      <c r="E250" s="77" t="s">
        <v>654</v>
      </c>
      <c r="F250" s="77" t="s">
        <v>118</v>
      </c>
      <c r="G250" s="77" t="s">
        <v>655</v>
      </c>
      <c r="H250" s="131" t="s">
        <v>118</v>
      </c>
      <c r="I250" s="86" t="str">
        <f t="shared" si="6"/>
        <v>LENC</v>
      </c>
      <c r="J250" s="86" t="str">
        <f t="shared" si="7"/>
        <v>26</v>
      </c>
      <c r="K250" s="77" t="s">
        <v>656</v>
      </c>
      <c r="L250" s="77">
        <v>1</v>
      </c>
      <c r="M250" s="77" t="s">
        <v>657</v>
      </c>
      <c r="N250" s="88" t="s">
        <v>658</v>
      </c>
      <c r="O250" s="77" t="s">
        <v>126</v>
      </c>
      <c r="P250" s="77"/>
      <c r="Q250" s="31"/>
      <c r="R250" s="63"/>
    </row>
    <row r="251" spans="1:18" ht="39.75" hidden="1" customHeight="1" x14ac:dyDescent="0.25">
      <c r="A251" s="78">
        <f>IF(B251="","",COUNTA($B$7:B250))</f>
        <v>244</v>
      </c>
      <c r="B251" s="85">
        <v>46085</v>
      </c>
      <c r="C251" s="77" t="s">
        <v>208</v>
      </c>
      <c r="D251" s="77" t="s">
        <v>247</v>
      </c>
      <c r="E251" s="77" t="s">
        <v>659</v>
      </c>
      <c r="F251" s="77" t="s">
        <v>118</v>
      </c>
      <c r="G251" s="110" t="s">
        <v>660</v>
      </c>
      <c r="H251" s="131" t="s">
        <v>118</v>
      </c>
      <c r="I251" s="86" t="str">
        <f t="shared" si="6"/>
        <v>LENC</v>
      </c>
      <c r="J251" s="86" t="str">
        <f t="shared" si="7"/>
        <v>26</v>
      </c>
      <c r="K251" s="77" t="s">
        <v>661</v>
      </c>
      <c r="L251" s="77">
        <v>1</v>
      </c>
      <c r="M251" s="77" t="s">
        <v>662</v>
      </c>
      <c r="N251" s="88" t="s">
        <v>295</v>
      </c>
      <c r="O251" s="77" t="s">
        <v>126</v>
      </c>
      <c r="P251" s="77"/>
      <c r="Q251" s="31"/>
      <c r="R251" s="63"/>
    </row>
    <row r="252" spans="1:18" ht="39.75" hidden="1" customHeight="1" x14ac:dyDescent="0.25">
      <c r="A252" s="78">
        <f>IF(B252="","",COUNTA($B$7:B251))</f>
        <v>245</v>
      </c>
      <c r="B252" s="85">
        <v>46084</v>
      </c>
      <c r="C252" s="77" t="s">
        <v>578</v>
      </c>
      <c r="D252" s="77" t="s">
        <v>247</v>
      </c>
      <c r="E252" s="77" t="s">
        <v>357</v>
      </c>
      <c r="F252" s="77" t="s">
        <v>118</v>
      </c>
      <c r="G252" s="77" t="s">
        <v>663</v>
      </c>
      <c r="H252" s="131" t="s">
        <v>118</v>
      </c>
      <c r="I252" s="86" t="str">
        <f t="shared" si="6"/>
        <v>LENC</v>
      </c>
      <c r="J252" s="86" t="str">
        <f t="shared" si="7"/>
        <v>26</v>
      </c>
      <c r="K252" s="77" t="s">
        <v>664</v>
      </c>
      <c r="L252" s="77">
        <v>1</v>
      </c>
      <c r="M252" s="77" t="s">
        <v>665</v>
      </c>
      <c r="N252" s="88" t="s">
        <v>143</v>
      </c>
      <c r="O252" s="77" t="s">
        <v>126</v>
      </c>
      <c r="P252" s="77"/>
      <c r="Q252" s="31"/>
      <c r="R252" s="63"/>
    </row>
    <row r="253" spans="1:18" ht="39.75" hidden="1" customHeight="1" x14ac:dyDescent="0.25">
      <c r="A253" s="78">
        <f>IF(B253="","",COUNTA($B$7:B252))</f>
        <v>246</v>
      </c>
      <c r="B253" s="85">
        <v>46084</v>
      </c>
      <c r="C253" s="77" t="s">
        <v>578</v>
      </c>
      <c r="D253" s="77" t="s">
        <v>248</v>
      </c>
      <c r="E253" s="77" t="s">
        <v>69</v>
      </c>
      <c r="F253" s="77" t="s">
        <v>118</v>
      </c>
      <c r="G253" s="77" t="s">
        <v>666</v>
      </c>
      <c r="H253" s="131" t="s">
        <v>118</v>
      </c>
      <c r="I253" s="86" t="str">
        <f t="shared" si="6"/>
        <v>LENC</v>
      </c>
      <c r="J253" s="86" t="str">
        <f t="shared" si="7"/>
        <v>26</v>
      </c>
      <c r="K253" s="77" t="s">
        <v>69</v>
      </c>
      <c r="L253" s="77">
        <v>1</v>
      </c>
      <c r="M253" s="77" t="s">
        <v>69</v>
      </c>
      <c r="N253" s="88" t="s">
        <v>203</v>
      </c>
      <c r="O253" s="77" t="s">
        <v>121</v>
      </c>
      <c r="P253" s="77"/>
      <c r="Q253" s="31"/>
      <c r="R253" s="63"/>
    </row>
    <row r="254" spans="1:18" ht="39.75" hidden="1" customHeight="1" x14ac:dyDescent="0.25">
      <c r="A254" s="78">
        <f>IF(B254="","",COUNTA($B$7:B253))</f>
        <v>247</v>
      </c>
      <c r="B254" s="85">
        <v>46084</v>
      </c>
      <c r="C254" s="77" t="s">
        <v>578</v>
      </c>
      <c r="D254" s="77" t="s">
        <v>249</v>
      </c>
      <c r="E254" s="77" t="s">
        <v>69</v>
      </c>
      <c r="F254" s="77" t="s">
        <v>118</v>
      </c>
      <c r="G254" s="77" t="s">
        <v>667</v>
      </c>
      <c r="H254" s="131" t="s">
        <v>118</v>
      </c>
      <c r="I254" s="86" t="str">
        <f t="shared" si="6"/>
        <v>LENC</v>
      </c>
      <c r="J254" s="86" t="str">
        <f t="shared" si="7"/>
        <v>26</v>
      </c>
      <c r="K254" s="77" t="s">
        <v>69</v>
      </c>
      <c r="L254" s="77">
        <v>1</v>
      </c>
      <c r="M254" s="77" t="s">
        <v>69</v>
      </c>
      <c r="N254" s="88" t="s">
        <v>203</v>
      </c>
      <c r="O254" s="77" t="s">
        <v>121</v>
      </c>
      <c r="P254" s="77"/>
      <c r="Q254" s="31"/>
      <c r="R254" s="63"/>
    </row>
    <row r="255" spans="1:18" ht="39.75" hidden="1" customHeight="1" x14ac:dyDescent="0.25">
      <c r="A255" s="78">
        <f>IF(B255="","",COUNTA($B$7:B254))</f>
        <v>248</v>
      </c>
      <c r="B255" s="85">
        <v>46085</v>
      </c>
      <c r="C255" s="77" t="s">
        <v>204</v>
      </c>
      <c r="D255" s="77" t="s">
        <v>250</v>
      </c>
      <c r="E255" s="77" t="s">
        <v>267</v>
      </c>
      <c r="F255" s="77" t="s">
        <v>118</v>
      </c>
      <c r="G255" s="77">
        <v>88605</v>
      </c>
      <c r="H255" s="131" t="s">
        <v>118</v>
      </c>
      <c r="I255" s="86" t="str">
        <f t="shared" si="6"/>
        <v>LENC</v>
      </c>
      <c r="J255" s="86" t="str">
        <f t="shared" si="7"/>
        <v>26</v>
      </c>
      <c r="K255" s="77" t="s">
        <v>69</v>
      </c>
      <c r="L255" s="77">
        <v>1</v>
      </c>
      <c r="M255" s="77" t="s">
        <v>69</v>
      </c>
      <c r="N255" s="88" t="s">
        <v>295</v>
      </c>
      <c r="O255" s="77" t="s">
        <v>172</v>
      </c>
      <c r="P255" s="77"/>
      <c r="Q255" s="31"/>
      <c r="R255" s="63"/>
    </row>
    <row r="256" spans="1:18" ht="39.75" hidden="1" customHeight="1" x14ac:dyDescent="0.25">
      <c r="A256" s="78">
        <f>IF(B256="","",COUNTA($B$7:B255))</f>
        <v>249</v>
      </c>
      <c r="B256" s="85">
        <v>46085</v>
      </c>
      <c r="C256" s="77" t="s">
        <v>204</v>
      </c>
      <c r="D256" s="77" t="s">
        <v>252</v>
      </c>
      <c r="E256" s="77" t="s">
        <v>668</v>
      </c>
      <c r="F256" s="77" t="s">
        <v>118</v>
      </c>
      <c r="G256" s="77">
        <v>102859</v>
      </c>
      <c r="H256" s="131" t="s">
        <v>118</v>
      </c>
      <c r="I256" s="86" t="str">
        <f t="shared" si="6"/>
        <v>LENC</v>
      </c>
      <c r="J256" s="86" t="str">
        <f t="shared" si="7"/>
        <v>26</v>
      </c>
      <c r="K256" s="77" t="s">
        <v>669</v>
      </c>
      <c r="L256" s="77">
        <v>1</v>
      </c>
      <c r="M256" s="77" t="s">
        <v>670</v>
      </c>
      <c r="N256" s="88" t="s">
        <v>364</v>
      </c>
      <c r="O256" s="77" t="s">
        <v>126</v>
      </c>
      <c r="P256" s="77"/>
      <c r="Q256" s="31"/>
      <c r="R256" s="63"/>
    </row>
    <row r="257" spans="1:18" ht="39.75" hidden="1" customHeight="1" x14ac:dyDescent="0.25">
      <c r="A257" s="78">
        <f>IF(B257="","",COUNTA($B$7:B256))</f>
        <v>250</v>
      </c>
      <c r="B257" s="85">
        <v>46086</v>
      </c>
      <c r="C257" s="77" t="s">
        <v>671</v>
      </c>
      <c r="D257" s="77" t="s">
        <v>253</v>
      </c>
      <c r="E257" s="77" t="s">
        <v>671</v>
      </c>
      <c r="F257" s="77" t="s">
        <v>118</v>
      </c>
      <c r="G257" s="77" t="s">
        <v>672</v>
      </c>
      <c r="H257" s="131" t="s">
        <v>118</v>
      </c>
      <c r="I257" s="86" t="str">
        <f t="shared" si="6"/>
        <v>LENC</v>
      </c>
      <c r="J257" s="86" t="str">
        <f t="shared" si="7"/>
        <v>26</v>
      </c>
      <c r="K257" s="77" t="s">
        <v>673</v>
      </c>
      <c r="L257" s="77">
        <v>3</v>
      </c>
      <c r="M257" s="77" t="s">
        <v>674</v>
      </c>
      <c r="N257" s="88" t="s">
        <v>228</v>
      </c>
      <c r="O257" s="77" t="s">
        <v>126</v>
      </c>
      <c r="P257" s="77" t="s">
        <v>675</v>
      </c>
      <c r="Q257" s="31"/>
      <c r="R257" s="63"/>
    </row>
    <row r="258" spans="1:18" ht="39.75" hidden="1" customHeight="1" x14ac:dyDescent="0.25">
      <c r="A258" s="78">
        <f>IF(B258="","",COUNTA($B$7:B257))</f>
        <v>251</v>
      </c>
      <c r="B258" s="85">
        <v>46086</v>
      </c>
      <c r="C258" s="77" t="s">
        <v>305</v>
      </c>
      <c r="D258" s="77" t="s">
        <v>188</v>
      </c>
      <c r="E258" s="77" t="s">
        <v>545</v>
      </c>
      <c r="F258" s="77" t="s">
        <v>118</v>
      </c>
      <c r="G258" s="77" t="s">
        <v>676</v>
      </c>
      <c r="H258" s="131" t="s">
        <v>118</v>
      </c>
      <c r="I258" s="86" t="str">
        <f t="shared" si="6"/>
        <v>LENC</v>
      </c>
      <c r="J258" s="86" t="str">
        <f t="shared" si="7"/>
        <v>26</v>
      </c>
      <c r="K258" s="77" t="s">
        <v>677</v>
      </c>
      <c r="L258" s="77">
        <v>2</v>
      </c>
      <c r="M258" s="77" t="s">
        <v>69</v>
      </c>
      <c r="N258" s="88" t="s">
        <v>203</v>
      </c>
      <c r="O258" s="77" t="s">
        <v>126</v>
      </c>
      <c r="P258" s="77"/>
      <c r="Q258" s="31"/>
      <c r="R258" s="63"/>
    </row>
    <row r="259" spans="1:18" ht="39.75" hidden="1" customHeight="1" x14ac:dyDescent="0.25">
      <c r="A259" s="78">
        <f>IF(B259="","",COUNTA($B$7:B258))</f>
        <v>252</v>
      </c>
      <c r="B259" s="85">
        <v>46086</v>
      </c>
      <c r="C259" s="77" t="s">
        <v>305</v>
      </c>
      <c r="D259" s="77" t="s">
        <v>256</v>
      </c>
      <c r="E259" s="77" t="s">
        <v>545</v>
      </c>
      <c r="F259" s="77" t="s">
        <v>118</v>
      </c>
      <c r="G259" s="77" t="s">
        <v>678</v>
      </c>
      <c r="H259" s="131" t="s">
        <v>118</v>
      </c>
      <c r="I259" s="86" t="str">
        <f t="shared" si="6"/>
        <v>LENC</v>
      </c>
      <c r="J259" s="86" t="str">
        <f t="shared" si="7"/>
        <v>26</v>
      </c>
      <c r="K259" s="77" t="s">
        <v>69</v>
      </c>
      <c r="L259" s="77">
        <v>2</v>
      </c>
      <c r="M259" s="77" t="s">
        <v>69</v>
      </c>
      <c r="N259" s="88">
        <v>90</v>
      </c>
      <c r="O259" s="77" t="s">
        <v>159</v>
      </c>
      <c r="P259" s="77" t="s">
        <v>679</v>
      </c>
      <c r="Q259" s="31"/>
      <c r="R259" s="63"/>
    </row>
    <row r="260" spans="1:18" ht="39.75" hidden="1" customHeight="1" x14ac:dyDescent="0.25">
      <c r="A260" s="78">
        <f>IF(B260="","",COUNTA($B$7:B259))</f>
        <v>253</v>
      </c>
      <c r="B260" s="85">
        <v>46087</v>
      </c>
      <c r="C260" s="77" t="s">
        <v>48</v>
      </c>
      <c r="D260" s="77" t="s">
        <v>257</v>
      </c>
      <c r="E260" s="77" t="s">
        <v>680</v>
      </c>
      <c r="F260" s="77" t="s">
        <v>118</v>
      </c>
      <c r="G260" s="77">
        <v>21453</v>
      </c>
      <c r="H260" s="131" t="s">
        <v>118</v>
      </c>
      <c r="I260" s="86" t="str">
        <f t="shared" si="6"/>
        <v>LENC</v>
      </c>
      <c r="J260" s="86" t="str">
        <f t="shared" si="7"/>
        <v>26</v>
      </c>
      <c r="K260" s="77" t="s">
        <v>681</v>
      </c>
      <c r="L260" s="77">
        <v>1</v>
      </c>
      <c r="M260" s="77" t="s">
        <v>682</v>
      </c>
      <c r="N260" s="88">
        <v>79</v>
      </c>
      <c r="O260" s="77" t="s">
        <v>159</v>
      </c>
      <c r="P260" s="77"/>
      <c r="Q260" s="31"/>
      <c r="R260" s="63"/>
    </row>
    <row r="261" spans="1:18" ht="39.75" hidden="1" customHeight="1" x14ac:dyDescent="0.25">
      <c r="A261" s="78">
        <f>IF(B261="","",COUNTA($B$7:B260))</f>
        <v>254</v>
      </c>
      <c r="B261" s="85">
        <v>46087</v>
      </c>
      <c r="C261" s="77" t="s">
        <v>305</v>
      </c>
      <c r="D261" s="77" t="s">
        <v>258</v>
      </c>
      <c r="E261" s="77" t="s">
        <v>683</v>
      </c>
      <c r="F261" s="77" t="s">
        <v>118</v>
      </c>
      <c r="G261" s="77" t="s">
        <v>684</v>
      </c>
      <c r="H261" s="131" t="s">
        <v>118</v>
      </c>
      <c r="I261" s="86" t="str">
        <f t="shared" si="6"/>
        <v>LENC</v>
      </c>
      <c r="J261" s="86" t="str">
        <f t="shared" si="7"/>
        <v>26</v>
      </c>
      <c r="K261" s="77" t="s">
        <v>685</v>
      </c>
      <c r="L261" s="77">
        <v>1</v>
      </c>
      <c r="M261" s="77" t="s">
        <v>686</v>
      </c>
      <c r="N261" s="88">
        <v>72</v>
      </c>
      <c r="O261" s="77" t="s">
        <v>159</v>
      </c>
      <c r="P261" s="77"/>
      <c r="Q261" s="31"/>
      <c r="R261" s="63"/>
    </row>
    <row r="262" spans="1:18" ht="39.75" hidden="1" customHeight="1" x14ac:dyDescent="0.25">
      <c r="A262" s="78">
        <f>IF(B262="","",COUNTA($B$7:B261))</f>
        <v>255</v>
      </c>
      <c r="B262" s="85">
        <v>46087</v>
      </c>
      <c r="C262" s="77" t="s">
        <v>305</v>
      </c>
      <c r="D262" s="77" t="s">
        <v>261</v>
      </c>
      <c r="E262" s="77" t="s">
        <v>683</v>
      </c>
      <c r="F262" s="77" t="s">
        <v>118</v>
      </c>
      <c r="G262" s="77" t="s">
        <v>687</v>
      </c>
      <c r="H262" s="131" t="s">
        <v>118</v>
      </c>
      <c r="I262" s="86" t="str">
        <f t="shared" si="6"/>
        <v>LENC</v>
      </c>
      <c r="J262" s="86" t="str">
        <f t="shared" si="7"/>
        <v>26</v>
      </c>
      <c r="K262" s="77" t="s">
        <v>685</v>
      </c>
      <c r="L262" s="77">
        <v>1</v>
      </c>
      <c r="M262" s="77" t="s">
        <v>686</v>
      </c>
      <c r="N262" s="88">
        <v>72</v>
      </c>
      <c r="O262" s="77" t="s">
        <v>159</v>
      </c>
      <c r="P262" s="77"/>
      <c r="Q262" s="31"/>
      <c r="R262" s="63"/>
    </row>
    <row r="263" spans="1:18" ht="39.75" hidden="1" customHeight="1" x14ac:dyDescent="0.25">
      <c r="A263" s="78">
        <f>IF(B263="","",COUNTA($B$7:B262))</f>
        <v>256</v>
      </c>
      <c r="B263" s="85">
        <v>46087</v>
      </c>
      <c r="C263" s="77" t="s">
        <v>305</v>
      </c>
      <c r="D263" s="77" t="s">
        <v>266</v>
      </c>
      <c r="E263" s="77" t="s">
        <v>683</v>
      </c>
      <c r="F263" s="77" t="s">
        <v>118</v>
      </c>
      <c r="G263" s="77" t="s">
        <v>688</v>
      </c>
      <c r="H263" s="131" t="s">
        <v>118</v>
      </c>
      <c r="I263" s="86" t="str">
        <f t="shared" si="6"/>
        <v>LENC</v>
      </c>
      <c r="J263" s="86" t="str">
        <f t="shared" si="7"/>
        <v>26</v>
      </c>
      <c r="K263" s="77" t="s">
        <v>685</v>
      </c>
      <c r="L263" s="77">
        <v>1</v>
      </c>
      <c r="M263" s="77" t="s">
        <v>686</v>
      </c>
      <c r="N263" s="88">
        <v>72</v>
      </c>
      <c r="O263" s="77" t="s">
        <v>159</v>
      </c>
      <c r="P263" s="77"/>
      <c r="Q263" s="31"/>
      <c r="R263" s="63"/>
    </row>
    <row r="264" spans="1:18" ht="39.75" hidden="1" customHeight="1" x14ac:dyDescent="0.25">
      <c r="A264" s="78">
        <f>IF(B264="","",COUNTA($B$7:B263))</f>
        <v>257</v>
      </c>
      <c r="B264" s="85">
        <v>46087</v>
      </c>
      <c r="C264" s="77" t="s">
        <v>305</v>
      </c>
      <c r="D264" s="77" t="s">
        <v>271</v>
      </c>
      <c r="E264" s="77" t="s">
        <v>683</v>
      </c>
      <c r="F264" s="77" t="s">
        <v>118</v>
      </c>
      <c r="G264" s="77" t="s">
        <v>689</v>
      </c>
      <c r="H264" s="131" t="s">
        <v>118</v>
      </c>
      <c r="I264" s="86" t="str">
        <f t="shared" si="6"/>
        <v>LENC</v>
      </c>
      <c r="J264" s="86" t="str">
        <f t="shared" si="7"/>
        <v>26</v>
      </c>
      <c r="K264" s="77" t="s">
        <v>685</v>
      </c>
      <c r="L264" s="77">
        <v>1</v>
      </c>
      <c r="M264" s="77" t="s">
        <v>686</v>
      </c>
      <c r="N264" s="88" t="s">
        <v>308</v>
      </c>
      <c r="O264" s="77" t="s">
        <v>121</v>
      </c>
      <c r="P264" s="77"/>
      <c r="Q264" s="31"/>
      <c r="R264" s="63"/>
    </row>
    <row r="265" spans="1:18" ht="39.75" hidden="1" customHeight="1" x14ac:dyDescent="0.25">
      <c r="A265" s="78">
        <f>IF(B265="","",COUNTA($B$7:B264))</f>
        <v>258</v>
      </c>
      <c r="B265" s="85">
        <v>46087</v>
      </c>
      <c r="C265" s="77" t="s">
        <v>305</v>
      </c>
      <c r="D265" s="77" t="s">
        <v>273</v>
      </c>
      <c r="E265" s="77" t="s">
        <v>683</v>
      </c>
      <c r="F265" s="77" t="s">
        <v>118</v>
      </c>
      <c r="G265" s="77" t="s">
        <v>690</v>
      </c>
      <c r="H265" s="131" t="s">
        <v>118</v>
      </c>
      <c r="I265" s="86" t="str">
        <f t="shared" ref="I265:I328" si="8">IF(B265="","","LENC")</f>
        <v>LENC</v>
      </c>
      <c r="J265" s="86" t="str">
        <f t="shared" ref="J265:J328" si="9">IF(B265="","",TEXT(B265,"yy"))</f>
        <v>26</v>
      </c>
      <c r="K265" s="77" t="s">
        <v>685</v>
      </c>
      <c r="L265" s="77">
        <v>6</v>
      </c>
      <c r="M265" s="77" t="s">
        <v>686</v>
      </c>
      <c r="N265" s="88" t="s">
        <v>308</v>
      </c>
      <c r="O265" s="77" t="s">
        <v>121</v>
      </c>
      <c r="P265" s="77"/>
      <c r="Q265" s="31"/>
      <c r="R265" s="63"/>
    </row>
    <row r="266" spans="1:18" ht="39.75" hidden="1" customHeight="1" x14ac:dyDescent="0.25">
      <c r="A266" s="78">
        <f>IF(B266="","",COUNTA($B$7:B265))</f>
        <v>259</v>
      </c>
      <c r="B266" s="85">
        <v>46087</v>
      </c>
      <c r="C266" s="77" t="s">
        <v>571</v>
      </c>
      <c r="D266" s="77" t="s">
        <v>275</v>
      </c>
      <c r="E266" s="77" t="s">
        <v>691</v>
      </c>
      <c r="F266" s="77" t="s">
        <v>118</v>
      </c>
      <c r="G266" s="77">
        <v>793</v>
      </c>
      <c r="H266" s="131" t="s">
        <v>118</v>
      </c>
      <c r="I266" s="86" t="str">
        <f t="shared" si="8"/>
        <v>LENC</v>
      </c>
      <c r="J266" s="86" t="str">
        <f t="shared" si="9"/>
        <v>26</v>
      </c>
      <c r="K266" s="77" t="s">
        <v>692</v>
      </c>
      <c r="L266" s="77">
        <v>1</v>
      </c>
      <c r="M266" s="77" t="s">
        <v>693</v>
      </c>
      <c r="N266" s="88">
        <v>52</v>
      </c>
      <c r="O266" s="77" t="s">
        <v>121</v>
      </c>
      <c r="P266" s="77"/>
      <c r="Q266" s="31"/>
      <c r="R266" s="63"/>
    </row>
    <row r="267" spans="1:18" ht="39.75" hidden="1" customHeight="1" x14ac:dyDescent="0.25">
      <c r="A267" s="78">
        <f>IF(B267="","",COUNTA($B$7:B266))</f>
        <v>260</v>
      </c>
      <c r="B267" s="85">
        <v>46087</v>
      </c>
      <c r="C267" s="77" t="s">
        <v>571</v>
      </c>
      <c r="D267" s="77" t="s">
        <v>275</v>
      </c>
      <c r="E267" s="77" t="s">
        <v>69</v>
      </c>
      <c r="F267" s="77" t="s">
        <v>118</v>
      </c>
      <c r="G267" s="77">
        <v>794</v>
      </c>
      <c r="H267" s="131" t="s">
        <v>118</v>
      </c>
      <c r="I267" s="86" t="str">
        <f t="shared" si="8"/>
        <v>LENC</v>
      </c>
      <c r="J267" s="86" t="str">
        <f t="shared" si="9"/>
        <v>26</v>
      </c>
      <c r="K267" s="77" t="s">
        <v>692</v>
      </c>
      <c r="L267" s="77">
        <v>1</v>
      </c>
      <c r="M267" s="77" t="s">
        <v>693</v>
      </c>
      <c r="N267" s="88">
        <v>52</v>
      </c>
      <c r="O267" s="77" t="s">
        <v>121</v>
      </c>
      <c r="P267" s="77"/>
      <c r="Q267" s="31"/>
      <c r="R267" s="63"/>
    </row>
    <row r="268" spans="1:18" ht="39.75" hidden="1" customHeight="1" x14ac:dyDescent="0.25">
      <c r="A268" s="78">
        <f>IF(B268="","",COUNTA($B$7:B267))</f>
        <v>261</v>
      </c>
      <c r="B268" s="85">
        <v>46069</v>
      </c>
      <c r="C268" s="77" t="s">
        <v>138</v>
      </c>
      <c r="D268" s="77" t="s">
        <v>282</v>
      </c>
      <c r="E268" s="77" t="s">
        <v>168</v>
      </c>
      <c r="F268" s="77" t="s">
        <v>118</v>
      </c>
      <c r="G268" s="77" t="s">
        <v>694</v>
      </c>
      <c r="H268" s="131" t="s">
        <v>118</v>
      </c>
      <c r="I268" s="86" t="str">
        <f t="shared" si="8"/>
        <v>LENC</v>
      </c>
      <c r="J268" s="86" t="str">
        <f t="shared" si="9"/>
        <v>26</v>
      </c>
      <c r="K268" s="77" t="s">
        <v>695</v>
      </c>
      <c r="L268" s="77">
        <v>1</v>
      </c>
      <c r="M268" s="77" t="s">
        <v>69</v>
      </c>
      <c r="N268" s="88">
        <v>22</v>
      </c>
      <c r="O268" s="77" t="s">
        <v>159</v>
      </c>
      <c r="P268" s="77"/>
      <c r="Q268" s="31"/>
      <c r="R268" s="63"/>
    </row>
    <row r="269" spans="1:18" ht="39.75" hidden="1" customHeight="1" x14ac:dyDescent="0.25">
      <c r="A269" s="78">
        <f>IF(B269="","",COUNTA($B$7:B268))</f>
        <v>262</v>
      </c>
      <c r="B269" s="85">
        <v>46080</v>
      </c>
      <c r="C269" s="77" t="s">
        <v>529</v>
      </c>
      <c r="D269" s="77" t="s">
        <v>287</v>
      </c>
      <c r="E269" s="77" t="s">
        <v>549</v>
      </c>
      <c r="F269" s="77" t="s">
        <v>118</v>
      </c>
      <c r="G269" s="77">
        <v>20788</v>
      </c>
      <c r="H269" s="131" t="s">
        <v>118</v>
      </c>
      <c r="I269" s="86" t="str">
        <f t="shared" si="8"/>
        <v>LENC</v>
      </c>
      <c r="J269" s="86" t="str">
        <f t="shared" si="9"/>
        <v>26</v>
      </c>
      <c r="K269" s="77" t="s">
        <v>696</v>
      </c>
      <c r="L269" s="77">
        <v>1</v>
      </c>
      <c r="M269" s="77" t="s">
        <v>697</v>
      </c>
      <c r="N269" s="88" t="s">
        <v>295</v>
      </c>
      <c r="O269" s="77" t="s">
        <v>126</v>
      </c>
      <c r="P269" s="77"/>
      <c r="Q269" s="31"/>
      <c r="R269" s="63"/>
    </row>
    <row r="270" spans="1:18" ht="39.75" hidden="1" customHeight="1" x14ac:dyDescent="0.25">
      <c r="A270" s="78">
        <f>IF(B270="","",COUNTA($B$7:B269))</f>
        <v>263</v>
      </c>
      <c r="B270" s="85">
        <v>46090</v>
      </c>
      <c r="C270" s="77" t="s">
        <v>595</v>
      </c>
      <c r="D270" s="77" t="s">
        <v>698</v>
      </c>
      <c r="E270" s="77" t="s">
        <v>597</v>
      </c>
      <c r="F270" s="77" t="s">
        <v>118</v>
      </c>
      <c r="G270" s="77">
        <v>21686</v>
      </c>
      <c r="H270" s="131" t="s">
        <v>118</v>
      </c>
      <c r="I270" s="86" t="str">
        <f t="shared" si="8"/>
        <v>LENC</v>
      </c>
      <c r="J270" s="86" t="str">
        <f t="shared" si="9"/>
        <v>26</v>
      </c>
      <c r="K270" s="77" t="s">
        <v>598</v>
      </c>
      <c r="L270" s="77">
        <v>1</v>
      </c>
      <c r="M270" s="77" t="s">
        <v>69</v>
      </c>
      <c r="N270" s="88" t="s">
        <v>295</v>
      </c>
      <c r="O270" s="77" t="s">
        <v>121</v>
      </c>
      <c r="P270" s="77"/>
      <c r="Q270" s="31"/>
      <c r="R270" s="63"/>
    </row>
    <row r="271" spans="1:18" ht="39.75" hidden="1" customHeight="1" x14ac:dyDescent="0.25">
      <c r="A271" s="78">
        <f>IF(B271="","",COUNTA($B$7:B270))</f>
        <v>264</v>
      </c>
      <c r="B271" s="85">
        <v>46090</v>
      </c>
      <c r="C271" s="77" t="s">
        <v>595</v>
      </c>
      <c r="D271" s="77" t="s">
        <v>699</v>
      </c>
      <c r="E271" s="77" t="s">
        <v>597</v>
      </c>
      <c r="F271" s="77" t="s">
        <v>118</v>
      </c>
      <c r="G271" s="77">
        <v>21664</v>
      </c>
      <c r="H271" s="131" t="s">
        <v>118</v>
      </c>
      <c r="I271" s="86" t="str">
        <f t="shared" si="8"/>
        <v>LENC</v>
      </c>
      <c r="J271" s="86" t="str">
        <f t="shared" si="9"/>
        <v>26</v>
      </c>
      <c r="K271" s="77" t="s">
        <v>598</v>
      </c>
      <c r="L271" s="77">
        <v>1</v>
      </c>
      <c r="M271" s="77" t="s">
        <v>69</v>
      </c>
      <c r="N271" s="88" t="s">
        <v>295</v>
      </c>
      <c r="O271" s="77" t="s">
        <v>121</v>
      </c>
      <c r="P271" s="77"/>
      <c r="Q271" s="31"/>
      <c r="R271" s="63"/>
    </row>
    <row r="272" spans="1:18" ht="39.75" hidden="1" customHeight="1" x14ac:dyDescent="0.25">
      <c r="A272" s="78">
        <f>IF(B272="","",COUNTA($B$7:B271))</f>
        <v>265</v>
      </c>
      <c r="B272" s="85">
        <v>46090</v>
      </c>
      <c r="C272" s="77" t="s">
        <v>595</v>
      </c>
      <c r="D272" s="77" t="s">
        <v>700</v>
      </c>
      <c r="E272" s="77" t="s">
        <v>597</v>
      </c>
      <c r="F272" s="77" t="s">
        <v>118</v>
      </c>
      <c r="G272" s="77">
        <v>21668</v>
      </c>
      <c r="H272" s="131" t="s">
        <v>118</v>
      </c>
      <c r="I272" s="86" t="str">
        <f t="shared" si="8"/>
        <v>LENC</v>
      </c>
      <c r="J272" s="86" t="str">
        <f t="shared" si="9"/>
        <v>26</v>
      </c>
      <c r="K272" s="77" t="s">
        <v>598</v>
      </c>
      <c r="L272" s="77">
        <v>1</v>
      </c>
      <c r="M272" s="77" t="s">
        <v>69</v>
      </c>
      <c r="N272" s="88" t="s">
        <v>295</v>
      </c>
      <c r="O272" s="77" t="s">
        <v>121</v>
      </c>
      <c r="P272" s="77"/>
      <c r="Q272" s="31"/>
      <c r="R272" s="63"/>
    </row>
    <row r="273" spans="1:18" ht="39.75" hidden="1" customHeight="1" x14ac:dyDescent="0.25">
      <c r="A273" s="78">
        <f>IF(B273="","",COUNTA($B$7:B272))</f>
        <v>266</v>
      </c>
      <c r="B273" s="85">
        <v>46090</v>
      </c>
      <c r="C273" s="77" t="s">
        <v>292</v>
      </c>
      <c r="D273" s="77" t="s">
        <v>701</v>
      </c>
      <c r="E273" s="77" t="s">
        <v>702</v>
      </c>
      <c r="F273" s="77" t="s">
        <v>118</v>
      </c>
      <c r="G273" s="77">
        <v>6867</v>
      </c>
      <c r="H273" s="131" t="s">
        <v>118</v>
      </c>
      <c r="I273" s="86" t="str">
        <f t="shared" si="8"/>
        <v>LENC</v>
      </c>
      <c r="J273" s="86" t="str">
        <f t="shared" si="9"/>
        <v>26</v>
      </c>
      <c r="K273" s="77" t="s">
        <v>703</v>
      </c>
      <c r="L273" s="77">
        <v>1</v>
      </c>
      <c r="M273" s="77" t="s">
        <v>704</v>
      </c>
      <c r="N273" s="88">
        <v>40</v>
      </c>
      <c r="O273" s="77" t="s">
        <v>159</v>
      </c>
      <c r="P273" s="77" t="s">
        <v>705</v>
      </c>
      <c r="Q273" s="31"/>
      <c r="R273" s="63"/>
    </row>
    <row r="274" spans="1:18" ht="39.75" hidden="1" customHeight="1" x14ac:dyDescent="0.25">
      <c r="A274" s="78">
        <f>IF(B274="","",COUNTA($B$7:B273))</f>
        <v>267</v>
      </c>
      <c r="B274" s="85">
        <v>46091</v>
      </c>
      <c r="C274" s="77" t="s">
        <v>292</v>
      </c>
      <c r="D274" s="77" t="s">
        <v>706</v>
      </c>
      <c r="E274" s="77" t="s">
        <v>702</v>
      </c>
      <c r="F274" s="77" t="s">
        <v>118</v>
      </c>
      <c r="G274" s="77">
        <v>6857</v>
      </c>
      <c r="H274" s="131" t="s">
        <v>118</v>
      </c>
      <c r="I274" s="86" t="str">
        <f t="shared" si="8"/>
        <v>LENC</v>
      </c>
      <c r="J274" s="86" t="str">
        <f t="shared" si="9"/>
        <v>26</v>
      </c>
      <c r="K274" s="77" t="s">
        <v>703</v>
      </c>
      <c r="L274" s="77">
        <v>1</v>
      </c>
      <c r="M274" s="77" t="s">
        <v>704</v>
      </c>
      <c r="N274" s="88">
        <v>40</v>
      </c>
      <c r="O274" s="77" t="s">
        <v>159</v>
      </c>
      <c r="P274" s="77" t="s">
        <v>705</v>
      </c>
      <c r="Q274" s="31"/>
      <c r="R274" s="63"/>
    </row>
    <row r="275" spans="1:18" ht="39.75" hidden="1" customHeight="1" x14ac:dyDescent="0.25">
      <c r="A275" s="78">
        <f>IF(B275="","",COUNTA($B$7:B274))</f>
        <v>268</v>
      </c>
      <c r="B275" s="85">
        <v>46091</v>
      </c>
      <c r="C275" s="77" t="s">
        <v>292</v>
      </c>
      <c r="D275" s="77" t="s">
        <v>300</v>
      </c>
      <c r="E275" s="77" t="s">
        <v>702</v>
      </c>
      <c r="F275" s="77" t="s">
        <v>118</v>
      </c>
      <c r="G275" s="77">
        <v>6869</v>
      </c>
      <c r="H275" s="131" t="s">
        <v>118</v>
      </c>
      <c r="I275" s="86" t="str">
        <f t="shared" si="8"/>
        <v>LENC</v>
      </c>
      <c r="J275" s="86" t="str">
        <f t="shared" si="9"/>
        <v>26</v>
      </c>
      <c r="K275" s="77" t="s">
        <v>703</v>
      </c>
      <c r="L275" s="77">
        <v>1</v>
      </c>
      <c r="M275" s="77" t="s">
        <v>704</v>
      </c>
      <c r="N275" s="88">
        <v>40</v>
      </c>
      <c r="O275" s="77" t="s">
        <v>159</v>
      </c>
      <c r="P275" s="77" t="s">
        <v>705</v>
      </c>
      <c r="Q275" s="31"/>
      <c r="R275" s="63"/>
    </row>
    <row r="276" spans="1:18" ht="39.75" hidden="1" customHeight="1" x14ac:dyDescent="0.25">
      <c r="A276" s="78">
        <f>IF(B276="","",COUNTA($B$7:B275))</f>
        <v>269</v>
      </c>
      <c r="B276" s="85">
        <v>46091</v>
      </c>
      <c r="C276" s="77" t="s">
        <v>115</v>
      </c>
      <c r="D276" s="77" t="s">
        <v>306</v>
      </c>
      <c r="E276" s="77" t="s">
        <v>607</v>
      </c>
      <c r="F276" s="77" t="s">
        <v>118</v>
      </c>
      <c r="G276" s="77">
        <v>30412</v>
      </c>
      <c r="H276" s="131" t="s">
        <v>118</v>
      </c>
      <c r="I276" s="86" t="str">
        <f t="shared" si="8"/>
        <v>LENC</v>
      </c>
      <c r="J276" s="86" t="str">
        <f t="shared" si="9"/>
        <v>26</v>
      </c>
      <c r="K276" s="77" t="s">
        <v>69</v>
      </c>
      <c r="L276" s="77">
        <v>1</v>
      </c>
      <c r="M276" s="77" t="s">
        <v>69</v>
      </c>
      <c r="N276" s="77" t="s">
        <v>559</v>
      </c>
      <c r="O276" s="77" t="s">
        <v>126</v>
      </c>
      <c r="P276" s="77"/>
      <c r="Q276" s="31"/>
      <c r="R276" s="63"/>
    </row>
    <row r="277" spans="1:18" ht="39.75" hidden="1" customHeight="1" x14ac:dyDescent="0.25">
      <c r="A277" s="78">
        <f>IF(B277="","",COUNTA($B$7:B276))</f>
        <v>270</v>
      </c>
      <c r="B277" s="85">
        <v>46091</v>
      </c>
      <c r="C277" s="77" t="s">
        <v>115</v>
      </c>
      <c r="D277" s="77" t="s">
        <v>309</v>
      </c>
      <c r="E277" s="77" t="s">
        <v>707</v>
      </c>
      <c r="F277" s="77" t="s">
        <v>118</v>
      </c>
      <c r="G277" s="77">
        <v>25091</v>
      </c>
      <c r="H277" s="131" t="s">
        <v>118</v>
      </c>
      <c r="I277" s="86" t="str">
        <f t="shared" si="8"/>
        <v>LENC</v>
      </c>
      <c r="J277" s="86" t="str">
        <f t="shared" si="9"/>
        <v>26</v>
      </c>
      <c r="K277" s="77" t="s">
        <v>69</v>
      </c>
      <c r="L277" s="77">
        <v>1</v>
      </c>
      <c r="M277" s="77" t="s">
        <v>69</v>
      </c>
      <c r="N277" s="77" t="s">
        <v>559</v>
      </c>
      <c r="O277" s="77" t="s">
        <v>126</v>
      </c>
      <c r="P277" s="77"/>
      <c r="Q277" s="31"/>
      <c r="R277" s="63"/>
    </row>
    <row r="278" spans="1:18" ht="39.75" hidden="1" customHeight="1" x14ac:dyDescent="0.25">
      <c r="A278" s="78">
        <f>IF(B278="","",COUNTA($B$7:B277))</f>
        <v>271</v>
      </c>
      <c r="B278" s="85">
        <v>46091</v>
      </c>
      <c r="C278" s="77" t="s">
        <v>305</v>
      </c>
      <c r="D278" s="77" t="s">
        <v>310</v>
      </c>
      <c r="E278" s="77" t="s">
        <v>567</v>
      </c>
      <c r="F278" s="77" t="s">
        <v>118</v>
      </c>
      <c r="G278" s="77" t="s">
        <v>708</v>
      </c>
      <c r="H278" s="131" t="s">
        <v>118</v>
      </c>
      <c r="I278" s="86" t="str">
        <f t="shared" si="8"/>
        <v>LENC</v>
      </c>
      <c r="J278" s="86" t="str">
        <f t="shared" si="9"/>
        <v>26</v>
      </c>
      <c r="K278" s="77" t="s">
        <v>709</v>
      </c>
      <c r="L278" s="77">
        <v>3</v>
      </c>
      <c r="M278" s="77" t="s">
        <v>710</v>
      </c>
      <c r="N278" s="77" t="s">
        <v>711</v>
      </c>
      <c r="O278" s="77" t="s">
        <v>172</v>
      </c>
      <c r="P278" s="77"/>
      <c r="Q278" s="31"/>
      <c r="R278" s="63"/>
    </row>
    <row r="279" spans="1:18" ht="39.75" hidden="1" customHeight="1" x14ac:dyDescent="0.25">
      <c r="A279" s="78">
        <f>IF(B279="","",COUNTA($B$7:B278))</f>
        <v>272</v>
      </c>
      <c r="B279" s="85">
        <v>46091</v>
      </c>
      <c r="C279" s="77" t="s">
        <v>305</v>
      </c>
      <c r="D279" s="77" t="s">
        <v>312</v>
      </c>
      <c r="E279" s="77" t="s">
        <v>567</v>
      </c>
      <c r="F279" s="77" t="s">
        <v>118</v>
      </c>
      <c r="G279" s="77" t="s">
        <v>712</v>
      </c>
      <c r="H279" s="131" t="s">
        <v>118</v>
      </c>
      <c r="I279" s="86" t="str">
        <f t="shared" si="8"/>
        <v>LENC</v>
      </c>
      <c r="J279" s="86" t="str">
        <f t="shared" si="9"/>
        <v>26</v>
      </c>
      <c r="K279" s="77" t="s">
        <v>709</v>
      </c>
      <c r="L279" s="77">
        <v>3</v>
      </c>
      <c r="M279" s="77" t="s">
        <v>710</v>
      </c>
      <c r="N279" s="77" t="s">
        <v>711</v>
      </c>
      <c r="O279" s="77" t="s">
        <v>172</v>
      </c>
      <c r="P279" s="77"/>
      <c r="Q279" s="31"/>
      <c r="R279" s="63"/>
    </row>
    <row r="280" spans="1:18" ht="39.75" hidden="1" customHeight="1" x14ac:dyDescent="0.25">
      <c r="A280" s="78">
        <f>IF(B280="","",COUNTA($B$7:B279))</f>
        <v>273</v>
      </c>
      <c r="B280" s="85">
        <v>46055</v>
      </c>
      <c r="C280" s="77" t="s">
        <v>150</v>
      </c>
      <c r="D280" s="77" t="s">
        <v>313</v>
      </c>
      <c r="E280" s="77" t="s">
        <v>713</v>
      </c>
      <c r="F280" s="77" t="s">
        <v>118</v>
      </c>
      <c r="G280" s="77">
        <v>20285</v>
      </c>
      <c r="H280" s="131" t="s">
        <v>118</v>
      </c>
      <c r="I280" s="86" t="str">
        <f t="shared" si="8"/>
        <v>LENC</v>
      </c>
      <c r="J280" s="86" t="str">
        <f t="shared" si="9"/>
        <v>26</v>
      </c>
      <c r="K280" s="77" t="s">
        <v>714</v>
      </c>
      <c r="L280" s="77">
        <v>1</v>
      </c>
      <c r="M280" s="77" t="s">
        <v>69</v>
      </c>
      <c r="N280" s="88">
        <v>23</v>
      </c>
      <c r="O280" s="77" t="s">
        <v>159</v>
      </c>
      <c r="P280" s="77"/>
      <c r="Q280" s="31"/>
      <c r="R280" s="63"/>
    </row>
    <row r="281" spans="1:18" ht="39.75" hidden="1" customHeight="1" x14ac:dyDescent="0.25">
      <c r="A281" s="78">
        <f>IF(B281="","",COUNTA($B$7:B280))</f>
        <v>274</v>
      </c>
      <c r="B281" s="85">
        <v>46055</v>
      </c>
      <c r="C281" s="77" t="s">
        <v>204</v>
      </c>
      <c r="D281" s="77" t="s">
        <v>315</v>
      </c>
      <c r="E281" s="77" t="s">
        <v>713</v>
      </c>
      <c r="F281" s="77" t="s">
        <v>118</v>
      </c>
      <c r="G281" s="77" t="s">
        <v>715</v>
      </c>
      <c r="H281" s="131" t="s">
        <v>118</v>
      </c>
      <c r="I281" s="86" t="str">
        <f t="shared" si="8"/>
        <v>LENC</v>
      </c>
      <c r="J281" s="86" t="str">
        <f t="shared" si="9"/>
        <v>26</v>
      </c>
      <c r="K281" s="77" t="s">
        <v>716</v>
      </c>
      <c r="L281" s="77">
        <v>1</v>
      </c>
      <c r="M281" s="77" t="s">
        <v>69</v>
      </c>
      <c r="N281" s="88">
        <v>23</v>
      </c>
      <c r="O281" s="77" t="s">
        <v>159</v>
      </c>
      <c r="P281" s="77"/>
      <c r="Q281" s="31"/>
      <c r="R281" s="63"/>
    </row>
    <row r="282" spans="1:18" ht="39.75" hidden="1" customHeight="1" x14ac:dyDescent="0.25">
      <c r="A282" s="78">
        <f>IF(B282="","",COUNTA($B$7:B281))</f>
        <v>275</v>
      </c>
      <c r="B282" s="85">
        <v>46091</v>
      </c>
      <c r="C282" s="77" t="s">
        <v>717</v>
      </c>
      <c r="D282" s="77" t="s">
        <v>718</v>
      </c>
      <c r="E282" s="77" t="s">
        <v>717</v>
      </c>
      <c r="F282" s="77" t="s">
        <v>118</v>
      </c>
      <c r="G282" s="110" t="s">
        <v>719</v>
      </c>
      <c r="H282" s="131" t="s">
        <v>118</v>
      </c>
      <c r="I282" s="86" t="str">
        <f t="shared" si="8"/>
        <v>LENC</v>
      </c>
      <c r="J282" s="86" t="str">
        <f t="shared" si="9"/>
        <v>26</v>
      </c>
      <c r="K282" s="77" t="s">
        <v>720</v>
      </c>
      <c r="L282" s="77">
        <v>3</v>
      </c>
      <c r="M282" s="77" t="s">
        <v>721</v>
      </c>
      <c r="N282" s="88" t="s">
        <v>308</v>
      </c>
      <c r="O282" s="77" t="s">
        <v>172</v>
      </c>
      <c r="P282" s="77" t="s">
        <v>722</v>
      </c>
      <c r="Q282" s="31"/>
      <c r="R282" s="63"/>
    </row>
    <row r="283" spans="1:18" ht="39.75" hidden="1" customHeight="1" x14ac:dyDescent="0.25">
      <c r="A283" s="78">
        <f>IF(B283="","",COUNTA($B$7:B282))</f>
        <v>276</v>
      </c>
      <c r="B283" s="85">
        <v>46092</v>
      </c>
      <c r="C283" s="77" t="s">
        <v>571</v>
      </c>
      <c r="D283" s="77" t="s">
        <v>321</v>
      </c>
      <c r="E283" s="77" t="s">
        <v>723</v>
      </c>
      <c r="F283" s="77" t="s">
        <v>118</v>
      </c>
      <c r="G283" s="77">
        <v>805</v>
      </c>
      <c r="H283" s="131" t="s">
        <v>118</v>
      </c>
      <c r="I283" s="86" t="str">
        <f t="shared" si="8"/>
        <v>LENC</v>
      </c>
      <c r="J283" s="86" t="str">
        <f t="shared" si="9"/>
        <v>26</v>
      </c>
      <c r="K283" s="77" t="s">
        <v>724</v>
      </c>
      <c r="L283" s="77">
        <v>1</v>
      </c>
      <c r="M283" s="77" t="s">
        <v>725</v>
      </c>
      <c r="N283" s="88"/>
      <c r="O283" s="77" t="s">
        <v>121</v>
      </c>
      <c r="P283" s="77"/>
      <c r="Q283" s="31"/>
      <c r="R283" s="63"/>
    </row>
    <row r="284" spans="1:18" ht="39.75" hidden="1" customHeight="1" x14ac:dyDescent="0.25">
      <c r="A284" s="78">
        <f>IF(B284="","",COUNTA($B$7:B283))</f>
        <v>277</v>
      </c>
      <c r="B284" s="85">
        <v>46092</v>
      </c>
      <c r="C284" s="77" t="s">
        <v>571</v>
      </c>
      <c r="D284" s="77" t="s">
        <v>321</v>
      </c>
      <c r="E284" s="77" t="s">
        <v>723</v>
      </c>
      <c r="F284" s="77" t="s">
        <v>118</v>
      </c>
      <c r="G284" s="110" t="s">
        <v>726</v>
      </c>
      <c r="H284" s="131" t="s">
        <v>118</v>
      </c>
      <c r="I284" s="86" t="str">
        <f t="shared" si="8"/>
        <v>LENC</v>
      </c>
      <c r="J284" s="86" t="str">
        <f t="shared" si="9"/>
        <v>26</v>
      </c>
      <c r="K284" s="77" t="s">
        <v>724</v>
      </c>
      <c r="L284" s="77">
        <v>1</v>
      </c>
      <c r="M284" s="77" t="s">
        <v>725</v>
      </c>
      <c r="N284" s="88" t="s">
        <v>727</v>
      </c>
      <c r="O284" s="77" t="s">
        <v>126</v>
      </c>
      <c r="P284" s="77"/>
      <c r="Q284" s="31"/>
      <c r="R284" s="63"/>
    </row>
    <row r="285" spans="1:18" ht="39.75" hidden="1" customHeight="1" x14ac:dyDescent="0.25">
      <c r="A285" s="78">
        <f>IF(B285="","",COUNTA($B$7:B284))</f>
        <v>278</v>
      </c>
      <c r="B285" s="85">
        <v>46092</v>
      </c>
      <c r="C285" s="77" t="s">
        <v>150</v>
      </c>
      <c r="D285" s="77" t="s">
        <v>324</v>
      </c>
      <c r="E285" s="77" t="s">
        <v>713</v>
      </c>
      <c r="F285" s="77" t="s">
        <v>118</v>
      </c>
      <c r="G285" s="77">
        <v>20787</v>
      </c>
      <c r="H285" s="131" t="s">
        <v>118</v>
      </c>
      <c r="I285" s="86" t="str">
        <f t="shared" si="8"/>
        <v>LENC</v>
      </c>
      <c r="J285" s="86" t="str">
        <f t="shared" si="9"/>
        <v>26</v>
      </c>
      <c r="K285" s="77" t="s">
        <v>728</v>
      </c>
      <c r="L285" s="77">
        <v>1</v>
      </c>
      <c r="M285" s="77" t="s">
        <v>729</v>
      </c>
      <c r="N285" s="88" t="s">
        <v>295</v>
      </c>
      <c r="O285" s="77" t="s">
        <v>126</v>
      </c>
      <c r="P285" s="77"/>
      <c r="Q285" s="31"/>
      <c r="R285" s="63"/>
    </row>
    <row r="286" spans="1:18" ht="39.75" hidden="1" customHeight="1" x14ac:dyDescent="0.25">
      <c r="A286" s="78">
        <f>IF(B286="","",COUNTA($B$7:B285))</f>
        <v>279</v>
      </c>
      <c r="B286" s="85">
        <v>46050</v>
      </c>
      <c r="C286" s="77" t="s">
        <v>150</v>
      </c>
      <c r="D286" s="77" t="s">
        <v>79</v>
      </c>
      <c r="E286" s="77" t="s">
        <v>730</v>
      </c>
      <c r="F286" s="77" t="s">
        <v>118</v>
      </c>
      <c r="G286" s="77">
        <v>20854</v>
      </c>
      <c r="H286" s="131" t="s">
        <v>118</v>
      </c>
      <c r="I286" s="86" t="str">
        <f t="shared" si="8"/>
        <v>LENC</v>
      </c>
      <c r="J286" s="86" t="str">
        <f t="shared" si="9"/>
        <v>26</v>
      </c>
      <c r="K286" s="77" t="s">
        <v>731</v>
      </c>
      <c r="L286" s="77">
        <v>1</v>
      </c>
      <c r="M286" s="77" t="s">
        <v>732</v>
      </c>
      <c r="N286" s="88">
        <v>29</v>
      </c>
      <c r="O286" s="77" t="s">
        <v>159</v>
      </c>
      <c r="P286" s="77" t="s">
        <v>183</v>
      </c>
      <c r="Q286" s="31"/>
      <c r="R286" s="63"/>
    </row>
    <row r="287" spans="1:18" ht="39.75" hidden="1" customHeight="1" x14ac:dyDescent="0.25">
      <c r="A287" s="78">
        <f>IF(B287="","",COUNTA($B$7:B286))</f>
        <v>280</v>
      </c>
      <c r="B287" s="85">
        <v>46093</v>
      </c>
      <c r="C287" s="77" t="s">
        <v>138</v>
      </c>
      <c r="D287" s="77" t="s">
        <v>79</v>
      </c>
      <c r="E287" s="77" t="s">
        <v>733</v>
      </c>
      <c r="F287" s="77" t="s">
        <v>118</v>
      </c>
      <c r="G287" s="77" t="s">
        <v>734</v>
      </c>
      <c r="H287" s="131" t="s">
        <v>118</v>
      </c>
      <c r="I287" s="86" t="str">
        <f t="shared" si="8"/>
        <v>LENC</v>
      </c>
      <c r="J287" s="86" t="str">
        <f t="shared" si="9"/>
        <v>26</v>
      </c>
      <c r="K287" s="77" t="s">
        <v>735</v>
      </c>
      <c r="L287" s="77">
        <v>1</v>
      </c>
      <c r="M287" s="77" t="s">
        <v>602</v>
      </c>
      <c r="N287" s="88" t="s">
        <v>364</v>
      </c>
      <c r="O287" s="77" t="s">
        <v>126</v>
      </c>
      <c r="P287" s="77"/>
      <c r="Q287" s="31"/>
      <c r="R287" s="63"/>
    </row>
    <row r="288" spans="1:18" ht="39.75" hidden="1" customHeight="1" x14ac:dyDescent="0.25">
      <c r="A288" s="78">
        <f>IF(B288="","",COUNTA($B$7:B287))</f>
        <v>281</v>
      </c>
      <c r="B288" s="85">
        <v>46009</v>
      </c>
      <c r="C288" s="77" t="s">
        <v>115</v>
      </c>
      <c r="D288" s="77" t="s">
        <v>79</v>
      </c>
      <c r="E288" s="77" t="s">
        <v>348</v>
      </c>
      <c r="F288" s="77" t="s">
        <v>118</v>
      </c>
      <c r="G288" s="77" t="s">
        <v>736</v>
      </c>
      <c r="H288" s="131" t="s">
        <v>118</v>
      </c>
      <c r="I288" s="86" t="str">
        <f t="shared" si="8"/>
        <v>LENC</v>
      </c>
      <c r="J288" s="86" t="str">
        <f t="shared" si="9"/>
        <v>25</v>
      </c>
      <c r="K288" s="77" t="s">
        <v>349</v>
      </c>
      <c r="L288" s="113">
        <v>1</v>
      </c>
      <c r="M288" s="77" t="s">
        <v>350</v>
      </c>
      <c r="N288" s="88">
        <v>30</v>
      </c>
      <c r="O288" s="77" t="s">
        <v>159</v>
      </c>
      <c r="P288" s="77"/>
      <c r="Q288" s="31"/>
      <c r="R288" s="63"/>
    </row>
    <row r="289" spans="1:18" ht="39.75" hidden="1" customHeight="1" x14ac:dyDescent="0.25">
      <c r="A289" s="78">
        <f>IF(B289="","",COUNTA($B$7:B288))</f>
        <v>282</v>
      </c>
      <c r="B289" s="85">
        <v>46009</v>
      </c>
      <c r="C289" s="77" t="s">
        <v>115</v>
      </c>
      <c r="D289" s="77" t="s">
        <v>79</v>
      </c>
      <c r="E289" s="77" t="s">
        <v>348</v>
      </c>
      <c r="F289" s="77" t="s">
        <v>118</v>
      </c>
      <c r="G289" s="77" t="s">
        <v>737</v>
      </c>
      <c r="H289" s="131" t="s">
        <v>118</v>
      </c>
      <c r="I289" s="86" t="str">
        <f t="shared" si="8"/>
        <v>LENC</v>
      </c>
      <c r="J289" s="86" t="str">
        <f t="shared" si="9"/>
        <v>25</v>
      </c>
      <c r="K289" s="77" t="s">
        <v>349</v>
      </c>
      <c r="L289" s="77">
        <v>1</v>
      </c>
      <c r="M289" s="77" t="s">
        <v>350</v>
      </c>
      <c r="N289" s="88">
        <v>30</v>
      </c>
      <c r="O289" s="77" t="s">
        <v>159</v>
      </c>
      <c r="P289" s="77"/>
      <c r="Q289" s="31"/>
      <c r="R289" s="63"/>
    </row>
    <row r="290" spans="1:18" ht="39.75" hidden="1" customHeight="1" x14ac:dyDescent="0.25">
      <c r="A290" s="78">
        <f>IF(B290="","",COUNTA($B$7:B289))</f>
        <v>283</v>
      </c>
      <c r="B290" s="85">
        <v>46093</v>
      </c>
      <c r="C290" s="77" t="s">
        <v>138</v>
      </c>
      <c r="D290" s="77" t="s">
        <v>79</v>
      </c>
      <c r="E290" s="77" t="s">
        <v>733</v>
      </c>
      <c r="F290" s="77" t="s">
        <v>118</v>
      </c>
      <c r="G290" s="77" t="s">
        <v>738</v>
      </c>
      <c r="H290" s="131" t="s">
        <v>118</v>
      </c>
      <c r="I290" s="86" t="str">
        <f t="shared" si="8"/>
        <v>LENC</v>
      </c>
      <c r="J290" s="86" t="str">
        <f t="shared" si="9"/>
        <v>26</v>
      </c>
      <c r="K290" s="77" t="s">
        <v>739</v>
      </c>
      <c r="L290" s="77">
        <v>1</v>
      </c>
      <c r="M290" s="77" t="s">
        <v>740</v>
      </c>
      <c r="N290" s="88" t="s">
        <v>198</v>
      </c>
      <c r="O290" s="77" t="s">
        <v>172</v>
      </c>
      <c r="P290" s="77"/>
      <c r="Q290" s="31"/>
      <c r="R290" s="63"/>
    </row>
    <row r="291" spans="1:18" ht="39.75" hidden="1" customHeight="1" x14ac:dyDescent="0.25">
      <c r="A291" s="78">
        <f>IF(B291="","",COUNTA($B$7:B290))</f>
        <v>284</v>
      </c>
      <c r="B291" s="85">
        <v>46093</v>
      </c>
      <c r="C291" s="77" t="s">
        <v>292</v>
      </c>
      <c r="D291" s="77" t="s">
        <v>79</v>
      </c>
      <c r="E291" s="77" t="s">
        <v>741</v>
      </c>
      <c r="F291" s="77" t="s">
        <v>118</v>
      </c>
      <c r="G291" s="77">
        <v>6092</v>
      </c>
      <c r="H291" s="131" t="s">
        <v>118</v>
      </c>
      <c r="I291" s="86" t="str">
        <f t="shared" si="8"/>
        <v>LENC</v>
      </c>
      <c r="J291" s="86" t="str">
        <f t="shared" si="9"/>
        <v>26</v>
      </c>
      <c r="K291" s="77" t="s">
        <v>69</v>
      </c>
      <c r="L291" s="77">
        <v>1</v>
      </c>
      <c r="M291" s="77" t="s">
        <v>69</v>
      </c>
      <c r="N291" s="88" t="s">
        <v>137</v>
      </c>
      <c r="O291" s="77" t="s">
        <v>121</v>
      </c>
      <c r="P291" s="77"/>
      <c r="Q291" s="31"/>
      <c r="R291" s="63"/>
    </row>
    <row r="292" spans="1:18" ht="39.75" hidden="1" customHeight="1" x14ac:dyDescent="0.25">
      <c r="A292" s="78">
        <f>IF(B292="","",COUNTA($B$7:B291))</f>
        <v>285</v>
      </c>
      <c r="B292" s="85">
        <v>46093</v>
      </c>
      <c r="C292" s="77" t="s">
        <v>292</v>
      </c>
      <c r="D292" s="77" t="s">
        <v>79</v>
      </c>
      <c r="E292" s="77" t="s">
        <v>741</v>
      </c>
      <c r="F292" s="77" t="s">
        <v>118</v>
      </c>
      <c r="G292" s="77">
        <v>6093</v>
      </c>
      <c r="H292" s="131" t="s">
        <v>118</v>
      </c>
      <c r="I292" s="86" t="str">
        <f t="shared" si="8"/>
        <v>LENC</v>
      </c>
      <c r="J292" s="86" t="str">
        <f t="shared" si="9"/>
        <v>26</v>
      </c>
      <c r="K292" s="77" t="s">
        <v>69</v>
      </c>
      <c r="L292" s="77">
        <v>1</v>
      </c>
      <c r="M292" s="77" t="s">
        <v>69</v>
      </c>
      <c r="N292" s="88" t="s">
        <v>364</v>
      </c>
      <c r="O292" s="77" t="s">
        <v>126</v>
      </c>
      <c r="P292" s="77"/>
      <c r="Q292" s="31"/>
      <c r="R292" s="63"/>
    </row>
    <row r="293" spans="1:18" ht="39.75" hidden="1" customHeight="1" x14ac:dyDescent="0.25">
      <c r="A293" s="78">
        <f>IF(B293="","",COUNTA($B$7:B292))</f>
        <v>286</v>
      </c>
      <c r="B293" s="85">
        <v>46093</v>
      </c>
      <c r="C293" s="77" t="s">
        <v>208</v>
      </c>
      <c r="D293" s="77" t="s">
        <v>79</v>
      </c>
      <c r="E293" s="77" t="s">
        <v>742</v>
      </c>
      <c r="F293" s="77" t="s">
        <v>118</v>
      </c>
      <c r="G293" s="110" t="s">
        <v>743</v>
      </c>
      <c r="H293" s="131" t="s">
        <v>118</v>
      </c>
      <c r="I293" s="86" t="str">
        <f t="shared" si="8"/>
        <v>LENC</v>
      </c>
      <c r="J293" s="86" t="str">
        <f t="shared" si="9"/>
        <v>26</v>
      </c>
      <c r="K293" s="77" t="s">
        <v>744</v>
      </c>
      <c r="L293" s="77">
        <v>1</v>
      </c>
      <c r="M293" s="77" t="s">
        <v>745</v>
      </c>
      <c r="N293" s="88" t="s">
        <v>270</v>
      </c>
      <c r="O293" s="77" t="s">
        <v>159</v>
      </c>
      <c r="P293" s="77"/>
      <c r="Q293" s="31"/>
      <c r="R293" s="63"/>
    </row>
    <row r="294" spans="1:18" ht="39.75" hidden="1" customHeight="1" x14ac:dyDescent="0.25">
      <c r="A294" s="78">
        <f>IF(B294="","",COUNTA($B$7:B293))</f>
        <v>287</v>
      </c>
      <c r="B294" s="85">
        <v>46093</v>
      </c>
      <c r="C294" s="77" t="s">
        <v>305</v>
      </c>
      <c r="D294" s="77" t="s">
        <v>327</v>
      </c>
      <c r="E294" s="77" t="s">
        <v>746</v>
      </c>
      <c r="F294" s="77" t="s">
        <v>118</v>
      </c>
      <c r="G294" s="77" t="s">
        <v>747</v>
      </c>
      <c r="H294" s="131" t="s">
        <v>118</v>
      </c>
      <c r="I294" s="86" t="str">
        <f t="shared" si="8"/>
        <v>LENC</v>
      </c>
      <c r="J294" s="86" t="str">
        <f t="shared" si="9"/>
        <v>26</v>
      </c>
      <c r="K294" s="77" t="s">
        <v>748</v>
      </c>
      <c r="L294" s="77">
        <v>1</v>
      </c>
      <c r="M294" s="77" t="s">
        <v>749</v>
      </c>
      <c r="N294" s="88"/>
      <c r="O294" s="77" t="s">
        <v>172</v>
      </c>
      <c r="P294" s="77"/>
      <c r="Q294" s="31"/>
      <c r="R294" s="63"/>
    </row>
    <row r="295" spans="1:18" ht="39.75" hidden="1" customHeight="1" x14ac:dyDescent="0.25">
      <c r="A295" s="78">
        <f>IF(B295="","",COUNTA($B$7:B294))</f>
        <v>288</v>
      </c>
      <c r="B295" s="85">
        <v>46093</v>
      </c>
      <c r="C295" s="77" t="s">
        <v>305</v>
      </c>
      <c r="D295" s="77" t="s">
        <v>330</v>
      </c>
      <c r="E295" s="122" t="s">
        <v>567</v>
      </c>
      <c r="F295" s="77" t="s">
        <v>118</v>
      </c>
      <c r="G295" s="77" t="s">
        <v>750</v>
      </c>
      <c r="H295" s="131" t="s">
        <v>118</v>
      </c>
      <c r="I295" s="86" t="str">
        <f t="shared" si="8"/>
        <v>LENC</v>
      </c>
      <c r="J295" s="86" t="str">
        <f t="shared" si="9"/>
        <v>26</v>
      </c>
      <c r="K295" s="77" t="s">
        <v>751</v>
      </c>
      <c r="L295" s="77">
        <v>1</v>
      </c>
      <c r="M295" s="77" t="s">
        <v>752</v>
      </c>
      <c r="N295" s="88">
        <v>57</v>
      </c>
      <c r="O295" s="77" t="s">
        <v>159</v>
      </c>
      <c r="P295" s="77"/>
      <c r="Q295" s="31"/>
      <c r="R295" s="63"/>
    </row>
    <row r="296" spans="1:18" ht="39.75" hidden="1" customHeight="1" x14ac:dyDescent="0.25">
      <c r="A296" s="78">
        <f>IF(B296="","",COUNTA($B$7:B295))</f>
        <v>289</v>
      </c>
      <c r="B296" s="85">
        <v>46093</v>
      </c>
      <c r="C296" s="77" t="s">
        <v>443</v>
      </c>
      <c r="D296" s="77" t="s">
        <v>211</v>
      </c>
      <c r="E296" s="77" t="s">
        <v>360</v>
      </c>
      <c r="F296" s="77" t="s">
        <v>118</v>
      </c>
      <c r="G296" s="77">
        <v>20955</v>
      </c>
      <c r="H296" s="131" t="s">
        <v>118</v>
      </c>
      <c r="I296" s="86" t="str">
        <f t="shared" si="8"/>
        <v>LENC</v>
      </c>
      <c r="J296" s="86" t="str">
        <f t="shared" si="9"/>
        <v>26</v>
      </c>
      <c r="K296" s="77" t="s">
        <v>753</v>
      </c>
      <c r="L296" s="77">
        <v>1</v>
      </c>
      <c r="M296" s="77" t="s">
        <v>754</v>
      </c>
      <c r="N296" s="88" t="s">
        <v>711</v>
      </c>
      <c r="O296" s="77" t="s">
        <v>172</v>
      </c>
      <c r="P296" s="77" t="s">
        <v>755</v>
      </c>
      <c r="Q296" s="31"/>
      <c r="R296" s="63"/>
    </row>
    <row r="297" spans="1:18" ht="39.75" hidden="1" customHeight="1" x14ac:dyDescent="0.25">
      <c r="A297" s="78">
        <f>IF(B297="","",COUNTA($B$7:B296))</f>
        <v>290</v>
      </c>
      <c r="B297" s="85">
        <v>46094</v>
      </c>
      <c r="C297" s="77" t="s">
        <v>150</v>
      </c>
      <c r="D297" s="77" t="s">
        <v>211</v>
      </c>
      <c r="E297" s="77" t="s">
        <v>756</v>
      </c>
      <c r="F297" s="77" t="s">
        <v>118</v>
      </c>
      <c r="G297" s="77" t="s">
        <v>69</v>
      </c>
      <c r="H297" s="131" t="s">
        <v>118</v>
      </c>
      <c r="I297" s="86" t="str">
        <f t="shared" si="8"/>
        <v>LENC</v>
      </c>
      <c r="J297" s="86" t="str">
        <f t="shared" si="9"/>
        <v>26</v>
      </c>
      <c r="K297" s="77" t="s">
        <v>757</v>
      </c>
      <c r="L297" s="77">
        <v>2</v>
      </c>
      <c r="M297" s="77" t="s">
        <v>758</v>
      </c>
      <c r="N297" s="88" t="s">
        <v>308</v>
      </c>
      <c r="O297" s="77" t="s">
        <v>121</v>
      </c>
      <c r="P297" s="77"/>
      <c r="Q297" s="31"/>
      <c r="R297" s="63"/>
    </row>
    <row r="298" spans="1:18" ht="39.75" hidden="1" customHeight="1" x14ac:dyDescent="0.25">
      <c r="A298" s="78">
        <f>IF(B298="","",COUNTA($B$7:B297))</f>
        <v>291</v>
      </c>
      <c r="B298" s="85">
        <v>46094</v>
      </c>
      <c r="C298" s="77" t="s">
        <v>115</v>
      </c>
      <c r="D298" s="77" t="s">
        <v>334</v>
      </c>
      <c r="E298" s="77" t="s">
        <v>759</v>
      </c>
      <c r="F298" s="77" t="s">
        <v>118</v>
      </c>
      <c r="G298" s="77" t="s">
        <v>760</v>
      </c>
      <c r="H298" s="131" t="s">
        <v>118</v>
      </c>
      <c r="I298" s="86" t="str">
        <f t="shared" si="8"/>
        <v>LENC</v>
      </c>
      <c r="J298" s="86" t="str">
        <f t="shared" si="9"/>
        <v>26</v>
      </c>
      <c r="K298" s="77" t="s">
        <v>761</v>
      </c>
      <c r="L298" s="77">
        <v>4</v>
      </c>
      <c r="M298" s="77" t="s">
        <v>762</v>
      </c>
      <c r="N298" s="88" t="s">
        <v>308</v>
      </c>
      <c r="O298" s="77" t="s">
        <v>121</v>
      </c>
      <c r="P298" s="77"/>
      <c r="Q298" s="31"/>
      <c r="R298" s="63"/>
    </row>
    <row r="299" spans="1:18" ht="39.75" hidden="1" customHeight="1" x14ac:dyDescent="0.25">
      <c r="A299" s="78">
        <f>IF(B299="","",COUNTA($B$7:B298))</f>
        <v>292</v>
      </c>
      <c r="B299" s="85">
        <v>46094</v>
      </c>
      <c r="C299" s="77" t="s">
        <v>115</v>
      </c>
      <c r="D299" s="77" t="s">
        <v>334</v>
      </c>
      <c r="E299" s="77" t="s">
        <v>759</v>
      </c>
      <c r="F299" s="77" t="s">
        <v>118</v>
      </c>
      <c r="G299" s="77">
        <v>8</v>
      </c>
      <c r="H299" s="131" t="s">
        <v>118</v>
      </c>
      <c r="I299" s="86" t="str">
        <f t="shared" si="8"/>
        <v>LENC</v>
      </c>
      <c r="J299" s="86" t="str">
        <f t="shared" si="9"/>
        <v>26</v>
      </c>
      <c r="K299" s="77" t="s">
        <v>761</v>
      </c>
      <c r="L299" s="77">
        <v>1</v>
      </c>
      <c r="M299" s="77" t="s">
        <v>762</v>
      </c>
      <c r="N299" s="88" t="s">
        <v>308</v>
      </c>
      <c r="O299" s="77" t="s">
        <v>121</v>
      </c>
      <c r="P299" s="77"/>
      <c r="Q299" s="31"/>
      <c r="R299" s="63"/>
    </row>
    <row r="300" spans="1:18" ht="39.75" hidden="1" customHeight="1" x14ac:dyDescent="0.25">
      <c r="A300" s="78">
        <f>IF(B300="","",COUNTA($B$7:B299))</f>
        <v>293</v>
      </c>
      <c r="B300" s="85">
        <v>46094</v>
      </c>
      <c r="C300" s="77" t="s">
        <v>115</v>
      </c>
      <c r="D300" s="77" t="s">
        <v>336</v>
      </c>
      <c r="E300" s="77" t="s">
        <v>759</v>
      </c>
      <c r="F300" s="77" t="s">
        <v>118</v>
      </c>
      <c r="G300" s="77">
        <v>1</v>
      </c>
      <c r="H300" s="131" t="s">
        <v>118</v>
      </c>
      <c r="I300" s="86" t="str">
        <f t="shared" si="8"/>
        <v>LENC</v>
      </c>
      <c r="J300" s="86" t="str">
        <f t="shared" si="9"/>
        <v>26</v>
      </c>
      <c r="K300" s="77" t="s">
        <v>761</v>
      </c>
      <c r="L300" s="77">
        <v>1</v>
      </c>
      <c r="M300" s="77" t="s">
        <v>762</v>
      </c>
      <c r="N300" s="88">
        <v>98</v>
      </c>
      <c r="O300" s="77" t="s">
        <v>159</v>
      </c>
      <c r="P300" s="77"/>
      <c r="Q300" s="31"/>
      <c r="R300" s="63"/>
    </row>
    <row r="301" spans="1:18" ht="39.75" hidden="1" customHeight="1" x14ac:dyDescent="0.25">
      <c r="A301" s="78">
        <f>IF(B301="","",COUNTA($B$7:B300))</f>
        <v>294</v>
      </c>
      <c r="B301" s="85">
        <v>46094</v>
      </c>
      <c r="C301" s="77" t="s">
        <v>115</v>
      </c>
      <c r="D301" s="77" t="s">
        <v>339</v>
      </c>
      <c r="E301" s="77" t="s">
        <v>759</v>
      </c>
      <c r="F301" s="77" t="s">
        <v>118</v>
      </c>
      <c r="G301" s="77">
        <v>7</v>
      </c>
      <c r="H301" s="131" t="s">
        <v>118</v>
      </c>
      <c r="I301" s="86" t="str">
        <f t="shared" si="8"/>
        <v>LENC</v>
      </c>
      <c r="J301" s="86" t="str">
        <f t="shared" si="9"/>
        <v>26</v>
      </c>
      <c r="K301" s="77" t="s">
        <v>761</v>
      </c>
      <c r="L301" s="77">
        <v>1</v>
      </c>
      <c r="M301" s="77" t="s">
        <v>762</v>
      </c>
      <c r="N301" s="88">
        <v>98</v>
      </c>
      <c r="O301" s="77" t="s">
        <v>159</v>
      </c>
      <c r="P301" s="77"/>
      <c r="Q301" s="31"/>
      <c r="R301" s="63"/>
    </row>
    <row r="302" spans="1:18" ht="39.75" hidden="1" customHeight="1" x14ac:dyDescent="0.25">
      <c r="A302" s="78">
        <f>IF(B302="","",COUNTA($B$7:B301))</f>
        <v>295</v>
      </c>
      <c r="B302" s="85">
        <v>46086</v>
      </c>
      <c r="C302" s="77" t="s">
        <v>152</v>
      </c>
      <c r="D302" s="77" t="s">
        <v>341</v>
      </c>
      <c r="E302" s="77" t="s">
        <v>152</v>
      </c>
      <c r="F302" s="77" t="s">
        <v>118</v>
      </c>
      <c r="G302" s="77">
        <v>21660</v>
      </c>
      <c r="H302" s="131" t="s">
        <v>118</v>
      </c>
      <c r="I302" s="86" t="str">
        <f t="shared" si="8"/>
        <v>LENC</v>
      </c>
      <c r="J302" s="86" t="str">
        <f t="shared" si="9"/>
        <v>26</v>
      </c>
      <c r="K302" s="77" t="s">
        <v>763</v>
      </c>
      <c r="L302" s="77">
        <v>1</v>
      </c>
      <c r="M302" s="77" t="s">
        <v>764</v>
      </c>
      <c r="N302" s="88" t="s">
        <v>432</v>
      </c>
      <c r="O302" s="77" t="s">
        <v>172</v>
      </c>
      <c r="P302" s="77"/>
      <c r="Q302" s="31"/>
      <c r="R302" s="63"/>
    </row>
    <row r="303" spans="1:18" ht="39.75" hidden="1" customHeight="1" x14ac:dyDescent="0.25">
      <c r="A303" s="78">
        <f>IF(B303="","",COUNTA($B$7:B302))</f>
        <v>296</v>
      </c>
      <c r="B303" s="85">
        <v>46086</v>
      </c>
      <c r="C303" s="77" t="s">
        <v>152</v>
      </c>
      <c r="D303" s="77" t="s">
        <v>344</v>
      </c>
      <c r="E303" s="77" t="s">
        <v>152</v>
      </c>
      <c r="F303" s="77" t="s">
        <v>118</v>
      </c>
      <c r="G303" s="77">
        <v>21656</v>
      </c>
      <c r="H303" s="131" t="s">
        <v>118</v>
      </c>
      <c r="I303" s="86" t="str">
        <f t="shared" si="8"/>
        <v>LENC</v>
      </c>
      <c r="J303" s="86" t="str">
        <f t="shared" si="9"/>
        <v>26</v>
      </c>
      <c r="K303" s="77" t="s">
        <v>765</v>
      </c>
      <c r="L303" s="77">
        <v>1</v>
      </c>
      <c r="M303" s="77" t="s">
        <v>766</v>
      </c>
      <c r="N303" s="88" t="s">
        <v>711</v>
      </c>
      <c r="O303" s="77" t="s">
        <v>172</v>
      </c>
      <c r="P303" s="77"/>
      <c r="Q303" s="31"/>
      <c r="R303" s="63"/>
    </row>
    <row r="304" spans="1:18" ht="39.75" hidden="1" customHeight="1" x14ac:dyDescent="0.25">
      <c r="A304" s="78">
        <f>IF(B304="","",COUNTA($B$7:B303))</f>
        <v>297</v>
      </c>
      <c r="B304" s="85">
        <v>46097</v>
      </c>
      <c r="C304" s="77" t="s">
        <v>115</v>
      </c>
      <c r="D304" s="77" t="s">
        <v>347</v>
      </c>
      <c r="E304" s="77" t="s">
        <v>767</v>
      </c>
      <c r="F304" s="77" t="s">
        <v>118</v>
      </c>
      <c r="G304" s="77">
        <v>25172</v>
      </c>
      <c r="H304" s="131" t="s">
        <v>118</v>
      </c>
      <c r="I304" s="86" t="str">
        <f t="shared" si="8"/>
        <v>LENC</v>
      </c>
      <c r="J304" s="86" t="str">
        <f t="shared" si="9"/>
        <v>26</v>
      </c>
      <c r="K304" s="77" t="s">
        <v>768</v>
      </c>
      <c r="L304" s="77">
        <v>1</v>
      </c>
      <c r="M304" s="77" t="s">
        <v>769</v>
      </c>
      <c r="N304" s="88" t="s">
        <v>166</v>
      </c>
      <c r="O304" s="77" t="s">
        <v>121</v>
      </c>
      <c r="P304" s="77"/>
      <c r="Q304" s="31"/>
      <c r="R304" s="63"/>
    </row>
    <row r="305" spans="1:18" ht="39.75" hidden="1" customHeight="1" x14ac:dyDescent="0.25">
      <c r="A305" s="78">
        <f>IF(B305="","",COUNTA($B$7:B304))</f>
        <v>298</v>
      </c>
      <c r="B305" s="85">
        <v>46097</v>
      </c>
      <c r="C305" s="77" t="s">
        <v>446</v>
      </c>
      <c r="D305" s="77" t="s">
        <v>352</v>
      </c>
      <c r="E305" s="77" t="s">
        <v>446</v>
      </c>
      <c r="F305" s="77" t="s">
        <v>118</v>
      </c>
      <c r="G305" s="77" t="s">
        <v>69</v>
      </c>
      <c r="H305" s="131" t="s">
        <v>118</v>
      </c>
      <c r="I305" s="86" t="str">
        <f t="shared" si="8"/>
        <v>LENC</v>
      </c>
      <c r="J305" s="86" t="str">
        <f t="shared" si="9"/>
        <v>26</v>
      </c>
      <c r="K305" s="77" t="s">
        <v>69</v>
      </c>
      <c r="L305" s="77">
        <v>1</v>
      </c>
      <c r="M305" s="77" t="s">
        <v>69</v>
      </c>
      <c r="N305" s="88" t="s">
        <v>308</v>
      </c>
      <c r="O305" s="77" t="s">
        <v>121</v>
      </c>
      <c r="P305" s="77"/>
      <c r="Q305" s="31"/>
      <c r="R305" s="63"/>
    </row>
    <row r="306" spans="1:18" ht="39.75" hidden="1" customHeight="1" x14ac:dyDescent="0.25">
      <c r="A306" s="78">
        <f>IF(B306="","",COUNTA($B$7:B305))</f>
        <v>299</v>
      </c>
      <c r="B306" s="85">
        <v>46043</v>
      </c>
      <c r="C306" s="77" t="s">
        <v>152</v>
      </c>
      <c r="D306" s="77" t="s">
        <v>356</v>
      </c>
      <c r="E306" s="77" t="s">
        <v>152</v>
      </c>
      <c r="F306" s="77" t="s">
        <v>118</v>
      </c>
      <c r="G306" s="77" t="s">
        <v>770</v>
      </c>
      <c r="H306" s="131" t="s">
        <v>118</v>
      </c>
      <c r="I306" s="86" t="str">
        <f t="shared" si="8"/>
        <v>LENC</v>
      </c>
      <c r="J306" s="86" t="str">
        <f t="shared" si="9"/>
        <v>26</v>
      </c>
      <c r="K306" s="77" t="s">
        <v>771</v>
      </c>
      <c r="L306" s="77">
        <v>1</v>
      </c>
      <c r="M306" s="77" t="s">
        <v>772</v>
      </c>
      <c r="N306" s="88"/>
      <c r="O306" s="77" t="s">
        <v>121</v>
      </c>
      <c r="P306" s="77"/>
      <c r="Q306" s="31"/>
      <c r="R306" s="63"/>
    </row>
    <row r="307" spans="1:18" ht="39.75" hidden="1" customHeight="1" x14ac:dyDescent="0.25">
      <c r="A307" s="78">
        <f>IF(B307="","",COUNTA($B$7:B306))</f>
        <v>300</v>
      </c>
      <c r="B307" s="85">
        <v>46094</v>
      </c>
      <c r="C307" s="77" t="s">
        <v>459</v>
      </c>
      <c r="D307" s="77" t="s">
        <v>359</v>
      </c>
      <c r="E307" s="77" t="s">
        <v>460</v>
      </c>
      <c r="F307" s="77" t="s">
        <v>118</v>
      </c>
      <c r="G307" s="77">
        <v>21334</v>
      </c>
      <c r="H307" s="131" t="s">
        <v>118</v>
      </c>
      <c r="I307" s="86" t="str">
        <f t="shared" si="8"/>
        <v>LENC</v>
      </c>
      <c r="J307" s="86" t="str">
        <f t="shared" si="9"/>
        <v>26</v>
      </c>
      <c r="K307" s="77" t="s">
        <v>461</v>
      </c>
      <c r="L307" s="77">
        <v>1</v>
      </c>
      <c r="M307" s="77" t="s">
        <v>462</v>
      </c>
      <c r="N307" s="88" t="s">
        <v>364</v>
      </c>
      <c r="O307" s="77" t="s">
        <v>126</v>
      </c>
      <c r="P307" s="77" t="s">
        <v>773</v>
      </c>
      <c r="Q307" s="31"/>
      <c r="R307" s="63"/>
    </row>
    <row r="308" spans="1:18" ht="39.75" hidden="1" customHeight="1" x14ac:dyDescent="0.25">
      <c r="A308" s="78">
        <f>IF(B308="","",COUNTA($B$7:B307))</f>
        <v>301</v>
      </c>
      <c r="B308" s="85">
        <v>46073</v>
      </c>
      <c r="C308" s="77" t="s">
        <v>115</v>
      </c>
      <c r="D308" s="77" t="s">
        <v>362</v>
      </c>
      <c r="E308" s="77" t="s">
        <v>774</v>
      </c>
      <c r="F308" s="77" t="s">
        <v>118</v>
      </c>
      <c r="G308" s="77">
        <v>30422</v>
      </c>
      <c r="H308" s="131" t="s">
        <v>118</v>
      </c>
      <c r="I308" s="86" t="str">
        <f t="shared" si="8"/>
        <v>LENC</v>
      </c>
      <c r="J308" s="86" t="str">
        <f t="shared" si="9"/>
        <v>26</v>
      </c>
      <c r="K308" s="77" t="s">
        <v>775</v>
      </c>
      <c r="L308" s="77">
        <v>1</v>
      </c>
      <c r="M308" s="77" t="s">
        <v>776</v>
      </c>
      <c r="N308" s="88" t="s">
        <v>711</v>
      </c>
      <c r="O308" s="77" t="s">
        <v>172</v>
      </c>
      <c r="P308" s="77"/>
      <c r="Q308" s="31"/>
      <c r="R308" s="63"/>
    </row>
    <row r="309" spans="1:18" ht="39.75" hidden="1" customHeight="1" x14ac:dyDescent="0.25">
      <c r="A309" s="78">
        <f>IF(B309="","",COUNTA($B$7:B308))</f>
        <v>302</v>
      </c>
      <c r="B309" s="85">
        <v>46097</v>
      </c>
      <c r="C309" s="77" t="s">
        <v>305</v>
      </c>
      <c r="D309" s="77" t="s">
        <v>365</v>
      </c>
      <c r="E309" s="77" t="s">
        <v>777</v>
      </c>
      <c r="F309" s="77" t="s">
        <v>118</v>
      </c>
      <c r="G309" s="77" t="s">
        <v>778</v>
      </c>
      <c r="H309" s="131" t="s">
        <v>118</v>
      </c>
      <c r="I309" s="86" t="str">
        <f t="shared" si="8"/>
        <v>LENC</v>
      </c>
      <c r="J309" s="86" t="str">
        <f t="shared" si="9"/>
        <v>26</v>
      </c>
      <c r="K309" s="77" t="s">
        <v>779</v>
      </c>
      <c r="L309" s="77">
        <v>1</v>
      </c>
      <c r="M309" s="77" t="s">
        <v>780</v>
      </c>
      <c r="N309" s="88" t="s">
        <v>198</v>
      </c>
      <c r="O309" s="77" t="s">
        <v>172</v>
      </c>
      <c r="P309" s="77"/>
      <c r="Q309" s="31"/>
      <c r="R309" s="63"/>
    </row>
    <row r="310" spans="1:18" ht="39.75" hidden="1" customHeight="1" x14ac:dyDescent="0.25">
      <c r="A310" s="78">
        <f>IF(B310="","",COUNTA($B$7:B309))</f>
        <v>303</v>
      </c>
      <c r="B310" s="85">
        <v>46097</v>
      </c>
      <c r="C310" s="77" t="s">
        <v>305</v>
      </c>
      <c r="D310" s="77" t="s">
        <v>359</v>
      </c>
      <c r="E310" s="77" t="s">
        <v>777</v>
      </c>
      <c r="F310" s="77" t="s">
        <v>118</v>
      </c>
      <c r="G310" s="77" t="s">
        <v>781</v>
      </c>
      <c r="H310" s="131" t="s">
        <v>118</v>
      </c>
      <c r="I310" s="86" t="str">
        <f t="shared" si="8"/>
        <v>LENC</v>
      </c>
      <c r="J310" s="86" t="str">
        <f t="shared" si="9"/>
        <v>26</v>
      </c>
      <c r="K310" s="77" t="s">
        <v>779</v>
      </c>
      <c r="L310" s="77">
        <v>1</v>
      </c>
      <c r="M310" s="77" t="s">
        <v>780</v>
      </c>
      <c r="N310" s="88" t="s">
        <v>198</v>
      </c>
      <c r="O310" s="77" t="s">
        <v>172</v>
      </c>
      <c r="P310" s="77"/>
      <c r="Q310" s="31"/>
      <c r="R310" s="63"/>
    </row>
    <row r="311" spans="1:18" ht="39.75" hidden="1" customHeight="1" x14ac:dyDescent="0.25">
      <c r="A311" s="78">
        <f>IF(B311="","",COUNTA($B$7:B310))</f>
        <v>304</v>
      </c>
      <c r="B311" s="85">
        <v>46097</v>
      </c>
      <c r="C311" s="77" t="s">
        <v>305</v>
      </c>
      <c r="D311" s="77" t="s">
        <v>369</v>
      </c>
      <c r="E311" s="77" t="s">
        <v>777</v>
      </c>
      <c r="F311" s="77" t="s">
        <v>118</v>
      </c>
      <c r="G311" s="77" t="s">
        <v>782</v>
      </c>
      <c r="H311" s="131" t="s">
        <v>118</v>
      </c>
      <c r="I311" s="86" t="str">
        <f t="shared" si="8"/>
        <v>LENC</v>
      </c>
      <c r="J311" s="86" t="str">
        <f t="shared" si="9"/>
        <v>26</v>
      </c>
      <c r="K311" s="77" t="s">
        <v>779</v>
      </c>
      <c r="L311" s="77">
        <v>1</v>
      </c>
      <c r="M311" s="77" t="s">
        <v>780</v>
      </c>
      <c r="N311" s="88" t="s">
        <v>198</v>
      </c>
      <c r="O311" s="77" t="s">
        <v>172</v>
      </c>
      <c r="P311" s="77"/>
      <c r="Q311" s="31"/>
      <c r="R311" s="63"/>
    </row>
    <row r="312" spans="1:18" ht="39.75" hidden="1" customHeight="1" x14ac:dyDescent="0.25">
      <c r="A312" s="78">
        <f>IF(B312="","",COUNTA($B$7:B311))</f>
        <v>305</v>
      </c>
      <c r="B312" s="85">
        <v>46097</v>
      </c>
      <c r="C312" s="77" t="s">
        <v>305</v>
      </c>
      <c r="D312" s="77" t="s">
        <v>372</v>
      </c>
      <c r="E312" s="77" t="s">
        <v>777</v>
      </c>
      <c r="F312" s="77" t="s">
        <v>118</v>
      </c>
      <c r="G312" s="77" t="s">
        <v>783</v>
      </c>
      <c r="H312" s="131" t="s">
        <v>118</v>
      </c>
      <c r="I312" s="86" t="str">
        <f t="shared" si="8"/>
        <v>LENC</v>
      </c>
      <c r="J312" s="86" t="str">
        <f t="shared" si="9"/>
        <v>26</v>
      </c>
      <c r="K312" s="77" t="s">
        <v>779</v>
      </c>
      <c r="L312" s="77">
        <v>1</v>
      </c>
      <c r="M312" s="77" t="s">
        <v>780</v>
      </c>
      <c r="N312" s="88" t="s">
        <v>198</v>
      </c>
      <c r="O312" s="77" t="s">
        <v>172</v>
      </c>
      <c r="P312" s="77"/>
      <c r="Q312" s="31"/>
      <c r="R312" s="63"/>
    </row>
    <row r="313" spans="1:18" ht="39.75" hidden="1" customHeight="1" x14ac:dyDescent="0.25">
      <c r="A313" s="78">
        <f>IF(B313="","",COUNTA($B$7:B312))</f>
        <v>306</v>
      </c>
      <c r="B313" s="85">
        <v>46097</v>
      </c>
      <c r="C313" s="77" t="s">
        <v>305</v>
      </c>
      <c r="D313" s="77" t="s">
        <v>374</v>
      </c>
      <c r="E313" s="77" t="s">
        <v>777</v>
      </c>
      <c r="F313" s="77" t="s">
        <v>118</v>
      </c>
      <c r="G313" s="77" t="s">
        <v>784</v>
      </c>
      <c r="H313" s="131" t="s">
        <v>118</v>
      </c>
      <c r="I313" s="86" t="str">
        <f t="shared" si="8"/>
        <v>LENC</v>
      </c>
      <c r="J313" s="86" t="str">
        <f t="shared" si="9"/>
        <v>26</v>
      </c>
      <c r="K313" s="77" t="s">
        <v>779</v>
      </c>
      <c r="L313" s="77">
        <v>1</v>
      </c>
      <c r="M313" s="77" t="s">
        <v>780</v>
      </c>
      <c r="N313" s="88" t="s">
        <v>198</v>
      </c>
      <c r="O313" s="77" t="s">
        <v>172</v>
      </c>
      <c r="P313" s="77"/>
      <c r="Q313" s="31"/>
      <c r="R313" s="63"/>
    </row>
    <row r="314" spans="1:18" ht="39.75" hidden="1" customHeight="1" x14ac:dyDescent="0.25">
      <c r="A314" s="78">
        <f>IF(B314="","",COUNTA($B$7:B313))</f>
        <v>307</v>
      </c>
      <c r="B314" s="85">
        <v>46097</v>
      </c>
      <c r="C314" s="77" t="s">
        <v>305</v>
      </c>
      <c r="D314" s="77" t="s">
        <v>377</v>
      </c>
      <c r="E314" s="77" t="s">
        <v>777</v>
      </c>
      <c r="F314" s="77" t="s">
        <v>118</v>
      </c>
      <c r="G314" s="77" t="s">
        <v>785</v>
      </c>
      <c r="H314" s="131" t="s">
        <v>118</v>
      </c>
      <c r="I314" s="86" t="str">
        <f t="shared" si="8"/>
        <v>LENC</v>
      </c>
      <c r="J314" s="86" t="str">
        <f t="shared" si="9"/>
        <v>26</v>
      </c>
      <c r="K314" s="77" t="s">
        <v>779</v>
      </c>
      <c r="L314" s="77">
        <v>1</v>
      </c>
      <c r="M314" s="77" t="s">
        <v>780</v>
      </c>
      <c r="N314" s="88" t="s">
        <v>198</v>
      </c>
      <c r="O314" s="77" t="s">
        <v>172</v>
      </c>
      <c r="P314" s="77"/>
      <c r="Q314" s="31"/>
      <c r="R314" s="63"/>
    </row>
    <row r="315" spans="1:18" ht="39.75" hidden="1" customHeight="1" x14ac:dyDescent="0.25">
      <c r="A315" s="78">
        <f>IF(B315="","",COUNTA($B$7:B314))</f>
        <v>308</v>
      </c>
      <c r="B315" s="85">
        <v>46097</v>
      </c>
      <c r="C315" s="77" t="s">
        <v>305</v>
      </c>
      <c r="D315" s="77" t="s">
        <v>380</v>
      </c>
      <c r="E315" s="77" t="s">
        <v>777</v>
      </c>
      <c r="F315" s="77" t="s">
        <v>118</v>
      </c>
      <c r="G315" s="77" t="s">
        <v>786</v>
      </c>
      <c r="H315" s="131" t="s">
        <v>118</v>
      </c>
      <c r="I315" s="86" t="str">
        <f t="shared" si="8"/>
        <v>LENC</v>
      </c>
      <c r="J315" s="86" t="str">
        <f t="shared" si="9"/>
        <v>26</v>
      </c>
      <c r="K315" s="77" t="s">
        <v>779</v>
      </c>
      <c r="L315" s="77">
        <v>1</v>
      </c>
      <c r="M315" s="77" t="s">
        <v>780</v>
      </c>
      <c r="N315" s="88" t="s">
        <v>198</v>
      </c>
      <c r="O315" s="77" t="s">
        <v>172</v>
      </c>
      <c r="P315" s="77"/>
      <c r="Q315" s="31"/>
      <c r="R315" s="63"/>
    </row>
    <row r="316" spans="1:18" ht="39.75" hidden="1" customHeight="1" x14ac:dyDescent="0.25">
      <c r="A316" s="78">
        <f>IF(B316="","",COUNTA($B$7:B315))</f>
        <v>309</v>
      </c>
      <c r="B316" s="85">
        <v>46097</v>
      </c>
      <c r="C316" s="77" t="s">
        <v>305</v>
      </c>
      <c r="D316" s="77" t="s">
        <v>383</v>
      </c>
      <c r="E316" s="77" t="s">
        <v>777</v>
      </c>
      <c r="F316" s="77" t="s">
        <v>118</v>
      </c>
      <c r="G316" s="77" t="s">
        <v>787</v>
      </c>
      <c r="H316" s="131" t="s">
        <v>118</v>
      </c>
      <c r="I316" s="86" t="str">
        <f t="shared" si="8"/>
        <v>LENC</v>
      </c>
      <c r="J316" s="86" t="str">
        <f t="shared" si="9"/>
        <v>26</v>
      </c>
      <c r="K316" s="77" t="s">
        <v>779</v>
      </c>
      <c r="L316" s="77">
        <v>1</v>
      </c>
      <c r="M316" s="77" t="s">
        <v>780</v>
      </c>
      <c r="N316" s="88" t="s">
        <v>198</v>
      </c>
      <c r="O316" s="77" t="s">
        <v>172</v>
      </c>
      <c r="P316" s="77"/>
      <c r="Q316" s="31"/>
      <c r="R316" s="63"/>
    </row>
    <row r="317" spans="1:18" ht="39.75" hidden="1" customHeight="1" x14ac:dyDescent="0.25">
      <c r="A317" s="78">
        <f>IF(B317="","",COUNTA($B$7:B316))</f>
        <v>310</v>
      </c>
      <c r="B317" s="85">
        <v>46098</v>
      </c>
      <c r="C317" s="77" t="s">
        <v>788</v>
      </c>
      <c r="D317" s="77" t="s">
        <v>116</v>
      </c>
      <c r="E317" s="77" t="s">
        <v>789</v>
      </c>
      <c r="F317" s="77" t="s">
        <v>118</v>
      </c>
      <c r="G317" s="114">
        <v>999031</v>
      </c>
      <c r="H317" s="131" t="s">
        <v>118</v>
      </c>
      <c r="I317" s="86" t="str">
        <f t="shared" si="8"/>
        <v>LENC</v>
      </c>
      <c r="J317" s="86" t="str">
        <f t="shared" si="9"/>
        <v>26</v>
      </c>
      <c r="K317" s="77" t="s">
        <v>790</v>
      </c>
      <c r="L317" s="77">
        <v>1</v>
      </c>
      <c r="M317" s="77" t="s">
        <v>791</v>
      </c>
      <c r="N317" s="88"/>
      <c r="O317" s="77" t="s">
        <v>121</v>
      </c>
      <c r="P317" s="77"/>
      <c r="Q317" s="31"/>
      <c r="R317" s="63"/>
    </row>
    <row r="318" spans="1:18" ht="39.75" hidden="1" customHeight="1" x14ac:dyDescent="0.25">
      <c r="A318" s="78">
        <f>IF(B318="","",COUNTA($B$7:B317))</f>
        <v>311</v>
      </c>
      <c r="B318" s="85">
        <v>46098</v>
      </c>
      <c r="C318" s="77" t="s">
        <v>788</v>
      </c>
      <c r="D318" s="77" t="s">
        <v>123</v>
      </c>
      <c r="E318" s="77" t="s">
        <v>69</v>
      </c>
      <c r="F318" s="77" t="s">
        <v>118</v>
      </c>
      <c r="G318" s="114">
        <v>999017</v>
      </c>
      <c r="H318" s="131" t="s">
        <v>118</v>
      </c>
      <c r="I318" s="86" t="str">
        <f t="shared" si="8"/>
        <v>LENC</v>
      </c>
      <c r="J318" s="86" t="str">
        <f t="shared" si="9"/>
        <v>26</v>
      </c>
      <c r="K318" s="77" t="s">
        <v>790</v>
      </c>
      <c r="L318" s="77">
        <v>1</v>
      </c>
      <c r="M318" s="77" t="s">
        <v>791</v>
      </c>
      <c r="N318" s="88"/>
      <c r="O318" s="77" t="s">
        <v>121</v>
      </c>
      <c r="P318" s="77"/>
      <c r="Q318" s="31"/>
      <c r="R318" s="63"/>
    </row>
    <row r="319" spans="1:18" ht="39.75" hidden="1" customHeight="1" x14ac:dyDescent="0.25">
      <c r="A319" s="78">
        <f>IF(B319="","",COUNTA($B$7:B318))</f>
        <v>312</v>
      </c>
      <c r="B319" s="85">
        <v>46098</v>
      </c>
      <c r="C319" s="77" t="s">
        <v>788</v>
      </c>
      <c r="D319" s="77" t="s">
        <v>127</v>
      </c>
      <c r="E319" s="77" t="s">
        <v>69</v>
      </c>
      <c r="F319" s="77" t="s">
        <v>118</v>
      </c>
      <c r="G319" s="114">
        <v>999011</v>
      </c>
      <c r="H319" s="131" t="s">
        <v>118</v>
      </c>
      <c r="I319" s="86" t="str">
        <f t="shared" si="8"/>
        <v>LENC</v>
      </c>
      <c r="J319" s="86" t="str">
        <f t="shared" si="9"/>
        <v>26</v>
      </c>
      <c r="K319" s="77" t="s">
        <v>790</v>
      </c>
      <c r="L319" s="77">
        <v>1</v>
      </c>
      <c r="M319" s="77" t="s">
        <v>791</v>
      </c>
      <c r="N319" s="88"/>
      <c r="O319" s="77" t="s">
        <v>121</v>
      </c>
      <c r="P319" s="77"/>
      <c r="Q319" s="31"/>
      <c r="R319" s="63"/>
    </row>
    <row r="320" spans="1:18" ht="39.75" hidden="1" customHeight="1" x14ac:dyDescent="0.25">
      <c r="A320" s="78">
        <f>IF(B320="","",COUNTA($B$7:B319))</f>
        <v>313</v>
      </c>
      <c r="B320" s="85">
        <v>46098</v>
      </c>
      <c r="C320" s="77" t="s">
        <v>788</v>
      </c>
      <c r="D320" s="77" t="s">
        <v>133</v>
      </c>
      <c r="E320" s="77" t="s">
        <v>69</v>
      </c>
      <c r="F320" s="77" t="s">
        <v>118</v>
      </c>
      <c r="G320" s="114">
        <v>999022</v>
      </c>
      <c r="H320" s="131" t="s">
        <v>118</v>
      </c>
      <c r="I320" s="86" t="str">
        <f t="shared" si="8"/>
        <v>LENC</v>
      </c>
      <c r="J320" s="86" t="str">
        <f t="shared" si="9"/>
        <v>26</v>
      </c>
      <c r="K320" s="77" t="s">
        <v>790</v>
      </c>
      <c r="L320" s="77">
        <v>1</v>
      </c>
      <c r="M320" s="77" t="s">
        <v>791</v>
      </c>
      <c r="N320" s="88"/>
      <c r="O320" s="77" t="s">
        <v>121</v>
      </c>
      <c r="P320" s="77"/>
      <c r="Q320" s="31"/>
      <c r="R320" s="63"/>
    </row>
    <row r="321" spans="1:18" ht="39.75" hidden="1" customHeight="1" x14ac:dyDescent="0.25">
      <c r="A321" s="78">
        <f>IF(B321="","",COUNTA($B$7:B320))</f>
        <v>314</v>
      </c>
      <c r="B321" s="85">
        <v>46098</v>
      </c>
      <c r="C321" s="77" t="s">
        <v>788</v>
      </c>
      <c r="D321" s="77" t="s">
        <v>135</v>
      </c>
      <c r="E321" s="77" t="s">
        <v>69</v>
      </c>
      <c r="F321" s="77" t="s">
        <v>118</v>
      </c>
      <c r="G321" s="114">
        <v>999027</v>
      </c>
      <c r="H321" s="131" t="s">
        <v>118</v>
      </c>
      <c r="I321" s="86" t="str">
        <f t="shared" si="8"/>
        <v>LENC</v>
      </c>
      <c r="J321" s="86" t="str">
        <f t="shared" si="9"/>
        <v>26</v>
      </c>
      <c r="K321" s="77" t="s">
        <v>790</v>
      </c>
      <c r="L321" s="77">
        <v>1</v>
      </c>
      <c r="M321" s="77" t="s">
        <v>791</v>
      </c>
      <c r="N321" s="88"/>
      <c r="O321" s="77" t="s">
        <v>121</v>
      </c>
      <c r="P321" s="77"/>
      <c r="Q321" s="31"/>
      <c r="R321" s="63"/>
    </row>
    <row r="322" spans="1:18" ht="39.75" hidden="1" customHeight="1" x14ac:dyDescent="0.25">
      <c r="A322" s="78">
        <f>IF(B322="","",COUNTA($B$7:B321))</f>
        <v>315</v>
      </c>
      <c r="B322" s="85">
        <v>46098</v>
      </c>
      <c r="C322" s="77" t="s">
        <v>181</v>
      </c>
      <c r="D322" s="77" t="s">
        <v>139</v>
      </c>
      <c r="E322" s="77" t="s">
        <v>181</v>
      </c>
      <c r="F322" s="77" t="s">
        <v>118</v>
      </c>
      <c r="G322" s="114" t="s">
        <v>69</v>
      </c>
      <c r="H322" s="131" t="s">
        <v>118</v>
      </c>
      <c r="I322" s="86" t="str">
        <f t="shared" si="8"/>
        <v>LENC</v>
      </c>
      <c r="J322" s="86" t="str">
        <f t="shared" si="9"/>
        <v>26</v>
      </c>
      <c r="K322" s="77" t="s">
        <v>792</v>
      </c>
      <c r="L322" s="77">
        <v>3</v>
      </c>
      <c r="M322" s="77" t="s">
        <v>793</v>
      </c>
      <c r="N322" s="88" t="s">
        <v>711</v>
      </c>
      <c r="O322" s="77" t="s">
        <v>172</v>
      </c>
      <c r="P322" s="77"/>
      <c r="Q322" s="31"/>
      <c r="R322" s="63"/>
    </row>
    <row r="323" spans="1:18" ht="39.75" hidden="1" customHeight="1" x14ac:dyDescent="0.25">
      <c r="A323" s="78">
        <f>IF(B323="","",COUNTA($B$7:B322))</f>
        <v>316</v>
      </c>
      <c r="B323" s="85">
        <v>46098</v>
      </c>
      <c r="C323" s="77" t="s">
        <v>578</v>
      </c>
      <c r="D323" s="77" t="s">
        <v>146</v>
      </c>
      <c r="E323" s="77" t="s">
        <v>69</v>
      </c>
      <c r="F323" s="77" t="s">
        <v>118</v>
      </c>
      <c r="G323" s="114" t="s">
        <v>69</v>
      </c>
      <c r="H323" s="131" t="s">
        <v>118</v>
      </c>
      <c r="I323" s="86" t="str">
        <f t="shared" si="8"/>
        <v>LENC</v>
      </c>
      <c r="J323" s="86" t="str">
        <f t="shared" si="9"/>
        <v>26</v>
      </c>
      <c r="K323" s="77" t="s">
        <v>69</v>
      </c>
      <c r="L323" s="77">
        <v>4</v>
      </c>
      <c r="M323" s="77" t="s">
        <v>69</v>
      </c>
      <c r="N323" s="88" t="s">
        <v>308</v>
      </c>
      <c r="O323" s="77" t="s">
        <v>121</v>
      </c>
      <c r="P323" s="77"/>
      <c r="Q323" s="31"/>
      <c r="R323" s="63"/>
    </row>
    <row r="324" spans="1:18" ht="39.75" hidden="1" customHeight="1" x14ac:dyDescent="0.25">
      <c r="A324" s="78">
        <f>IF(B324="","",COUNTA($B$7:B323))</f>
        <v>317</v>
      </c>
      <c r="B324" s="85">
        <v>46099</v>
      </c>
      <c r="C324" s="77" t="s">
        <v>138</v>
      </c>
      <c r="D324" s="77" t="s">
        <v>794</v>
      </c>
      <c r="E324" s="77" t="s">
        <v>795</v>
      </c>
      <c r="F324" s="77" t="s">
        <v>118</v>
      </c>
      <c r="G324" s="114" t="s">
        <v>796</v>
      </c>
      <c r="H324" s="131" t="s">
        <v>118</v>
      </c>
      <c r="I324" s="86" t="str">
        <f t="shared" si="8"/>
        <v>LENC</v>
      </c>
      <c r="J324" s="86" t="str">
        <f t="shared" si="9"/>
        <v>26</v>
      </c>
      <c r="K324" s="77" t="s">
        <v>797</v>
      </c>
      <c r="L324" s="77">
        <v>1</v>
      </c>
      <c r="M324" s="77" t="s">
        <v>798</v>
      </c>
      <c r="N324" s="88" t="s">
        <v>143</v>
      </c>
      <c r="O324" s="77" t="s">
        <v>126</v>
      </c>
      <c r="P324" s="77"/>
      <c r="Q324" s="31"/>
      <c r="R324" s="63"/>
    </row>
    <row r="325" spans="1:18" ht="39.75" hidden="1" customHeight="1" x14ac:dyDescent="0.25">
      <c r="A325" s="78">
        <f>IF(B325="","",COUNTA($B$7:B324))</f>
        <v>318</v>
      </c>
      <c r="B325" s="85">
        <v>46099</v>
      </c>
      <c r="C325" s="77" t="s">
        <v>138</v>
      </c>
      <c r="D325" s="77" t="s">
        <v>154</v>
      </c>
      <c r="E325" s="77" t="s">
        <v>69</v>
      </c>
      <c r="F325" s="77" t="s">
        <v>118</v>
      </c>
      <c r="G325" s="114" t="s">
        <v>799</v>
      </c>
      <c r="H325" s="131" t="s">
        <v>118</v>
      </c>
      <c r="I325" s="86" t="str">
        <f t="shared" si="8"/>
        <v>LENC</v>
      </c>
      <c r="J325" s="86" t="str">
        <f t="shared" si="9"/>
        <v>26</v>
      </c>
      <c r="K325" s="77" t="s">
        <v>800</v>
      </c>
      <c r="L325" s="77">
        <v>1</v>
      </c>
      <c r="M325" s="77" t="s">
        <v>801</v>
      </c>
      <c r="N325" s="88" t="s">
        <v>198</v>
      </c>
      <c r="O325" s="77" t="s">
        <v>172</v>
      </c>
      <c r="P325" s="77"/>
      <c r="Q325" s="31"/>
      <c r="R325" s="63"/>
    </row>
    <row r="326" spans="1:18" ht="39.75" hidden="1" customHeight="1" x14ac:dyDescent="0.25">
      <c r="A326" s="78">
        <f>IF(B326="","",COUNTA($B$7:B325))</f>
        <v>319</v>
      </c>
      <c r="B326" s="85">
        <v>46099</v>
      </c>
      <c r="C326" s="77" t="s">
        <v>138</v>
      </c>
      <c r="D326" s="77" t="s">
        <v>160</v>
      </c>
      <c r="E326" s="77" t="s">
        <v>69</v>
      </c>
      <c r="F326" s="77" t="s">
        <v>118</v>
      </c>
      <c r="G326" s="114" t="s">
        <v>802</v>
      </c>
      <c r="H326" s="131" t="s">
        <v>118</v>
      </c>
      <c r="I326" s="86" t="str">
        <f t="shared" si="8"/>
        <v>LENC</v>
      </c>
      <c r="J326" s="86" t="str">
        <f t="shared" si="9"/>
        <v>26</v>
      </c>
      <c r="K326" s="77" t="s">
        <v>69</v>
      </c>
      <c r="L326" s="77">
        <v>1</v>
      </c>
      <c r="M326" s="77" t="s">
        <v>69</v>
      </c>
      <c r="N326" s="88" t="s">
        <v>166</v>
      </c>
      <c r="O326" s="77" t="s">
        <v>121</v>
      </c>
      <c r="P326" s="77"/>
      <c r="Q326" s="31"/>
      <c r="R326" s="63"/>
    </row>
    <row r="327" spans="1:18" ht="39.75" hidden="1" customHeight="1" x14ac:dyDescent="0.25">
      <c r="A327" s="78">
        <f>IF(B327="","",COUNTA($B$7:B326))</f>
        <v>320</v>
      </c>
      <c r="B327" s="85">
        <v>46099</v>
      </c>
      <c r="C327" s="77" t="s">
        <v>122</v>
      </c>
      <c r="D327" s="77" t="s">
        <v>162</v>
      </c>
      <c r="E327" s="77" t="s">
        <v>803</v>
      </c>
      <c r="F327" s="77" t="s">
        <v>118</v>
      </c>
      <c r="G327" s="77">
        <v>20465</v>
      </c>
      <c r="H327" s="131" t="s">
        <v>118</v>
      </c>
      <c r="I327" s="86" t="str">
        <f t="shared" si="8"/>
        <v>LENC</v>
      </c>
      <c r="J327" s="86" t="str">
        <f t="shared" si="9"/>
        <v>26</v>
      </c>
      <c r="K327" s="77" t="s">
        <v>804</v>
      </c>
      <c r="L327" s="77">
        <v>1</v>
      </c>
      <c r="M327" s="77" t="s">
        <v>805</v>
      </c>
      <c r="N327" s="88" t="s">
        <v>166</v>
      </c>
      <c r="O327" s="77" t="s">
        <v>121</v>
      </c>
      <c r="P327" s="77"/>
      <c r="Q327" s="31"/>
      <c r="R327" s="63"/>
    </row>
    <row r="328" spans="1:18" ht="39.75" hidden="1" customHeight="1" x14ac:dyDescent="0.25">
      <c r="A328" s="78">
        <f>IF(B328="","",COUNTA($B$7:B327))</f>
        <v>321</v>
      </c>
      <c r="B328" s="85">
        <v>46099</v>
      </c>
      <c r="C328" s="77" t="s">
        <v>122</v>
      </c>
      <c r="D328" s="77" t="s">
        <v>164</v>
      </c>
      <c r="E328" s="77" t="s">
        <v>803</v>
      </c>
      <c r="F328" s="77" t="s">
        <v>118</v>
      </c>
      <c r="G328" s="77">
        <v>20466</v>
      </c>
      <c r="H328" s="131" t="s">
        <v>118</v>
      </c>
      <c r="I328" s="86" t="str">
        <f t="shared" si="8"/>
        <v>LENC</v>
      </c>
      <c r="J328" s="86" t="str">
        <f t="shared" si="9"/>
        <v>26</v>
      </c>
      <c r="K328" s="77" t="s">
        <v>804</v>
      </c>
      <c r="L328" s="77">
        <v>1</v>
      </c>
      <c r="M328" s="77" t="s">
        <v>805</v>
      </c>
      <c r="N328" s="88" t="s">
        <v>166</v>
      </c>
      <c r="O328" s="77" t="s">
        <v>121</v>
      </c>
      <c r="P328" s="77"/>
      <c r="Q328" s="31"/>
      <c r="R328" s="63"/>
    </row>
    <row r="329" spans="1:18" ht="39.75" hidden="1" customHeight="1" x14ac:dyDescent="0.25">
      <c r="A329" s="78">
        <f>IF(B329="","",COUNTA($B$7:B328))</f>
        <v>322</v>
      </c>
      <c r="B329" s="85">
        <v>46099</v>
      </c>
      <c r="C329" s="77" t="s">
        <v>122</v>
      </c>
      <c r="D329" s="77" t="s">
        <v>167</v>
      </c>
      <c r="E329" s="77" t="s">
        <v>803</v>
      </c>
      <c r="F329" s="77" t="s">
        <v>118</v>
      </c>
      <c r="G329" s="77">
        <v>20467</v>
      </c>
      <c r="H329" s="131" t="s">
        <v>118</v>
      </c>
      <c r="I329" s="86" t="str">
        <f t="shared" ref="I329:I392" si="10">IF(B329="","","LENC")</f>
        <v>LENC</v>
      </c>
      <c r="J329" s="86" t="str">
        <f t="shared" ref="J329:J392" si="11">IF(B329="","",TEXT(B329,"yy"))</f>
        <v>26</v>
      </c>
      <c r="K329" s="77" t="s">
        <v>69</v>
      </c>
      <c r="L329" s="77">
        <v>1</v>
      </c>
      <c r="M329" s="77" t="s">
        <v>69</v>
      </c>
      <c r="N329" s="88" t="s">
        <v>132</v>
      </c>
      <c r="O329" s="77" t="s">
        <v>126</v>
      </c>
      <c r="P329" s="77"/>
      <c r="Q329" s="31"/>
      <c r="R329" s="63"/>
    </row>
    <row r="330" spans="1:18" ht="39.75" hidden="1" customHeight="1" x14ac:dyDescent="0.25">
      <c r="A330" s="78">
        <f>IF(B330="","",COUNTA($B$7:B329))</f>
        <v>323</v>
      </c>
      <c r="B330" s="85">
        <v>46099</v>
      </c>
      <c r="C330" s="77" t="s">
        <v>122</v>
      </c>
      <c r="D330" s="77" t="s">
        <v>167</v>
      </c>
      <c r="E330" s="77" t="s">
        <v>803</v>
      </c>
      <c r="F330" s="77" t="s">
        <v>118</v>
      </c>
      <c r="G330" s="77">
        <v>20468</v>
      </c>
      <c r="H330" s="131" t="s">
        <v>118</v>
      </c>
      <c r="I330" s="86" t="str">
        <f t="shared" si="10"/>
        <v>LENC</v>
      </c>
      <c r="J330" s="86" t="str">
        <f t="shared" si="11"/>
        <v>26</v>
      </c>
      <c r="K330" s="77" t="s">
        <v>804</v>
      </c>
      <c r="L330" s="77">
        <v>1</v>
      </c>
      <c r="M330" s="77" t="s">
        <v>805</v>
      </c>
      <c r="N330" s="88" t="s">
        <v>166</v>
      </c>
      <c r="O330" s="77" t="s">
        <v>121</v>
      </c>
      <c r="P330" s="77"/>
      <c r="Q330" s="31"/>
      <c r="R330" s="63"/>
    </row>
    <row r="331" spans="1:18" ht="39.75" hidden="1" customHeight="1" x14ac:dyDescent="0.25">
      <c r="A331" s="78">
        <f>IF(B331="","",COUNTA($B$7:B330))</f>
        <v>324</v>
      </c>
      <c r="B331" s="85">
        <v>46099</v>
      </c>
      <c r="C331" s="77" t="s">
        <v>122</v>
      </c>
      <c r="D331" s="77" t="s">
        <v>177</v>
      </c>
      <c r="E331" s="77" t="s">
        <v>803</v>
      </c>
      <c r="F331" s="77" t="s">
        <v>118</v>
      </c>
      <c r="G331" s="77">
        <v>20469</v>
      </c>
      <c r="H331" s="131" t="s">
        <v>118</v>
      </c>
      <c r="I331" s="86" t="str">
        <f t="shared" si="10"/>
        <v>LENC</v>
      </c>
      <c r="J331" s="86" t="str">
        <f t="shared" si="11"/>
        <v>26</v>
      </c>
      <c r="K331" s="77" t="s">
        <v>804</v>
      </c>
      <c r="L331" s="77">
        <v>1</v>
      </c>
      <c r="M331" s="77" t="s">
        <v>805</v>
      </c>
      <c r="N331" s="88" t="s">
        <v>166</v>
      </c>
      <c r="O331" s="77" t="s">
        <v>121</v>
      </c>
      <c r="P331" s="77"/>
      <c r="Q331" s="31"/>
      <c r="R331" s="63"/>
    </row>
    <row r="332" spans="1:18" ht="39.75" hidden="1" customHeight="1" x14ac:dyDescent="0.25">
      <c r="A332" s="78">
        <f>IF(B332="","",COUNTA($B$7:B331))</f>
        <v>325</v>
      </c>
      <c r="B332" s="85">
        <v>46099</v>
      </c>
      <c r="C332" s="77" t="s">
        <v>806</v>
      </c>
      <c r="D332" s="77" t="s">
        <v>182</v>
      </c>
      <c r="E332" s="77" t="s">
        <v>807</v>
      </c>
      <c r="F332" s="77" t="s">
        <v>118</v>
      </c>
      <c r="G332" s="77" t="s">
        <v>69</v>
      </c>
      <c r="H332" s="131" t="s">
        <v>118</v>
      </c>
      <c r="I332" s="86" t="str">
        <f t="shared" si="10"/>
        <v>LENC</v>
      </c>
      <c r="J332" s="86" t="str">
        <f t="shared" si="11"/>
        <v>26</v>
      </c>
      <c r="K332" s="77" t="s">
        <v>808</v>
      </c>
      <c r="L332" s="77">
        <v>1</v>
      </c>
      <c r="M332" s="77" t="s">
        <v>809</v>
      </c>
      <c r="N332" s="88" t="s">
        <v>419</v>
      </c>
      <c r="O332" s="77" t="s">
        <v>172</v>
      </c>
      <c r="P332" s="77"/>
      <c r="Q332" s="31"/>
      <c r="R332" s="63"/>
    </row>
    <row r="333" spans="1:18" ht="39.75" hidden="1" customHeight="1" x14ac:dyDescent="0.25">
      <c r="A333" s="78">
        <f>IF(B333="","",COUNTA($B$7:B332))</f>
        <v>326</v>
      </c>
      <c r="B333" s="85">
        <v>46078</v>
      </c>
      <c r="C333" s="77" t="s">
        <v>208</v>
      </c>
      <c r="D333" s="77" t="s">
        <v>184</v>
      </c>
      <c r="E333" s="77" t="s">
        <v>810</v>
      </c>
      <c r="F333" s="77" t="s">
        <v>118</v>
      </c>
      <c r="G333" s="110" t="s">
        <v>811</v>
      </c>
      <c r="H333" s="131" t="s">
        <v>118</v>
      </c>
      <c r="I333" s="86" t="str">
        <f t="shared" si="10"/>
        <v>LENC</v>
      </c>
      <c r="J333" s="86" t="str">
        <f t="shared" si="11"/>
        <v>26</v>
      </c>
      <c r="K333" s="77" t="s">
        <v>812</v>
      </c>
      <c r="L333" s="77">
        <v>1</v>
      </c>
      <c r="M333" s="77" t="s">
        <v>813</v>
      </c>
      <c r="N333" s="88">
        <v>46</v>
      </c>
      <c r="O333" s="77" t="s">
        <v>159</v>
      </c>
      <c r="P333" s="77" t="s">
        <v>478</v>
      </c>
      <c r="Q333" s="31"/>
      <c r="R333" s="63"/>
    </row>
    <row r="334" spans="1:18" ht="39.75" hidden="1" customHeight="1" x14ac:dyDescent="0.25">
      <c r="A334" s="78">
        <f>IF(B334="","",COUNTA($B$7:B333))</f>
        <v>327</v>
      </c>
      <c r="B334" s="85">
        <v>46078</v>
      </c>
      <c r="C334" s="77" t="s">
        <v>208</v>
      </c>
      <c r="D334" s="77" t="s">
        <v>188</v>
      </c>
      <c r="E334" s="77" t="s">
        <v>810</v>
      </c>
      <c r="F334" s="77" t="s">
        <v>118</v>
      </c>
      <c r="G334" s="110" t="s">
        <v>814</v>
      </c>
      <c r="H334" s="131" t="s">
        <v>118</v>
      </c>
      <c r="I334" s="86" t="str">
        <f t="shared" si="10"/>
        <v>LENC</v>
      </c>
      <c r="J334" s="86" t="str">
        <f t="shared" si="11"/>
        <v>26</v>
      </c>
      <c r="K334" s="77" t="s">
        <v>812</v>
      </c>
      <c r="L334" s="77">
        <v>1</v>
      </c>
      <c r="M334" s="77" t="s">
        <v>813</v>
      </c>
      <c r="N334" s="88">
        <v>46</v>
      </c>
      <c r="O334" s="77" t="s">
        <v>159</v>
      </c>
      <c r="P334" s="77" t="s">
        <v>478</v>
      </c>
      <c r="Q334" s="31"/>
      <c r="R334" s="63"/>
    </row>
    <row r="335" spans="1:18" ht="39.75" hidden="1" customHeight="1" x14ac:dyDescent="0.25">
      <c r="A335" s="78">
        <f>IF(B335="","",COUNTA($B$7:B334))</f>
        <v>328</v>
      </c>
      <c r="B335" s="85">
        <v>46100</v>
      </c>
      <c r="C335" s="77" t="s">
        <v>815</v>
      </c>
      <c r="D335" s="77" t="s">
        <v>816</v>
      </c>
      <c r="E335" s="77" t="s">
        <v>815</v>
      </c>
      <c r="F335" s="77" t="s">
        <v>118</v>
      </c>
      <c r="G335" s="77" t="s">
        <v>817</v>
      </c>
      <c r="H335" s="131" t="s">
        <v>118</v>
      </c>
      <c r="I335" s="86" t="str">
        <f t="shared" si="10"/>
        <v>LENC</v>
      </c>
      <c r="J335" s="86" t="str">
        <f t="shared" si="11"/>
        <v>26</v>
      </c>
      <c r="K335" s="77" t="s">
        <v>818</v>
      </c>
      <c r="L335" s="77">
        <v>2</v>
      </c>
      <c r="M335" s="77" t="s">
        <v>819</v>
      </c>
      <c r="N335" s="88" t="s">
        <v>308</v>
      </c>
      <c r="O335" s="77" t="s">
        <v>172</v>
      </c>
      <c r="P335" s="77" t="s">
        <v>198</v>
      </c>
      <c r="Q335" s="31"/>
      <c r="R335" s="63"/>
    </row>
    <row r="336" spans="1:18" ht="39.75" hidden="1" customHeight="1" x14ac:dyDescent="0.25">
      <c r="A336" s="78">
        <f>IF(B336="","",COUNTA($B$7:B335))</f>
        <v>329</v>
      </c>
      <c r="B336" s="85">
        <v>46100</v>
      </c>
      <c r="C336" s="77" t="s">
        <v>815</v>
      </c>
      <c r="D336" s="77" t="s">
        <v>200</v>
      </c>
      <c r="E336" s="77" t="s">
        <v>815</v>
      </c>
      <c r="F336" s="77" t="s">
        <v>118</v>
      </c>
      <c r="G336" s="77" t="s">
        <v>820</v>
      </c>
      <c r="H336" s="131" t="s">
        <v>118</v>
      </c>
      <c r="I336" s="86" t="str">
        <f t="shared" si="10"/>
        <v>LENC</v>
      </c>
      <c r="J336" s="86" t="str">
        <f t="shared" si="11"/>
        <v>26</v>
      </c>
      <c r="K336" s="77" t="s">
        <v>818</v>
      </c>
      <c r="L336" s="77">
        <v>2</v>
      </c>
      <c r="M336" s="77" t="s">
        <v>819</v>
      </c>
      <c r="N336" s="88" t="s">
        <v>308</v>
      </c>
      <c r="O336" s="77" t="s">
        <v>172</v>
      </c>
      <c r="P336" s="77" t="s">
        <v>198</v>
      </c>
      <c r="Q336" s="31"/>
      <c r="R336" s="63"/>
    </row>
    <row r="337" spans="1:18" ht="39.75" hidden="1" customHeight="1" x14ac:dyDescent="0.25">
      <c r="A337" s="78">
        <f>IF(B337="","",COUNTA($B$7:B336))</f>
        <v>330</v>
      </c>
      <c r="B337" s="85">
        <v>46100</v>
      </c>
      <c r="C337" s="77" t="s">
        <v>815</v>
      </c>
      <c r="D337" s="77" t="s">
        <v>202</v>
      </c>
      <c r="E337" s="77" t="s">
        <v>815</v>
      </c>
      <c r="F337" s="77" t="s">
        <v>118</v>
      </c>
      <c r="G337" s="77" t="s">
        <v>821</v>
      </c>
      <c r="H337" s="131" t="s">
        <v>118</v>
      </c>
      <c r="I337" s="86" t="str">
        <f t="shared" si="10"/>
        <v>LENC</v>
      </c>
      <c r="J337" s="86" t="str">
        <f t="shared" si="11"/>
        <v>26</v>
      </c>
      <c r="K337" s="77" t="s">
        <v>818</v>
      </c>
      <c r="L337" s="77">
        <v>2</v>
      </c>
      <c r="M337" s="77" t="s">
        <v>819</v>
      </c>
      <c r="N337" s="88" t="s">
        <v>308</v>
      </c>
      <c r="O337" s="77" t="s">
        <v>172</v>
      </c>
      <c r="P337" s="77" t="s">
        <v>198</v>
      </c>
      <c r="Q337" s="31"/>
      <c r="R337" s="63"/>
    </row>
    <row r="338" spans="1:18" ht="39.75" hidden="1" customHeight="1" x14ac:dyDescent="0.25">
      <c r="A338" s="78">
        <f>IF(B338="","",COUNTA($B$7:B337))</f>
        <v>331</v>
      </c>
      <c r="B338" s="85">
        <v>46100</v>
      </c>
      <c r="C338" s="77" t="s">
        <v>815</v>
      </c>
      <c r="D338" s="77" t="s">
        <v>188</v>
      </c>
      <c r="E338" s="77" t="s">
        <v>815</v>
      </c>
      <c r="F338" s="77" t="s">
        <v>118</v>
      </c>
      <c r="G338" s="77" t="s">
        <v>822</v>
      </c>
      <c r="H338" s="131" t="s">
        <v>118</v>
      </c>
      <c r="I338" s="86" t="str">
        <f t="shared" si="10"/>
        <v>LENC</v>
      </c>
      <c r="J338" s="86" t="str">
        <f t="shared" si="11"/>
        <v>26</v>
      </c>
      <c r="K338" s="77" t="s">
        <v>818</v>
      </c>
      <c r="L338" s="77">
        <v>2</v>
      </c>
      <c r="M338" s="77" t="s">
        <v>819</v>
      </c>
      <c r="N338" s="88" t="s">
        <v>308</v>
      </c>
      <c r="O338" s="77" t="s">
        <v>172</v>
      </c>
      <c r="P338" s="77" t="s">
        <v>198</v>
      </c>
      <c r="Q338" s="31"/>
      <c r="R338" s="63"/>
    </row>
    <row r="339" spans="1:18" ht="39.75" hidden="1" customHeight="1" x14ac:dyDescent="0.25">
      <c r="A339" s="78">
        <f>IF(B339="","",COUNTA($B$7:B338))</f>
        <v>332</v>
      </c>
      <c r="B339" s="85">
        <v>45980</v>
      </c>
      <c r="C339" s="77" t="s">
        <v>152</v>
      </c>
      <c r="D339" s="77" t="s">
        <v>209</v>
      </c>
      <c r="E339" s="77" t="s">
        <v>152</v>
      </c>
      <c r="F339" s="77" t="s">
        <v>118</v>
      </c>
      <c r="G339" s="77">
        <v>20949</v>
      </c>
      <c r="H339" s="131" t="s">
        <v>118</v>
      </c>
      <c r="I339" s="86" t="str">
        <f t="shared" si="10"/>
        <v>LENC</v>
      </c>
      <c r="J339" s="86" t="str">
        <f t="shared" si="11"/>
        <v>25</v>
      </c>
      <c r="K339" s="77" t="s">
        <v>69</v>
      </c>
      <c r="L339" s="77">
        <v>1</v>
      </c>
      <c r="M339" s="77" t="s">
        <v>69</v>
      </c>
      <c r="N339" s="88">
        <v>37</v>
      </c>
      <c r="O339" s="77" t="s">
        <v>235</v>
      </c>
      <c r="P339" s="77"/>
      <c r="Q339" s="31"/>
      <c r="R339" s="63"/>
    </row>
    <row r="340" spans="1:18" ht="39.75" hidden="1" customHeight="1" x14ac:dyDescent="0.25">
      <c r="A340" s="78">
        <f>IF(B340="","",COUNTA($B$7:B339))</f>
        <v>333</v>
      </c>
      <c r="B340" s="85">
        <v>45980</v>
      </c>
      <c r="C340" s="77" t="s">
        <v>152</v>
      </c>
      <c r="D340" s="77" t="s">
        <v>211</v>
      </c>
      <c r="E340" s="77" t="s">
        <v>823</v>
      </c>
      <c r="F340" s="77" t="s">
        <v>118</v>
      </c>
      <c r="G340" s="77">
        <v>20947</v>
      </c>
      <c r="H340" s="131" t="s">
        <v>118</v>
      </c>
      <c r="I340" s="86" t="str">
        <f t="shared" si="10"/>
        <v>LENC</v>
      </c>
      <c r="J340" s="86" t="str">
        <f t="shared" si="11"/>
        <v>25</v>
      </c>
      <c r="K340" s="77" t="s">
        <v>69</v>
      </c>
      <c r="L340" s="77">
        <v>1</v>
      </c>
      <c r="M340" s="77" t="s">
        <v>69</v>
      </c>
      <c r="N340" s="88">
        <v>37</v>
      </c>
      <c r="O340" s="77" t="s">
        <v>235</v>
      </c>
      <c r="P340" s="77"/>
      <c r="Q340" s="31"/>
      <c r="R340" s="63"/>
    </row>
    <row r="341" spans="1:18" ht="39.75" hidden="1" customHeight="1" x14ac:dyDescent="0.25">
      <c r="A341" s="78">
        <f>IF(B341="","",COUNTA($B$7:B340))</f>
        <v>334</v>
      </c>
      <c r="B341" s="85">
        <v>45980</v>
      </c>
      <c r="C341" s="77" t="s">
        <v>152</v>
      </c>
      <c r="D341" s="77" t="s">
        <v>217</v>
      </c>
      <c r="E341" s="77" t="s">
        <v>152</v>
      </c>
      <c r="F341" s="77" t="s">
        <v>118</v>
      </c>
      <c r="G341" s="77">
        <v>21044</v>
      </c>
      <c r="H341" s="131" t="s">
        <v>118</v>
      </c>
      <c r="I341" s="86" t="str">
        <f t="shared" si="10"/>
        <v>LENC</v>
      </c>
      <c r="J341" s="86" t="str">
        <f t="shared" si="11"/>
        <v>25</v>
      </c>
      <c r="K341" s="77" t="s">
        <v>69</v>
      </c>
      <c r="L341" s="77">
        <v>1</v>
      </c>
      <c r="M341" s="77" t="s">
        <v>69</v>
      </c>
      <c r="N341" s="88">
        <v>37</v>
      </c>
      <c r="O341" s="77" t="s">
        <v>235</v>
      </c>
      <c r="P341" s="77"/>
      <c r="Q341" s="31"/>
      <c r="R341" s="63"/>
    </row>
    <row r="342" spans="1:18" ht="39.75" hidden="1" customHeight="1" x14ac:dyDescent="0.25">
      <c r="A342" s="78">
        <f>IF(B342="","",COUNTA($B$7:B341))</f>
        <v>335</v>
      </c>
      <c r="B342" s="85">
        <v>45980</v>
      </c>
      <c r="C342" s="77" t="s">
        <v>152</v>
      </c>
      <c r="D342" s="77" t="s">
        <v>222</v>
      </c>
      <c r="E342" s="77" t="s">
        <v>152</v>
      </c>
      <c r="F342" s="77" t="s">
        <v>118</v>
      </c>
      <c r="G342" s="77">
        <v>17985</v>
      </c>
      <c r="H342" s="131" t="s">
        <v>118</v>
      </c>
      <c r="I342" s="86" t="str">
        <f t="shared" si="10"/>
        <v>LENC</v>
      </c>
      <c r="J342" s="86" t="str">
        <f t="shared" si="11"/>
        <v>25</v>
      </c>
      <c r="K342" s="77" t="s">
        <v>69</v>
      </c>
      <c r="L342" s="77">
        <v>1</v>
      </c>
      <c r="M342" s="77" t="s">
        <v>69</v>
      </c>
      <c r="N342" s="88">
        <v>37</v>
      </c>
      <c r="O342" s="77" t="s">
        <v>235</v>
      </c>
      <c r="P342" s="77"/>
      <c r="Q342" s="31"/>
      <c r="R342" s="63"/>
    </row>
    <row r="343" spans="1:18" ht="39.75" hidden="1" customHeight="1" x14ac:dyDescent="0.25">
      <c r="A343" s="78">
        <f>IF(B343="","",COUNTA($B$7:B342))</f>
        <v>336</v>
      </c>
      <c r="B343" s="85">
        <v>45980</v>
      </c>
      <c r="C343" s="77" t="s">
        <v>152</v>
      </c>
      <c r="D343" s="77" t="s">
        <v>224</v>
      </c>
      <c r="E343" s="77" t="s">
        <v>152</v>
      </c>
      <c r="F343" s="77" t="s">
        <v>118</v>
      </c>
      <c r="G343" s="77">
        <v>21052</v>
      </c>
      <c r="H343" s="131" t="s">
        <v>118</v>
      </c>
      <c r="I343" s="86" t="str">
        <f t="shared" si="10"/>
        <v>LENC</v>
      </c>
      <c r="J343" s="86" t="str">
        <f t="shared" si="11"/>
        <v>25</v>
      </c>
      <c r="K343" s="77" t="s">
        <v>69</v>
      </c>
      <c r="L343" s="77">
        <v>1</v>
      </c>
      <c r="M343" s="77" t="s">
        <v>69</v>
      </c>
      <c r="N343" s="88">
        <v>37</v>
      </c>
      <c r="O343" s="77" t="s">
        <v>235</v>
      </c>
      <c r="P343" s="77"/>
      <c r="Q343" s="31"/>
      <c r="R343" s="63"/>
    </row>
    <row r="344" spans="1:18" ht="39.75" hidden="1" customHeight="1" x14ac:dyDescent="0.25">
      <c r="A344" s="78">
        <f>IF(B344="","",COUNTA($B$7:B343))</f>
        <v>337</v>
      </c>
      <c r="B344" s="85">
        <v>45980</v>
      </c>
      <c r="C344" s="77" t="s">
        <v>152</v>
      </c>
      <c r="D344" s="77" t="s">
        <v>229</v>
      </c>
      <c r="E344" s="77" t="s">
        <v>152</v>
      </c>
      <c r="F344" s="77" t="s">
        <v>118</v>
      </c>
      <c r="G344" s="77">
        <v>21079</v>
      </c>
      <c r="H344" s="131" t="s">
        <v>118</v>
      </c>
      <c r="I344" s="86" t="str">
        <f t="shared" si="10"/>
        <v>LENC</v>
      </c>
      <c r="J344" s="86" t="str">
        <f t="shared" si="11"/>
        <v>25</v>
      </c>
      <c r="K344" s="77" t="s">
        <v>69</v>
      </c>
      <c r="L344" s="77">
        <v>1</v>
      </c>
      <c r="M344" s="77" t="s">
        <v>69</v>
      </c>
      <c r="N344" s="88">
        <v>37</v>
      </c>
      <c r="O344" s="77" t="s">
        <v>235</v>
      </c>
      <c r="P344" s="77"/>
      <c r="Q344" s="31"/>
      <c r="R344" s="63"/>
    </row>
    <row r="345" spans="1:18" ht="39.75" hidden="1" customHeight="1" x14ac:dyDescent="0.25">
      <c r="A345" s="78">
        <f>IF(B345="","",COUNTA($B$7:B344))</f>
        <v>338</v>
      </c>
      <c r="B345" s="85">
        <v>45980</v>
      </c>
      <c r="C345" s="77" t="s">
        <v>152</v>
      </c>
      <c r="D345" s="77" t="s">
        <v>230</v>
      </c>
      <c r="E345" s="77" t="s">
        <v>152</v>
      </c>
      <c r="F345" s="77" t="s">
        <v>118</v>
      </c>
      <c r="G345" s="77">
        <v>20951</v>
      </c>
      <c r="H345" s="131" t="s">
        <v>118</v>
      </c>
      <c r="I345" s="86" t="str">
        <f t="shared" si="10"/>
        <v>LENC</v>
      </c>
      <c r="J345" s="86" t="str">
        <f t="shared" si="11"/>
        <v>25</v>
      </c>
      <c r="K345" s="77" t="s">
        <v>69</v>
      </c>
      <c r="L345" s="77">
        <v>1</v>
      </c>
      <c r="M345" s="77" t="s">
        <v>69</v>
      </c>
      <c r="N345" s="88">
        <v>37</v>
      </c>
      <c r="O345" s="77" t="s">
        <v>235</v>
      </c>
      <c r="P345" s="77"/>
      <c r="Q345" s="31"/>
      <c r="R345" s="63"/>
    </row>
    <row r="346" spans="1:18" ht="39.75" hidden="1" customHeight="1" x14ac:dyDescent="0.25">
      <c r="A346" s="78">
        <f>IF(B346="","",COUNTA($B$7:B345))</f>
        <v>339</v>
      </c>
      <c r="B346" s="85">
        <v>45980</v>
      </c>
      <c r="C346" s="77" t="s">
        <v>152</v>
      </c>
      <c r="D346" s="77" t="s">
        <v>231</v>
      </c>
      <c r="E346" s="77" t="s">
        <v>823</v>
      </c>
      <c r="F346" s="77" t="s">
        <v>118</v>
      </c>
      <c r="G346" s="77">
        <v>20970</v>
      </c>
      <c r="H346" s="131" t="s">
        <v>118</v>
      </c>
      <c r="I346" s="86" t="str">
        <f t="shared" si="10"/>
        <v>LENC</v>
      </c>
      <c r="J346" s="86" t="str">
        <f t="shared" si="11"/>
        <v>25</v>
      </c>
      <c r="K346" s="77" t="s">
        <v>69</v>
      </c>
      <c r="L346" s="77">
        <v>1</v>
      </c>
      <c r="M346" s="77" t="s">
        <v>69</v>
      </c>
      <c r="N346" s="88">
        <v>37</v>
      </c>
      <c r="O346" s="77" t="s">
        <v>235</v>
      </c>
      <c r="P346" s="77"/>
      <c r="Q346" s="31"/>
      <c r="R346" s="63"/>
    </row>
    <row r="347" spans="1:18" ht="39.75" hidden="1" customHeight="1" x14ac:dyDescent="0.25">
      <c r="A347" s="78">
        <f>IF(B347="","",COUNTA($B$7:B346))</f>
        <v>340</v>
      </c>
      <c r="B347" s="85">
        <v>45980</v>
      </c>
      <c r="C347" s="77" t="s">
        <v>152</v>
      </c>
      <c r="D347" s="77" t="s">
        <v>232</v>
      </c>
      <c r="E347" s="77" t="s">
        <v>152</v>
      </c>
      <c r="F347" s="77" t="s">
        <v>118</v>
      </c>
      <c r="G347" s="77">
        <v>21012</v>
      </c>
      <c r="H347" s="131" t="s">
        <v>118</v>
      </c>
      <c r="I347" s="86" t="str">
        <f t="shared" si="10"/>
        <v>LENC</v>
      </c>
      <c r="J347" s="86" t="str">
        <f t="shared" si="11"/>
        <v>25</v>
      </c>
      <c r="K347" s="77" t="s">
        <v>69</v>
      </c>
      <c r="L347" s="77">
        <v>1</v>
      </c>
      <c r="M347" s="77" t="s">
        <v>69</v>
      </c>
      <c r="N347" s="88">
        <v>37</v>
      </c>
      <c r="O347" s="77" t="s">
        <v>235</v>
      </c>
      <c r="P347" s="77"/>
      <c r="Q347" s="31"/>
      <c r="R347" s="63"/>
    </row>
    <row r="348" spans="1:18" ht="39.75" hidden="1" customHeight="1" x14ac:dyDescent="0.25">
      <c r="A348" s="78">
        <f>IF(B348="","",COUNTA($B$7:B347))</f>
        <v>341</v>
      </c>
      <c r="B348" s="85">
        <v>45980</v>
      </c>
      <c r="C348" s="77" t="s">
        <v>152</v>
      </c>
      <c r="D348" s="77" t="s">
        <v>233</v>
      </c>
      <c r="E348" s="77" t="s">
        <v>152</v>
      </c>
      <c r="F348" s="77" t="s">
        <v>118</v>
      </c>
      <c r="G348" s="87">
        <v>20946</v>
      </c>
      <c r="H348" s="131" t="s">
        <v>118</v>
      </c>
      <c r="I348" s="86" t="str">
        <f t="shared" si="10"/>
        <v>LENC</v>
      </c>
      <c r="J348" s="86" t="str">
        <f t="shared" si="11"/>
        <v>25</v>
      </c>
      <c r="K348" s="77" t="s">
        <v>69</v>
      </c>
      <c r="L348" s="77">
        <v>1</v>
      </c>
      <c r="M348" s="77" t="s">
        <v>69</v>
      </c>
      <c r="N348" s="88">
        <v>37</v>
      </c>
      <c r="O348" s="77" t="s">
        <v>235</v>
      </c>
      <c r="P348" s="77"/>
      <c r="Q348" s="31"/>
      <c r="R348" s="63"/>
    </row>
    <row r="349" spans="1:18" ht="39.75" hidden="1" customHeight="1" x14ac:dyDescent="0.25">
      <c r="A349" s="78">
        <f>IF(B349="","",COUNTA($B$7:B348))</f>
        <v>342</v>
      </c>
      <c r="B349" s="85">
        <v>45980</v>
      </c>
      <c r="C349" s="77" t="s">
        <v>152</v>
      </c>
      <c r="D349" s="77" t="s">
        <v>234</v>
      </c>
      <c r="E349" s="77" t="s">
        <v>152</v>
      </c>
      <c r="F349" s="77" t="s">
        <v>118</v>
      </c>
      <c r="G349" s="77">
        <v>21055</v>
      </c>
      <c r="H349" s="131" t="s">
        <v>118</v>
      </c>
      <c r="I349" s="86" t="str">
        <f t="shared" si="10"/>
        <v>LENC</v>
      </c>
      <c r="J349" s="86" t="str">
        <f t="shared" si="11"/>
        <v>25</v>
      </c>
      <c r="K349" s="77" t="s">
        <v>69</v>
      </c>
      <c r="L349" s="77">
        <v>1</v>
      </c>
      <c r="M349" s="77" t="s">
        <v>69</v>
      </c>
      <c r="N349" s="88">
        <v>37</v>
      </c>
      <c r="O349" s="77" t="s">
        <v>235</v>
      </c>
      <c r="P349" s="77"/>
      <c r="Q349" s="31"/>
      <c r="R349" s="63"/>
    </row>
    <row r="350" spans="1:18" ht="39.75" hidden="1" customHeight="1" x14ac:dyDescent="0.25">
      <c r="A350" s="78">
        <f>IF(B350="","",COUNTA($B$7:B349))</f>
        <v>343</v>
      </c>
      <c r="B350" s="85">
        <v>46101</v>
      </c>
      <c r="C350" s="77" t="s">
        <v>208</v>
      </c>
      <c r="D350" s="77" t="s">
        <v>824</v>
      </c>
      <c r="E350" s="77" t="s">
        <v>825</v>
      </c>
      <c r="F350" s="77" t="s">
        <v>118</v>
      </c>
      <c r="G350" s="110" t="s">
        <v>826</v>
      </c>
      <c r="H350" s="131" t="s">
        <v>118</v>
      </c>
      <c r="I350" s="86" t="str">
        <f t="shared" si="10"/>
        <v>LENC</v>
      </c>
      <c r="J350" s="86" t="str">
        <f t="shared" si="11"/>
        <v>26</v>
      </c>
      <c r="K350" s="77" t="s">
        <v>827</v>
      </c>
      <c r="L350" s="77">
        <v>1</v>
      </c>
      <c r="M350" s="77" t="s">
        <v>828</v>
      </c>
      <c r="N350" s="88" t="s">
        <v>149</v>
      </c>
      <c r="O350" s="77" t="s">
        <v>121</v>
      </c>
      <c r="P350" s="77"/>
      <c r="Q350" s="31"/>
      <c r="R350" s="63"/>
    </row>
    <row r="351" spans="1:18" ht="39.75" hidden="1" customHeight="1" x14ac:dyDescent="0.25">
      <c r="A351" s="78">
        <f>IF(B351="","",COUNTA($B$7:B350))</f>
        <v>344</v>
      </c>
      <c r="B351" s="85">
        <v>46105</v>
      </c>
      <c r="C351" s="77" t="s">
        <v>204</v>
      </c>
      <c r="D351" s="77" t="s">
        <v>237</v>
      </c>
      <c r="E351" s="77" t="s">
        <v>829</v>
      </c>
      <c r="F351" s="77" t="s">
        <v>118</v>
      </c>
      <c r="G351" s="77">
        <v>104038</v>
      </c>
      <c r="H351" s="131" t="s">
        <v>118</v>
      </c>
      <c r="I351" s="86" t="str">
        <f t="shared" si="10"/>
        <v>LENC</v>
      </c>
      <c r="J351" s="86" t="str">
        <f t="shared" si="11"/>
        <v>26</v>
      </c>
      <c r="K351" s="77" t="s">
        <v>830</v>
      </c>
      <c r="L351" s="77">
        <v>1</v>
      </c>
      <c r="M351" s="77" t="s">
        <v>831</v>
      </c>
      <c r="N351" s="88" t="s">
        <v>166</v>
      </c>
      <c r="O351" s="77" t="s">
        <v>172</v>
      </c>
      <c r="P351" s="77"/>
      <c r="Q351" s="31"/>
      <c r="R351" s="63"/>
    </row>
    <row r="352" spans="1:18" ht="39.75" hidden="1" customHeight="1" x14ac:dyDescent="0.25">
      <c r="A352" s="78">
        <f>IF(B352="","",COUNTA($B$7:B351))</f>
        <v>345</v>
      </c>
      <c r="B352" s="85">
        <v>46105</v>
      </c>
      <c r="C352" s="77" t="s">
        <v>204</v>
      </c>
      <c r="D352" s="77" t="s">
        <v>241</v>
      </c>
      <c r="E352" s="77" t="s">
        <v>829</v>
      </c>
      <c r="F352" s="77" t="s">
        <v>118</v>
      </c>
      <c r="G352" s="77">
        <v>104041</v>
      </c>
      <c r="H352" s="131" t="s">
        <v>118</v>
      </c>
      <c r="I352" s="86" t="str">
        <f t="shared" si="10"/>
        <v>LENC</v>
      </c>
      <c r="J352" s="86" t="str">
        <f t="shared" si="11"/>
        <v>26</v>
      </c>
      <c r="K352" s="77" t="s">
        <v>830</v>
      </c>
      <c r="L352" s="77">
        <v>1</v>
      </c>
      <c r="M352" s="77" t="s">
        <v>831</v>
      </c>
      <c r="N352" s="88" t="s">
        <v>166</v>
      </c>
      <c r="O352" s="77" t="s">
        <v>172</v>
      </c>
      <c r="P352" s="77"/>
      <c r="Q352" s="31"/>
      <c r="R352" s="63"/>
    </row>
    <row r="353" spans="1:18" ht="39.75" hidden="1" customHeight="1" x14ac:dyDescent="0.25">
      <c r="A353" s="78">
        <f>IF(B353="","",COUNTA($B$7:B352))</f>
        <v>346</v>
      </c>
      <c r="B353" s="85">
        <v>46105</v>
      </c>
      <c r="C353" s="77" t="s">
        <v>204</v>
      </c>
      <c r="D353" s="77" t="s">
        <v>244</v>
      </c>
      <c r="E353" s="77" t="s">
        <v>829</v>
      </c>
      <c r="F353" s="77" t="s">
        <v>118</v>
      </c>
      <c r="G353" s="77">
        <v>104042</v>
      </c>
      <c r="H353" s="131" t="s">
        <v>118</v>
      </c>
      <c r="I353" s="86" t="str">
        <f t="shared" si="10"/>
        <v>LENC</v>
      </c>
      <c r="J353" s="86" t="str">
        <f t="shared" si="11"/>
        <v>26</v>
      </c>
      <c r="K353" s="77" t="s">
        <v>830</v>
      </c>
      <c r="L353" s="77">
        <v>1</v>
      </c>
      <c r="M353" s="77" t="s">
        <v>831</v>
      </c>
      <c r="N353" s="88" t="s">
        <v>166</v>
      </c>
      <c r="O353" s="77" t="s">
        <v>172</v>
      </c>
      <c r="P353" s="77"/>
      <c r="Q353" s="31"/>
      <c r="R353" s="63"/>
    </row>
    <row r="354" spans="1:18" ht="39.75" hidden="1" customHeight="1" x14ac:dyDescent="0.25">
      <c r="A354" s="78">
        <f>IF(B354="","",COUNTA($B$7:B353))</f>
        <v>347</v>
      </c>
      <c r="B354" s="85">
        <v>46105</v>
      </c>
      <c r="C354" s="77" t="s">
        <v>204</v>
      </c>
      <c r="D354" s="77" t="s">
        <v>247</v>
      </c>
      <c r="E354" s="77" t="s">
        <v>829</v>
      </c>
      <c r="F354" s="77" t="s">
        <v>118</v>
      </c>
      <c r="G354" s="77">
        <v>104043</v>
      </c>
      <c r="H354" s="131" t="s">
        <v>118</v>
      </c>
      <c r="I354" s="86" t="str">
        <f t="shared" si="10"/>
        <v>LENC</v>
      </c>
      <c r="J354" s="86" t="str">
        <f t="shared" si="11"/>
        <v>26</v>
      </c>
      <c r="K354" s="77" t="s">
        <v>830</v>
      </c>
      <c r="L354" s="77">
        <v>1</v>
      </c>
      <c r="M354" s="77" t="s">
        <v>831</v>
      </c>
      <c r="N354" s="88" t="s">
        <v>166</v>
      </c>
      <c r="O354" s="77" t="s">
        <v>172</v>
      </c>
      <c r="P354" s="77"/>
      <c r="Q354" s="31"/>
      <c r="R354" s="63"/>
    </row>
    <row r="355" spans="1:18" ht="39.75" hidden="1" customHeight="1" x14ac:dyDescent="0.25">
      <c r="A355" s="78">
        <f>IF(B355="","",COUNTA($B$7:B354))</f>
        <v>348</v>
      </c>
      <c r="B355" s="85">
        <v>46105</v>
      </c>
      <c r="C355" s="77" t="s">
        <v>48</v>
      </c>
      <c r="D355" s="77" t="s">
        <v>247</v>
      </c>
      <c r="E355" s="77" t="s">
        <v>832</v>
      </c>
      <c r="F355" s="77" t="s">
        <v>118</v>
      </c>
      <c r="G355" s="77">
        <v>22587</v>
      </c>
      <c r="H355" s="131" t="s">
        <v>118</v>
      </c>
      <c r="I355" s="86" t="str">
        <f t="shared" si="10"/>
        <v>LENC</v>
      </c>
      <c r="J355" s="86" t="str">
        <f t="shared" si="11"/>
        <v>26</v>
      </c>
      <c r="K355" s="77" t="s">
        <v>833</v>
      </c>
      <c r="L355" s="77">
        <v>1</v>
      </c>
      <c r="M355" s="77" t="s">
        <v>834</v>
      </c>
      <c r="N355" s="88">
        <v>60</v>
      </c>
      <c r="O355" s="77" t="s">
        <v>159</v>
      </c>
      <c r="P355" s="77"/>
      <c r="Q355" s="31"/>
      <c r="R355" s="63"/>
    </row>
    <row r="356" spans="1:18" ht="39.75" hidden="1" customHeight="1" x14ac:dyDescent="0.25">
      <c r="A356" s="78">
        <f>IF(B356="","",COUNTA($B$7:B355))</f>
        <v>349</v>
      </c>
      <c r="B356" s="85">
        <v>46105</v>
      </c>
      <c r="C356" s="77" t="s">
        <v>533</v>
      </c>
      <c r="D356" s="77" t="s">
        <v>248</v>
      </c>
      <c r="E356" s="77" t="s">
        <v>533</v>
      </c>
      <c r="F356" s="77" t="s">
        <v>118</v>
      </c>
      <c r="G356" s="77" t="s">
        <v>835</v>
      </c>
      <c r="H356" s="131" t="s">
        <v>118</v>
      </c>
      <c r="I356" s="86" t="str">
        <f t="shared" si="10"/>
        <v>LENC</v>
      </c>
      <c r="J356" s="86" t="str">
        <f t="shared" si="11"/>
        <v>26</v>
      </c>
      <c r="K356" s="77" t="s">
        <v>836</v>
      </c>
      <c r="L356" s="77">
        <v>3</v>
      </c>
      <c r="M356" s="77" t="s">
        <v>837</v>
      </c>
      <c r="N356" s="88" t="s">
        <v>143</v>
      </c>
      <c r="O356" s="77" t="s">
        <v>126</v>
      </c>
      <c r="P356" s="77"/>
      <c r="Q356" s="31"/>
      <c r="R356" s="63"/>
    </row>
    <row r="357" spans="1:18" ht="39.75" hidden="1" customHeight="1" x14ac:dyDescent="0.25">
      <c r="A357" s="78">
        <f>IF(B357="","",COUNTA($B$7:B356))</f>
        <v>350</v>
      </c>
      <c r="B357" s="85">
        <v>46105</v>
      </c>
      <c r="C357" s="77" t="s">
        <v>208</v>
      </c>
      <c r="D357" s="77" t="s">
        <v>249</v>
      </c>
      <c r="E357" s="77" t="s">
        <v>69</v>
      </c>
      <c r="F357" s="77" t="s">
        <v>118</v>
      </c>
      <c r="G357" s="77" t="s">
        <v>838</v>
      </c>
      <c r="H357" s="131" t="s">
        <v>118</v>
      </c>
      <c r="I357" s="86" t="str">
        <f t="shared" si="10"/>
        <v>LENC</v>
      </c>
      <c r="J357" s="86" t="str">
        <f t="shared" si="11"/>
        <v>26</v>
      </c>
      <c r="K357" s="77" t="s">
        <v>69</v>
      </c>
      <c r="L357" s="77">
        <v>3</v>
      </c>
      <c r="M357" s="77" t="s">
        <v>69</v>
      </c>
      <c r="N357" s="88"/>
      <c r="O357" s="77" t="s">
        <v>126</v>
      </c>
      <c r="P357" s="77"/>
      <c r="Q357" s="31"/>
      <c r="R357" s="63"/>
    </row>
    <row r="358" spans="1:18" ht="39.75" hidden="1" customHeight="1" x14ac:dyDescent="0.25">
      <c r="A358" s="78">
        <f>IF(B358="","",COUNTA($B$7:B357))</f>
        <v>351</v>
      </c>
      <c r="B358" s="85">
        <v>46105</v>
      </c>
      <c r="C358" s="77" t="s">
        <v>115</v>
      </c>
      <c r="D358" s="77" t="s">
        <v>250</v>
      </c>
      <c r="E358" s="77" t="s">
        <v>839</v>
      </c>
      <c r="F358" s="77" t="s">
        <v>118</v>
      </c>
      <c r="G358" s="77" t="s">
        <v>840</v>
      </c>
      <c r="H358" s="131" t="s">
        <v>118</v>
      </c>
      <c r="I358" s="86" t="str">
        <f t="shared" si="10"/>
        <v>LENC</v>
      </c>
      <c r="J358" s="86" t="str">
        <f t="shared" si="11"/>
        <v>26</v>
      </c>
      <c r="K358" s="77" t="s">
        <v>841</v>
      </c>
      <c r="L358" s="77">
        <v>1</v>
      </c>
      <c r="M358" s="77" t="s">
        <v>842</v>
      </c>
      <c r="N358" s="88" t="s">
        <v>143</v>
      </c>
      <c r="O358" s="77" t="s">
        <v>126</v>
      </c>
      <c r="P358" s="77"/>
      <c r="Q358" s="31"/>
      <c r="R358" s="63"/>
    </row>
    <row r="359" spans="1:18" ht="39.75" hidden="1" customHeight="1" x14ac:dyDescent="0.25">
      <c r="A359" s="78">
        <f>IF(B359="","",COUNTA($B$7:B358))</f>
        <v>352</v>
      </c>
      <c r="B359" s="85">
        <v>46105</v>
      </c>
      <c r="C359" s="77" t="s">
        <v>115</v>
      </c>
      <c r="D359" s="77" t="s">
        <v>252</v>
      </c>
      <c r="E359" s="77" t="s">
        <v>839</v>
      </c>
      <c r="F359" s="77" t="s">
        <v>118</v>
      </c>
      <c r="G359" s="77" t="s">
        <v>840</v>
      </c>
      <c r="H359" s="131" t="s">
        <v>118</v>
      </c>
      <c r="I359" s="86" t="str">
        <f t="shared" si="10"/>
        <v>LENC</v>
      </c>
      <c r="J359" s="86" t="str">
        <f t="shared" si="11"/>
        <v>26</v>
      </c>
      <c r="K359" s="77" t="s">
        <v>843</v>
      </c>
      <c r="L359" s="77">
        <v>1</v>
      </c>
      <c r="M359" s="77" t="s">
        <v>285</v>
      </c>
      <c r="N359" s="88" t="s">
        <v>308</v>
      </c>
      <c r="O359" s="77" t="s">
        <v>121</v>
      </c>
      <c r="P359" s="77"/>
      <c r="Q359" s="31"/>
      <c r="R359" s="63"/>
    </row>
    <row r="360" spans="1:18" ht="39.75" hidden="1" customHeight="1" x14ac:dyDescent="0.25">
      <c r="A360" s="78">
        <f>IF(B360="","",COUNTA($B$7:B359))</f>
        <v>353</v>
      </c>
      <c r="B360" s="85">
        <v>46105</v>
      </c>
      <c r="C360" s="77" t="s">
        <v>115</v>
      </c>
      <c r="D360" s="77" t="s">
        <v>253</v>
      </c>
      <c r="E360" s="77" t="s">
        <v>839</v>
      </c>
      <c r="F360" s="77" t="s">
        <v>118</v>
      </c>
      <c r="G360" s="77" t="s">
        <v>840</v>
      </c>
      <c r="H360" s="131" t="s">
        <v>118</v>
      </c>
      <c r="I360" s="86" t="str">
        <f t="shared" si="10"/>
        <v>LENC</v>
      </c>
      <c r="J360" s="86" t="str">
        <f t="shared" si="11"/>
        <v>26</v>
      </c>
      <c r="K360" s="77" t="s">
        <v>844</v>
      </c>
      <c r="L360" s="77">
        <v>4</v>
      </c>
      <c r="M360" s="77" t="s">
        <v>845</v>
      </c>
      <c r="N360" s="88" t="s">
        <v>308</v>
      </c>
      <c r="O360" s="77" t="s">
        <v>121</v>
      </c>
      <c r="P360" s="77"/>
      <c r="Q360" s="31"/>
      <c r="R360" s="63"/>
    </row>
    <row r="361" spans="1:18" ht="39.75" hidden="1" customHeight="1" x14ac:dyDescent="0.25">
      <c r="A361" s="78">
        <f>IF(B361="","",COUNTA($B$7:B360))</f>
        <v>354</v>
      </c>
      <c r="B361" s="85">
        <v>46105</v>
      </c>
      <c r="C361" s="77" t="s">
        <v>115</v>
      </c>
      <c r="D361" s="77" t="s">
        <v>188</v>
      </c>
      <c r="E361" s="77" t="s">
        <v>839</v>
      </c>
      <c r="F361" s="77" t="s">
        <v>118</v>
      </c>
      <c r="G361" s="77" t="s">
        <v>840</v>
      </c>
      <c r="H361" s="131" t="s">
        <v>118</v>
      </c>
      <c r="I361" s="86" t="str">
        <f t="shared" si="10"/>
        <v>LENC</v>
      </c>
      <c r="J361" s="86" t="str">
        <f t="shared" si="11"/>
        <v>26</v>
      </c>
      <c r="K361" s="77" t="s">
        <v>846</v>
      </c>
      <c r="L361" s="77">
        <v>3</v>
      </c>
      <c r="M361" s="77" t="s">
        <v>847</v>
      </c>
      <c r="N361" s="88" t="s">
        <v>308</v>
      </c>
      <c r="O361" s="77" t="s">
        <v>121</v>
      </c>
      <c r="P361" s="77"/>
      <c r="Q361" s="31"/>
      <c r="R361" s="63"/>
    </row>
    <row r="362" spans="1:18" ht="39.75" hidden="1" customHeight="1" x14ac:dyDescent="0.25">
      <c r="A362" s="78">
        <f>IF(B362="","",COUNTA($B$7:B361))</f>
        <v>355</v>
      </c>
      <c r="B362" s="85">
        <v>46105</v>
      </c>
      <c r="C362" s="77" t="s">
        <v>115</v>
      </c>
      <c r="D362" s="77" t="s">
        <v>256</v>
      </c>
      <c r="E362" s="77" t="s">
        <v>839</v>
      </c>
      <c r="F362" s="77" t="s">
        <v>118</v>
      </c>
      <c r="G362" s="77" t="s">
        <v>848</v>
      </c>
      <c r="H362" s="131" t="s">
        <v>118</v>
      </c>
      <c r="I362" s="86" t="str">
        <f t="shared" si="10"/>
        <v>LENC</v>
      </c>
      <c r="J362" s="86" t="str">
        <f t="shared" si="11"/>
        <v>26</v>
      </c>
      <c r="K362" s="77" t="s">
        <v>849</v>
      </c>
      <c r="L362" s="77">
        <v>1</v>
      </c>
      <c r="M362" s="77" t="s">
        <v>850</v>
      </c>
      <c r="N362" s="88" t="s">
        <v>308</v>
      </c>
      <c r="O362" s="77" t="s">
        <v>121</v>
      </c>
      <c r="P362" s="77"/>
      <c r="Q362" s="31"/>
      <c r="R362" s="63"/>
    </row>
    <row r="363" spans="1:18" ht="39.75" hidden="1" customHeight="1" x14ac:dyDescent="0.25">
      <c r="A363" s="78">
        <f>IF(B363="","",COUNTA($B$7:B362))</f>
        <v>356</v>
      </c>
      <c r="B363" s="85">
        <v>46105</v>
      </c>
      <c r="C363" s="77" t="s">
        <v>115</v>
      </c>
      <c r="D363" s="77" t="s">
        <v>257</v>
      </c>
      <c r="E363" s="77" t="s">
        <v>839</v>
      </c>
      <c r="F363" s="77" t="s">
        <v>118</v>
      </c>
      <c r="G363" s="77">
        <v>2</v>
      </c>
      <c r="H363" s="131" t="s">
        <v>118</v>
      </c>
      <c r="I363" s="86" t="str">
        <f t="shared" si="10"/>
        <v>LENC</v>
      </c>
      <c r="J363" s="86" t="str">
        <f t="shared" si="11"/>
        <v>26</v>
      </c>
      <c r="K363" s="77" t="s">
        <v>851</v>
      </c>
      <c r="L363" s="77">
        <v>1</v>
      </c>
      <c r="M363" s="77" t="s">
        <v>852</v>
      </c>
      <c r="N363" s="88">
        <v>83</v>
      </c>
      <c r="O363" s="77" t="s">
        <v>159</v>
      </c>
      <c r="P363" s="77"/>
      <c r="Q363" s="31"/>
      <c r="R363" s="63"/>
    </row>
    <row r="364" spans="1:18" ht="39.75" hidden="1" customHeight="1" x14ac:dyDescent="0.25">
      <c r="A364" s="78">
        <f>IF(B364="","",COUNTA($B$7:B363))</f>
        <v>357</v>
      </c>
      <c r="B364" s="85">
        <v>46105</v>
      </c>
      <c r="C364" s="77" t="s">
        <v>115</v>
      </c>
      <c r="D364" s="77" t="s">
        <v>258</v>
      </c>
      <c r="E364" s="77" t="s">
        <v>839</v>
      </c>
      <c r="F364" s="77" t="s">
        <v>118</v>
      </c>
      <c r="G364" s="77">
        <v>1</v>
      </c>
      <c r="H364" s="131" t="s">
        <v>118</v>
      </c>
      <c r="I364" s="86" t="str">
        <f t="shared" si="10"/>
        <v>LENC</v>
      </c>
      <c r="J364" s="86" t="str">
        <f t="shared" si="11"/>
        <v>26</v>
      </c>
      <c r="K364" s="77" t="s">
        <v>851</v>
      </c>
      <c r="L364" s="77">
        <v>1</v>
      </c>
      <c r="M364" s="77" t="s">
        <v>852</v>
      </c>
      <c r="N364" s="88">
        <v>83</v>
      </c>
      <c r="O364" s="77" t="s">
        <v>159</v>
      </c>
      <c r="P364" s="77"/>
      <c r="Q364" s="31"/>
      <c r="R364" s="63"/>
    </row>
    <row r="365" spans="1:18" ht="39.75" hidden="1" customHeight="1" x14ac:dyDescent="0.25">
      <c r="A365" s="78">
        <f>IF(B365="","",COUNTA($B$7:B364))</f>
        <v>358</v>
      </c>
      <c r="B365" s="85">
        <v>46105</v>
      </c>
      <c r="C365" s="77" t="s">
        <v>115</v>
      </c>
      <c r="D365" s="77" t="s">
        <v>261</v>
      </c>
      <c r="E365" s="77" t="s">
        <v>839</v>
      </c>
      <c r="F365" s="77" t="s">
        <v>118</v>
      </c>
      <c r="G365" s="77">
        <v>4</v>
      </c>
      <c r="H365" s="131" t="s">
        <v>118</v>
      </c>
      <c r="I365" s="86" t="str">
        <f t="shared" si="10"/>
        <v>LENC</v>
      </c>
      <c r="J365" s="86" t="str">
        <f t="shared" si="11"/>
        <v>26</v>
      </c>
      <c r="K365" s="77" t="s">
        <v>851</v>
      </c>
      <c r="L365" s="77">
        <v>1</v>
      </c>
      <c r="M365" s="77" t="s">
        <v>852</v>
      </c>
      <c r="N365" s="88">
        <v>83</v>
      </c>
      <c r="O365" s="77" t="s">
        <v>159</v>
      </c>
      <c r="P365" s="77"/>
      <c r="Q365" s="31"/>
      <c r="R365" s="63"/>
    </row>
    <row r="366" spans="1:18" ht="39.75" hidden="1" customHeight="1" x14ac:dyDescent="0.25">
      <c r="A366" s="78">
        <f>IF(B366="","",COUNTA($B$7:B365))</f>
        <v>359</v>
      </c>
      <c r="B366" s="85">
        <v>46105</v>
      </c>
      <c r="C366" s="77" t="s">
        <v>115</v>
      </c>
      <c r="D366" s="77" t="s">
        <v>266</v>
      </c>
      <c r="E366" s="77" t="s">
        <v>839</v>
      </c>
      <c r="F366" s="77" t="s">
        <v>118</v>
      </c>
      <c r="G366" s="77">
        <v>3</v>
      </c>
      <c r="H366" s="131" t="s">
        <v>118</v>
      </c>
      <c r="I366" s="86" t="str">
        <f t="shared" si="10"/>
        <v>LENC</v>
      </c>
      <c r="J366" s="86" t="str">
        <f t="shared" si="11"/>
        <v>26</v>
      </c>
      <c r="K366" s="77" t="s">
        <v>851</v>
      </c>
      <c r="L366" s="77">
        <v>1</v>
      </c>
      <c r="M366" s="77" t="s">
        <v>852</v>
      </c>
      <c r="N366" s="88">
        <v>83</v>
      </c>
      <c r="O366" s="77" t="s">
        <v>159</v>
      </c>
      <c r="P366" s="77"/>
      <c r="Q366" s="31"/>
      <c r="R366" s="63"/>
    </row>
    <row r="367" spans="1:18" ht="39.75" hidden="1" customHeight="1" x14ac:dyDescent="0.25">
      <c r="A367" s="78">
        <f>IF(B367="","",COUNTA($B$7:B366))</f>
        <v>360</v>
      </c>
      <c r="B367" s="85">
        <v>46136</v>
      </c>
      <c r="C367" s="77" t="s">
        <v>115</v>
      </c>
      <c r="D367" s="77" t="s">
        <v>271</v>
      </c>
      <c r="E367" s="77" t="s">
        <v>839</v>
      </c>
      <c r="F367" s="77" t="s">
        <v>118</v>
      </c>
      <c r="G367" s="77">
        <v>5</v>
      </c>
      <c r="H367" s="131" t="s">
        <v>118</v>
      </c>
      <c r="I367" s="86" t="str">
        <f t="shared" si="10"/>
        <v>LENC</v>
      </c>
      <c r="J367" s="86" t="str">
        <f t="shared" si="11"/>
        <v>26</v>
      </c>
      <c r="K367" s="77" t="s">
        <v>851</v>
      </c>
      <c r="L367" s="77">
        <v>1</v>
      </c>
      <c r="M367" s="77" t="s">
        <v>852</v>
      </c>
      <c r="N367" s="88">
        <v>83</v>
      </c>
      <c r="O367" s="77" t="s">
        <v>159</v>
      </c>
      <c r="P367" s="77"/>
      <c r="Q367" s="31"/>
      <c r="R367" s="63"/>
    </row>
    <row r="368" spans="1:18" ht="39.75" hidden="1" customHeight="1" x14ac:dyDescent="0.25">
      <c r="A368" s="78">
        <f>IF(B368="","",COUNTA($B$7:B367))</f>
        <v>361</v>
      </c>
      <c r="B368" s="85">
        <v>46105</v>
      </c>
      <c r="C368" s="77" t="s">
        <v>305</v>
      </c>
      <c r="D368" s="77" t="s">
        <v>273</v>
      </c>
      <c r="E368" s="122" t="s">
        <v>567</v>
      </c>
      <c r="F368" s="77" t="s">
        <v>118</v>
      </c>
      <c r="G368" s="77" t="s">
        <v>853</v>
      </c>
      <c r="H368" s="131" t="s">
        <v>118</v>
      </c>
      <c r="I368" s="86" t="str">
        <f t="shared" si="10"/>
        <v>LENC</v>
      </c>
      <c r="J368" s="86" t="str">
        <f t="shared" si="11"/>
        <v>26</v>
      </c>
      <c r="K368" s="77" t="s">
        <v>854</v>
      </c>
      <c r="L368" s="77">
        <v>1</v>
      </c>
      <c r="M368" s="77" t="s">
        <v>855</v>
      </c>
      <c r="N368" s="88">
        <v>57</v>
      </c>
      <c r="O368" s="77" t="s">
        <v>159</v>
      </c>
      <c r="P368" s="77"/>
      <c r="Q368" s="31"/>
      <c r="R368" s="63"/>
    </row>
    <row r="369" spans="1:18" ht="39.75" hidden="1" customHeight="1" x14ac:dyDescent="0.25">
      <c r="A369" s="78">
        <f>IF(B369="","",COUNTA($B$7:B368))</f>
        <v>362</v>
      </c>
      <c r="B369" s="85">
        <v>46105</v>
      </c>
      <c r="C369" s="77" t="s">
        <v>305</v>
      </c>
      <c r="D369" s="77" t="s">
        <v>275</v>
      </c>
      <c r="E369" s="122" t="s">
        <v>567</v>
      </c>
      <c r="F369" s="77" t="s">
        <v>118</v>
      </c>
      <c r="G369" s="77" t="s">
        <v>856</v>
      </c>
      <c r="H369" s="131" t="s">
        <v>118</v>
      </c>
      <c r="I369" s="86" t="str">
        <f t="shared" si="10"/>
        <v>LENC</v>
      </c>
      <c r="J369" s="86" t="str">
        <f t="shared" si="11"/>
        <v>26</v>
      </c>
      <c r="K369" s="77" t="s">
        <v>854</v>
      </c>
      <c r="L369" s="77">
        <v>1</v>
      </c>
      <c r="M369" s="77" t="s">
        <v>855</v>
      </c>
      <c r="N369" s="88">
        <v>57</v>
      </c>
      <c r="O369" s="77" t="s">
        <v>159</v>
      </c>
      <c r="P369" s="77"/>
      <c r="Q369" s="31"/>
      <c r="R369" s="63"/>
    </row>
    <row r="370" spans="1:18" ht="39.75" hidden="1" customHeight="1" x14ac:dyDescent="0.25">
      <c r="A370" s="78">
        <f>IF(B370="","",COUNTA($B$7:B369))</f>
        <v>363</v>
      </c>
      <c r="B370" s="85">
        <v>46105</v>
      </c>
      <c r="C370" s="77" t="s">
        <v>305</v>
      </c>
      <c r="D370" s="77" t="s">
        <v>275</v>
      </c>
      <c r="E370" s="122" t="s">
        <v>567</v>
      </c>
      <c r="F370" s="77" t="s">
        <v>118</v>
      </c>
      <c r="G370" s="77" t="s">
        <v>857</v>
      </c>
      <c r="H370" s="131" t="s">
        <v>118</v>
      </c>
      <c r="I370" s="86" t="str">
        <f t="shared" si="10"/>
        <v>LENC</v>
      </c>
      <c r="J370" s="86" t="str">
        <f t="shared" si="11"/>
        <v>26</v>
      </c>
      <c r="K370" s="77" t="s">
        <v>854</v>
      </c>
      <c r="L370" s="77">
        <v>1</v>
      </c>
      <c r="M370" s="77" t="s">
        <v>855</v>
      </c>
      <c r="N370" s="88">
        <v>57</v>
      </c>
      <c r="O370" s="77" t="s">
        <v>159</v>
      </c>
      <c r="P370" s="77"/>
      <c r="Q370" s="31"/>
      <c r="R370" s="63"/>
    </row>
    <row r="371" spans="1:18" ht="39.75" hidden="1" customHeight="1" x14ac:dyDescent="0.25">
      <c r="A371" s="78">
        <f>IF(B371="","",COUNTA($B$7:B370))</f>
        <v>364</v>
      </c>
      <c r="B371" s="85">
        <v>46106</v>
      </c>
      <c r="C371" s="77" t="s">
        <v>858</v>
      </c>
      <c r="D371" s="77" t="s">
        <v>282</v>
      </c>
      <c r="E371" s="77" t="s">
        <v>859</v>
      </c>
      <c r="F371" s="77" t="s">
        <v>118</v>
      </c>
      <c r="G371" s="114">
        <v>995612</v>
      </c>
      <c r="H371" s="131" t="s">
        <v>118</v>
      </c>
      <c r="I371" s="86" t="str">
        <f t="shared" si="10"/>
        <v>LENC</v>
      </c>
      <c r="J371" s="86" t="str">
        <f t="shared" si="11"/>
        <v>26</v>
      </c>
      <c r="K371" s="77" t="s">
        <v>69</v>
      </c>
      <c r="L371" s="77">
        <v>2</v>
      </c>
      <c r="M371" s="77" t="s">
        <v>860</v>
      </c>
      <c r="N371" s="88" t="s">
        <v>861</v>
      </c>
      <c r="O371" s="77" t="s">
        <v>121</v>
      </c>
      <c r="P371" s="77"/>
      <c r="Q371" s="31"/>
      <c r="R371" s="63"/>
    </row>
    <row r="372" spans="1:18" ht="39.75" hidden="1" customHeight="1" x14ac:dyDescent="0.25">
      <c r="A372" s="78">
        <f>IF(B372="","",COUNTA($B$7:B371))</f>
        <v>365</v>
      </c>
      <c r="B372" s="85">
        <v>46106</v>
      </c>
      <c r="C372" s="77" t="s">
        <v>858</v>
      </c>
      <c r="D372" s="77" t="s">
        <v>287</v>
      </c>
      <c r="E372" s="77" t="s">
        <v>859</v>
      </c>
      <c r="F372" s="77" t="s">
        <v>118</v>
      </c>
      <c r="G372" s="114">
        <v>995616</v>
      </c>
      <c r="H372" s="131" t="s">
        <v>118</v>
      </c>
      <c r="I372" s="86" t="str">
        <f t="shared" si="10"/>
        <v>LENC</v>
      </c>
      <c r="J372" s="86" t="str">
        <f t="shared" si="11"/>
        <v>26</v>
      </c>
      <c r="K372" s="77" t="s">
        <v>69</v>
      </c>
      <c r="L372" s="77">
        <v>1</v>
      </c>
      <c r="M372" s="77" t="s">
        <v>860</v>
      </c>
      <c r="N372" s="88" t="s">
        <v>861</v>
      </c>
      <c r="O372" s="77" t="s">
        <v>121</v>
      </c>
      <c r="P372" s="77"/>
      <c r="Q372" s="31"/>
      <c r="R372" s="63"/>
    </row>
    <row r="373" spans="1:18" ht="39.75" hidden="1" customHeight="1" x14ac:dyDescent="0.25">
      <c r="A373" s="78">
        <f>IF(B373="","",COUNTA($B$7:B372))</f>
        <v>366</v>
      </c>
      <c r="B373" s="85">
        <v>46106</v>
      </c>
      <c r="C373" s="77" t="s">
        <v>858</v>
      </c>
      <c r="D373" s="77" t="s">
        <v>862</v>
      </c>
      <c r="E373" s="77" t="s">
        <v>859</v>
      </c>
      <c r="F373" s="77" t="s">
        <v>118</v>
      </c>
      <c r="G373" s="114">
        <v>995617</v>
      </c>
      <c r="H373" s="131" t="s">
        <v>118</v>
      </c>
      <c r="I373" s="86" t="str">
        <f t="shared" si="10"/>
        <v>LENC</v>
      </c>
      <c r="J373" s="86" t="str">
        <f t="shared" si="11"/>
        <v>26</v>
      </c>
      <c r="K373" s="77" t="s">
        <v>69</v>
      </c>
      <c r="L373" s="77">
        <v>1</v>
      </c>
      <c r="M373" s="77" t="s">
        <v>860</v>
      </c>
      <c r="N373" s="88" t="s">
        <v>861</v>
      </c>
      <c r="O373" s="77" t="s">
        <v>121</v>
      </c>
      <c r="P373" s="77"/>
      <c r="Q373" s="31"/>
      <c r="R373" s="63"/>
    </row>
    <row r="374" spans="1:18" ht="39.75" hidden="1" customHeight="1" x14ac:dyDescent="0.25">
      <c r="A374" s="78">
        <f>IF(B374="","",COUNTA($B$7:B373))</f>
        <v>367</v>
      </c>
      <c r="B374" s="85">
        <v>46106</v>
      </c>
      <c r="C374" s="77" t="s">
        <v>858</v>
      </c>
      <c r="D374" s="77" t="s">
        <v>863</v>
      </c>
      <c r="E374" s="77" t="s">
        <v>859</v>
      </c>
      <c r="F374" s="77" t="s">
        <v>118</v>
      </c>
      <c r="G374" s="114">
        <v>995616</v>
      </c>
      <c r="H374" s="131" t="s">
        <v>118</v>
      </c>
      <c r="I374" s="86" t="str">
        <f t="shared" si="10"/>
        <v>LENC</v>
      </c>
      <c r="J374" s="86" t="str">
        <f t="shared" si="11"/>
        <v>26</v>
      </c>
      <c r="K374" s="77" t="s">
        <v>69</v>
      </c>
      <c r="L374" s="77">
        <v>20</v>
      </c>
      <c r="M374" s="77" t="s">
        <v>860</v>
      </c>
      <c r="N374" s="88" t="s">
        <v>861</v>
      </c>
      <c r="O374" s="77" t="s">
        <v>121</v>
      </c>
      <c r="P374" s="77"/>
      <c r="Q374" s="31"/>
      <c r="R374" s="63"/>
    </row>
    <row r="375" spans="1:18" ht="39.75" hidden="1" customHeight="1" x14ac:dyDescent="0.25">
      <c r="A375" s="78">
        <f>IF(B375="","",COUNTA($B$7:B374))</f>
        <v>368</v>
      </c>
      <c r="B375" s="85">
        <v>46106</v>
      </c>
      <c r="C375" s="77" t="s">
        <v>858</v>
      </c>
      <c r="D375" s="77" t="s">
        <v>864</v>
      </c>
      <c r="E375" s="77" t="s">
        <v>859</v>
      </c>
      <c r="F375" s="77" t="s">
        <v>118</v>
      </c>
      <c r="G375" s="114">
        <v>995612</v>
      </c>
      <c r="H375" s="131" t="s">
        <v>118</v>
      </c>
      <c r="I375" s="86" t="str">
        <f t="shared" si="10"/>
        <v>LENC</v>
      </c>
      <c r="J375" s="86" t="str">
        <f t="shared" si="11"/>
        <v>26</v>
      </c>
      <c r="K375" s="77" t="s">
        <v>69</v>
      </c>
      <c r="L375" s="77">
        <v>20</v>
      </c>
      <c r="M375" s="77" t="s">
        <v>860</v>
      </c>
      <c r="N375" s="88" t="s">
        <v>861</v>
      </c>
      <c r="O375" s="77" t="s">
        <v>121</v>
      </c>
      <c r="P375" s="77"/>
      <c r="Q375" s="31"/>
      <c r="R375" s="63"/>
    </row>
    <row r="376" spans="1:18" ht="39.75" hidden="1" customHeight="1" x14ac:dyDescent="0.25">
      <c r="A376" s="78">
        <f>IF(B376="","",COUNTA($B$7:B375))</f>
        <v>369</v>
      </c>
      <c r="B376" s="85">
        <v>46107</v>
      </c>
      <c r="C376" s="77" t="s">
        <v>680</v>
      </c>
      <c r="D376" s="77" t="s">
        <v>865</v>
      </c>
      <c r="E376" s="77" t="s">
        <v>680</v>
      </c>
      <c r="F376" s="77" t="s">
        <v>118</v>
      </c>
      <c r="G376" s="77" t="s">
        <v>69</v>
      </c>
      <c r="H376" s="131" t="s">
        <v>118</v>
      </c>
      <c r="I376" s="86" t="str">
        <f t="shared" si="10"/>
        <v>LENC</v>
      </c>
      <c r="J376" s="86" t="str">
        <f t="shared" si="11"/>
        <v>26</v>
      </c>
      <c r="K376" s="77" t="s">
        <v>69</v>
      </c>
      <c r="L376" s="77">
        <v>1</v>
      </c>
      <c r="M376" s="77" t="s">
        <v>69</v>
      </c>
      <c r="N376" s="88" t="s">
        <v>203</v>
      </c>
      <c r="O376" s="77" t="s">
        <v>121</v>
      </c>
      <c r="P376" s="77"/>
      <c r="Q376" s="31"/>
      <c r="R376" s="63"/>
    </row>
    <row r="377" spans="1:18" ht="39.75" hidden="1" customHeight="1" x14ac:dyDescent="0.25">
      <c r="A377" s="78">
        <f>IF(B377="","",COUNTA($B$7:B376))</f>
        <v>370</v>
      </c>
      <c r="B377" s="85">
        <v>46107</v>
      </c>
      <c r="C377" s="77" t="s">
        <v>680</v>
      </c>
      <c r="D377" s="77" t="s">
        <v>866</v>
      </c>
      <c r="E377" s="77" t="s">
        <v>680</v>
      </c>
      <c r="F377" s="77" t="s">
        <v>118</v>
      </c>
      <c r="G377" s="77" t="s">
        <v>69</v>
      </c>
      <c r="H377" s="131" t="s">
        <v>118</v>
      </c>
      <c r="I377" s="86" t="str">
        <f t="shared" si="10"/>
        <v>LENC</v>
      </c>
      <c r="J377" s="86" t="str">
        <f t="shared" si="11"/>
        <v>26</v>
      </c>
      <c r="K377" s="77" t="s">
        <v>69</v>
      </c>
      <c r="L377" s="77">
        <v>1</v>
      </c>
      <c r="M377" s="77" t="s">
        <v>69</v>
      </c>
      <c r="N377" s="88" t="s">
        <v>203</v>
      </c>
      <c r="O377" s="77" t="s">
        <v>121</v>
      </c>
      <c r="P377" s="77"/>
      <c r="Q377" s="31"/>
      <c r="R377" s="63"/>
    </row>
    <row r="378" spans="1:18" ht="39.75" hidden="1" customHeight="1" x14ac:dyDescent="0.25">
      <c r="A378" s="78">
        <f>IF(B378="","",COUNTA($B$7:B377))</f>
        <v>371</v>
      </c>
      <c r="B378" s="85">
        <v>46107</v>
      </c>
      <c r="C378" s="77" t="s">
        <v>680</v>
      </c>
      <c r="D378" s="77" t="s">
        <v>300</v>
      </c>
      <c r="E378" s="77" t="s">
        <v>680</v>
      </c>
      <c r="F378" s="77" t="s">
        <v>118</v>
      </c>
      <c r="G378" s="77" t="s">
        <v>69</v>
      </c>
      <c r="H378" s="131" t="s">
        <v>118</v>
      </c>
      <c r="I378" s="86" t="str">
        <f t="shared" si="10"/>
        <v>LENC</v>
      </c>
      <c r="J378" s="86" t="str">
        <f t="shared" si="11"/>
        <v>26</v>
      </c>
      <c r="K378" s="77" t="s">
        <v>69</v>
      </c>
      <c r="L378" s="77">
        <v>3</v>
      </c>
      <c r="M378" s="77" t="s">
        <v>69</v>
      </c>
      <c r="N378" s="88" t="s">
        <v>203</v>
      </c>
      <c r="O378" s="77" t="s">
        <v>121</v>
      </c>
      <c r="P378" s="77"/>
      <c r="Q378" s="31"/>
      <c r="R378" s="63"/>
    </row>
    <row r="379" spans="1:18" ht="39.75" hidden="1" customHeight="1" x14ac:dyDescent="0.25">
      <c r="A379" s="78">
        <f>IF(B379="","",COUNTA($B$7:B378))</f>
        <v>372</v>
      </c>
      <c r="B379" s="85">
        <v>46107</v>
      </c>
      <c r="C379" s="77" t="s">
        <v>680</v>
      </c>
      <c r="D379" s="77" t="s">
        <v>306</v>
      </c>
      <c r="E379" s="77" t="s">
        <v>680</v>
      </c>
      <c r="F379" s="77" t="s">
        <v>118</v>
      </c>
      <c r="G379" s="77" t="s">
        <v>69</v>
      </c>
      <c r="H379" s="131" t="s">
        <v>118</v>
      </c>
      <c r="I379" s="86" t="str">
        <f t="shared" si="10"/>
        <v>LENC</v>
      </c>
      <c r="J379" s="86" t="str">
        <f t="shared" si="11"/>
        <v>26</v>
      </c>
      <c r="K379" s="77" t="s">
        <v>69</v>
      </c>
      <c r="L379" s="77">
        <v>1</v>
      </c>
      <c r="M379" s="77" t="s">
        <v>69</v>
      </c>
      <c r="N379" s="88" t="s">
        <v>308</v>
      </c>
      <c r="O379" s="77" t="s">
        <v>121</v>
      </c>
      <c r="P379" s="77"/>
      <c r="Q379" s="31"/>
      <c r="R379" s="63"/>
    </row>
    <row r="380" spans="1:18" ht="39.75" hidden="1" customHeight="1" x14ac:dyDescent="0.25">
      <c r="A380" s="78">
        <f>IF(B380="","",COUNTA($B$7:B379))</f>
        <v>373</v>
      </c>
      <c r="B380" s="85">
        <v>46107</v>
      </c>
      <c r="C380" s="77" t="s">
        <v>680</v>
      </c>
      <c r="D380" s="77" t="s">
        <v>309</v>
      </c>
      <c r="E380" s="77" t="s">
        <v>680</v>
      </c>
      <c r="F380" s="77" t="s">
        <v>118</v>
      </c>
      <c r="G380" s="77" t="s">
        <v>69</v>
      </c>
      <c r="H380" s="131" t="s">
        <v>118</v>
      </c>
      <c r="I380" s="86" t="str">
        <f t="shared" si="10"/>
        <v>LENC</v>
      </c>
      <c r="J380" s="86" t="str">
        <f t="shared" si="11"/>
        <v>26</v>
      </c>
      <c r="K380" s="77" t="s">
        <v>69</v>
      </c>
      <c r="L380" s="77">
        <v>3</v>
      </c>
      <c r="M380" s="77" t="s">
        <v>69</v>
      </c>
      <c r="N380" s="88" t="s">
        <v>308</v>
      </c>
      <c r="O380" s="77" t="s">
        <v>121</v>
      </c>
      <c r="P380" s="77"/>
      <c r="Q380" s="31"/>
      <c r="R380" s="63"/>
    </row>
    <row r="381" spans="1:18" ht="39.75" hidden="1" customHeight="1" x14ac:dyDescent="0.25">
      <c r="A381" s="78">
        <f>IF(B381="","",COUNTA($B$7:B380))</f>
        <v>374</v>
      </c>
      <c r="B381" s="85">
        <v>46107</v>
      </c>
      <c r="C381" s="77" t="s">
        <v>680</v>
      </c>
      <c r="D381" s="77" t="s">
        <v>310</v>
      </c>
      <c r="E381" s="77" t="s">
        <v>680</v>
      </c>
      <c r="F381" s="77" t="s">
        <v>118</v>
      </c>
      <c r="G381" s="77" t="s">
        <v>69</v>
      </c>
      <c r="H381" s="131" t="s">
        <v>118</v>
      </c>
      <c r="I381" s="86" t="str">
        <f t="shared" si="10"/>
        <v>LENC</v>
      </c>
      <c r="J381" s="86" t="str">
        <f t="shared" si="11"/>
        <v>26</v>
      </c>
      <c r="K381" s="77" t="s">
        <v>69</v>
      </c>
      <c r="L381" s="77">
        <v>2</v>
      </c>
      <c r="M381" s="77" t="s">
        <v>69</v>
      </c>
      <c r="N381" s="88" t="s">
        <v>308</v>
      </c>
      <c r="O381" s="77" t="s">
        <v>121</v>
      </c>
      <c r="P381" s="77"/>
      <c r="Q381" s="31"/>
      <c r="R381" s="63"/>
    </row>
    <row r="382" spans="1:18" ht="39.75" hidden="1" customHeight="1" x14ac:dyDescent="0.25">
      <c r="A382" s="78">
        <f>IF(B382="","",COUNTA($B$7:B381))</f>
        <v>375</v>
      </c>
      <c r="B382" s="85">
        <v>46107</v>
      </c>
      <c r="C382" s="77" t="s">
        <v>680</v>
      </c>
      <c r="D382" s="77" t="s">
        <v>312</v>
      </c>
      <c r="E382" s="77" t="s">
        <v>680</v>
      </c>
      <c r="F382" s="77" t="s">
        <v>118</v>
      </c>
      <c r="G382" s="77" t="s">
        <v>69</v>
      </c>
      <c r="H382" s="131" t="s">
        <v>118</v>
      </c>
      <c r="I382" s="86" t="str">
        <f t="shared" si="10"/>
        <v>LENC</v>
      </c>
      <c r="J382" s="86" t="str">
        <f t="shared" si="11"/>
        <v>26</v>
      </c>
      <c r="K382" s="77" t="s">
        <v>69</v>
      </c>
      <c r="L382" s="77">
        <v>9</v>
      </c>
      <c r="M382" s="77" t="s">
        <v>69</v>
      </c>
      <c r="N382" s="88" t="s">
        <v>308</v>
      </c>
      <c r="O382" s="77" t="s">
        <v>121</v>
      </c>
      <c r="P382" s="77"/>
      <c r="Q382" s="31"/>
      <c r="R382" s="63"/>
    </row>
    <row r="383" spans="1:18" ht="39.75" hidden="1" customHeight="1" x14ac:dyDescent="0.25">
      <c r="A383" s="78">
        <f>IF(B383="","",COUNTA($B$7:B382))</f>
        <v>376</v>
      </c>
      <c r="B383" s="85">
        <v>46107</v>
      </c>
      <c r="C383" s="77" t="s">
        <v>152</v>
      </c>
      <c r="D383" s="77" t="s">
        <v>313</v>
      </c>
      <c r="E383" s="77" t="s">
        <v>152</v>
      </c>
      <c r="F383" s="77" t="s">
        <v>118</v>
      </c>
      <c r="G383" s="77" t="s">
        <v>69</v>
      </c>
      <c r="H383" s="131" t="s">
        <v>118</v>
      </c>
      <c r="I383" s="86" t="str">
        <f t="shared" si="10"/>
        <v>LENC</v>
      </c>
      <c r="J383" s="86" t="str">
        <f t="shared" si="11"/>
        <v>26</v>
      </c>
      <c r="K383" s="77" t="s">
        <v>69</v>
      </c>
      <c r="L383" s="77">
        <v>8</v>
      </c>
      <c r="M383" s="77" t="s">
        <v>69</v>
      </c>
      <c r="N383" s="88" t="s">
        <v>203</v>
      </c>
      <c r="O383" s="77" t="s">
        <v>121</v>
      </c>
      <c r="P383" s="77"/>
      <c r="Q383" s="31"/>
      <c r="R383" s="63"/>
    </row>
    <row r="384" spans="1:18" ht="39.75" hidden="1" customHeight="1" x14ac:dyDescent="0.25">
      <c r="A384" s="78">
        <f>IF(B384="","",COUNTA($B$7:B383))</f>
        <v>377</v>
      </c>
      <c r="B384" s="85">
        <v>46107</v>
      </c>
      <c r="C384" s="77" t="s">
        <v>867</v>
      </c>
      <c r="D384" s="77" t="s">
        <v>315</v>
      </c>
      <c r="E384" s="77" t="s">
        <v>867</v>
      </c>
      <c r="F384" s="77" t="s">
        <v>118</v>
      </c>
      <c r="G384" s="110" t="s">
        <v>868</v>
      </c>
      <c r="H384" s="131" t="s">
        <v>118</v>
      </c>
      <c r="I384" s="86" t="str">
        <f t="shared" si="10"/>
        <v>LENC</v>
      </c>
      <c r="J384" s="86" t="str">
        <f t="shared" si="11"/>
        <v>26</v>
      </c>
      <c r="K384" s="77" t="s">
        <v>869</v>
      </c>
      <c r="L384" s="77">
        <v>4</v>
      </c>
      <c r="M384" s="77" t="s">
        <v>870</v>
      </c>
      <c r="N384" s="88">
        <v>49</v>
      </c>
      <c r="O384" s="77" t="s">
        <v>159</v>
      </c>
      <c r="P384" s="77"/>
      <c r="Q384" s="31"/>
      <c r="R384" s="63"/>
    </row>
    <row r="385" spans="1:18" ht="39.75" hidden="1" customHeight="1" x14ac:dyDescent="0.25">
      <c r="A385" s="78">
        <f>IF(B385="","",COUNTA($B$7:B384))</f>
        <v>378</v>
      </c>
      <c r="B385" s="85">
        <v>46065</v>
      </c>
      <c r="C385" s="77" t="s">
        <v>871</v>
      </c>
      <c r="D385" s="77" t="s">
        <v>872</v>
      </c>
      <c r="E385" s="77" t="s">
        <v>873</v>
      </c>
      <c r="F385" s="77" t="s">
        <v>118</v>
      </c>
      <c r="G385" s="77">
        <v>18903</v>
      </c>
      <c r="H385" s="131" t="s">
        <v>118</v>
      </c>
      <c r="I385" s="86" t="str">
        <f t="shared" si="10"/>
        <v>LENC</v>
      </c>
      <c r="J385" s="86" t="str">
        <f t="shared" si="11"/>
        <v>26</v>
      </c>
      <c r="K385" s="77" t="s">
        <v>69</v>
      </c>
      <c r="L385" s="77">
        <v>1</v>
      </c>
      <c r="M385" s="77" t="s">
        <v>69</v>
      </c>
      <c r="N385" s="88" t="s">
        <v>203</v>
      </c>
      <c r="O385" s="77" t="s">
        <v>121</v>
      </c>
      <c r="P385" s="77"/>
      <c r="Q385" s="31"/>
      <c r="R385" s="63"/>
    </row>
    <row r="386" spans="1:18" ht="39.75" hidden="1" customHeight="1" x14ac:dyDescent="0.25">
      <c r="A386" s="78">
        <f>IF(B386="","",COUNTA($B$7:B385))</f>
        <v>379</v>
      </c>
      <c r="B386" s="85">
        <v>46107</v>
      </c>
      <c r="C386" s="77" t="s">
        <v>305</v>
      </c>
      <c r="D386" s="77" t="s">
        <v>321</v>
      </c>
      <c r="E386" s="77" t="s">
        <v>874</v>
      </c>
      <c r="F386" s="77" t="s">
        <v>118</v>
      </c>
      <c r="G386" s="77" t="s">
        <v>875</v>
      </c>
      <c r="H386" s="131" t="s">
        <v>118</v>
      </c>
      <c r="I386" s="86" t="str">
        <f t="shared" si="10"/>
        <v>LENC</v>
      </c>
      <c r="J386" s="86" t="str">
        <f t="shared" si="11"/>
        <v>26</v>
      </c>
      <c r="K386" s="77" t="s">
        <v>876</v>
      </c>
      <c r="L386" s="77">
        <v>1</v>
      </c>
      <c r="M386" s="77" t="s">
        <v>877</v>
      </c>
      <c r="N386" s="88" t="s">
        <v>711</v>
      </c>
      <c r="O386" s="77" t="s">
        <v>172</v>
      </c>
      <c r="P386" s="77"/>
      <c r="Q386" s="31"/>
      <c r="R386" s="63"/>
    </row>
    <row r="387" spans="1:18" ht="39.75" hidden="1" customHeight="1" x14ac:dyDescent="0.25">
      <c r="A387" s="78">
        <f>IF(B387="","",COUNTA($B$7:B386))</f>
        <v>380</v>
      </c>
      <c r="B387" s="85">
        <v>46107</v>
      </c>
      <c r="C387" s="77" t="s">
        <v>305</v>
      </c>
      <c r="D387" s="77" t="s">
        <v>321</v>
      </c>
      <c r="E387" s="77" t="s">
        <v>874</v>
      </c>
      <c r="F387" s="77" t="s">
        <v>118</v>
      </c>
      <c r="G387" s="77" t="s">
        <v>878</v>
      </c>
      <c r="H387" s="131" t="s">
        <v>118</v>
      </c>
      <c r="I387" s="86" t="str">
        <f t="shared" si="10"/>
        <v>LENC</v>
      </c>
      <c r="J387" s="86" t="str">
        <f t="shared" si="11"/>
        <v>26</v>
      </c>
      <c r="K387" s="77" t="s">
        <v>876</v>
      </c>
      <c r="L387" s="77">
        <v>1</v>
      </c>
      <c r="M387" s="77" t="s">
        <v>877</v>
      </c>
      <c r="N387" s="88" t="s">
        <v>711</v>
      </c>
      <c r="O387" s="77" t="s">
        <v>172</v>
      </c>
      <c r="P387" s="77"/>
      <c r="Q387" s="31"/>
      <c r="R387" s="63"/>
    </row>
    <row r="388" spans="1:18" ht="39.75" hidden="1" customHeight="1" x14ac:dyDescent="0.25">
      <c r="A388" s="78">
        <f>IF(B388="","",COUNTA($B$7:B387))</f>
        <v>381</v>
      </c>
      <c r="B388" s="85">
        <v>46107</v>
      </c>
      <c r="C388" s="77" t="s">
        <v>305</v>
      </c>
      <c r="D388" s="77" t="s">
        <v>324</v>
      </c>
      <c r="E388" s="77" t="s">
        <v>874</v>
      </c>
      <c r="F388" s="77" t="s">
        <v>118</v>
      </c>
      <c r="G388" s="77" t="s">
        <v>879</v>
      </c>
      <c r="H388" s="131" t="s">
        <v>118</v>
      </c>
      <c r="I388" s="86" t="str">
        <f t="shared" si="10"/>
        <v>LENC</v>
      </c>
      <c r="J388" s="86" t="str">
        <f t="shared" si="11"/>
        <v>26</v>
      </c>
      <c r="K388" s="77" t="s">
        <v>876</v>
      </c>
      <c r="L388" s="77">
        <v>1</v>
      </c>
      <c r="M388" s="77" t="s">
        <v>877</v>
      </c>
      <c r="N388" s="88" t="s">
        <v>711</v>
      </c>
      <c r="O388" s="77" t="s">
        <v>172</v>
      </c>
      <c r="P388" s="77"/>
      <c r="Q388" s="31"/>
      <c r="R388" s="63"/>
    </row>
    <row r="389" spans="1:18" ht="39.75" hidden="1" customHeight="1" x14ac:dyDescent="0.25">
      <c r="A389" s="78">
        <f>IF(B389="","",COUNTA($B$7:B388))</f>
        <v>382</v>
      </c>
      <c r="B389" s="85">
        <v>46108</v>
      </c>
      <c r="C389" s="77" t="s">
        <v>305</v>
      </c>
      <c r="D389" s="77" t="s">
        <v>79</v>
      </c>
      <c r="E389" s="77" t="s">
        <v>69</v>
      </c>
      <c r="F389" s="77" t="s">
        <v>118</v>
      </c>
      <c r="G389" s="77" t="s">
        <v>880</v>
      </c>
      <c r="H389" s="131" t="s">
        <v>118</v>
      </c>
      <c r="I389" s="86" t="str">
        <f t="shared" si="10"/>
        <v>LENC</v>
      </c>
      <c r="J389" s="86" t="str">
        <f t="shared" si="11"/>
        <v>26</v>
      </c>
      <c r="K389" s="77" t="s">
        <v>881</v>
      </c>
      <c r="L389" s="77">
        <v>3</v>
      </c>
      <c r="M389" s="77" t="s">
        <v>882</v>
      </c>
      <c r="N389" s="88"/>
      <c r="O389" s="77" t="s">
        <v>172</v>
      </c>
      <c r="P389" s="77"/>
      <c r="Q389" s="31"/>
      <c r="R389" s="63"/>
    </row>
    <row r="390" spans="1:18" ht="39.75" hidden="1" customHeight="1" x14ac:dyDescent="0.25">
      <c r="A390" s="78">
        <f>IF(B390="","",COUNTA($B$7:B389))</f>
        <v>383</v>
      </c>
      <c r="B390" s="85">
        <v>46108</v>
      </c>
      <c r="C390" s="77" t="s">
        <v>181</v>
      </c>
      <c r="D390" s="77" t="s">
        <v>79</v>
      </c>
      <c r="E390" s="77" t="s">
        <v>181</v>
      </c>
      <c r="F390" s="77" t="s">
        <v>118</v>
      </c>
      <c r="G390" s="77" t="s">
        <v>69</v>
      </c>
      <c r="H390" s="131" t="s">
        <v>118</v>
      </c>
      <c r="I390" s="86" t="str">
        <f t="shared" si="10"/>
        <v>LENC</v>
      </c>
      <c r="J390" s="86" t="str">
        <f t="shared" si="11"/>
        <v>26</v>
      </c>
      <c r="K390" s="77" t="s">
        <v>883</v>
      </c>
      <c r="L390" s="77"/>
      <c r="M390" s="77"/>
      <c r="N390" s="88"/>
      <c r="O390" s="77"/>
      <c r="P390" s="77"/>
      <c r="Q390" s="31"/>
      <c r="R390" s="63"/>
    </row>
    <row r="391" spans="1:18" ht="39.75" hidden="1" customHeight="1" x14ac:dyDescent="0.25">
      <c r="A391" s="78">
        <f>IF(B391="","",COUNTA($B$7:B390))</f>
        <v>384</v>
      </c>
      <c r="B391" s="85">
        <v>46108</v>
      </c>
      <c r="C391" s="77" t="s">
        <v>571</v>
      </c>
      <c r="D391" s="77" t="s">
        <v>79</v>
      </c>
      <c r="E391" s="77" t="s">
        <v>884</v>
      </c>
      <c r="F391" s="77" t="s">
        <v>118</v>
      </c>
      <c r="G391" s="77" t="s">
        <v>885</v>
      </c>
      <c r="H391" s="131" t="s">
        <v>118</v>
      </c>
      <c r="I391" s="86" t="str">
        <f t="shared" si="10"/>
        <v>LENC</v>
      </c>
      <c r="J391" s="86" t="str">
        <f t="shared" si="11"/>
        <v>26</v>
      </c>
      <c r="K391" s="77" t="s">
        <v>886</v>
      </c>
      <c r="L391" s="77">
        <v>1</v>
      </c>
      <c r="M391" s="77" t="s">
        <v>887</v>
      </c>
      <c r="N391" s="88" t="s">
        <v>143</v>
      </c>
      <c r="O391" s="77" t="s">
        <v>126</v>
      </c>
      <c r="P391" s="77"/>
      <c r="Q391" s="31"/>
      <c r="R391" s="63"/>
    </row>
    <row r="392" spans="1:18" ht="39.75" hidden="1" customHeight="1" x14ac:dyDescent="0.25">
      <c r="A392" s="78">
        <f>IF(B392="","",COUNTA($B$7:B391))</f>
        <v>385</v>
      </c>
      <c r="B392" s="85">
        <v>45908</v>
      </c>
      <c r="C392" s="77" t="s">
        <v>216</v>
      </c>
      <c r="D392" s="77" t="s">
        <v>79</v>
      </c>
      <c r="E392" s="77" t="s">
        <v>888</v>
      </c>
      <c r="F392" s="77" t="s">
        <v>118</v>
      </c>
      <c r="G392" s="77" t="s">
        <v>889</v>
      </c>
      <c r="H392" s="131" t="s">
        <v>118</v>
      </c>
      <c r="I392" s="86" t="str">
        <f t="shared" si="10"/>
        <v>LENC</v>
      </c>
      <c r="J392" s="86" t="str">
        <f t="shared" si="11"/>
        <v>25</v>
      </c>
      <c r="K392" s="77" t="s">
        <v>890</v>
      </c>
      <c r="L392" s="77">
        <v>1</v>
      </c>
      <c r="M392" s="77" t="s">
        <v>69</v>
      </c>
      <c r="N392" s="88">
        <v>43</v>
      </c>
      <c r="O392" s="77" t="s">
        <v>159</v>
      </c>
      <c r="P392" s="77" t="s">
        <v>891</v>
      </c>
      <c r="Q392" s="31"/>
      <c r="R392" s="63"/>
    </row>
    <row r="393" spans="1:18" ht="39.75" hidden="1" customHeight="1" x14ac:dyDescent="0.25">
      <c r="A393" s="78">
        <f>IF(B393="","",COUNTA($B$7:B392))</f>
        <v>386</v>
      </c>
      <c r="B393" s="85">
        <v>45908</v>
      </c>
      <c r="C393" s="77" t="s">
        <v>216</v>
      </c>
      <c r="D393" s="77" t="s">
        <v>79</v>
      </c>
      <c r="E393" s="77" t="s">
        <v>888</v>
      </c>
      <c r="F393" s="77" t="s">
        <v>118</v>
      </c>
      <c r="G393" s="77" t="s">
        <v>69</v>
      </c>
      <c r="H393" s="131" t="s">
        <v>118</v>
      </c>
      <c r="I393" s="86" t="str">
        <f t="shared" ref="I393:I456" si="12">IF(B393="","","LENC")</f>
        <v>LENC</v>
      </c>
      <c r="J393" s="86" t="str">
        <f t="shared" ref="J393:J456" si="13">IF(B393="","",TEXT(B393,"yy"))</f>
        <v>25</v>
      </c>
      <c r="K393" s="77" t="s">
        <v>892</v>
      </c>
      <c r="L393" s="77">
        <v>1</v>
      </c>
      <c r="M393" s="77" t="s">
        <v>69</v>
      </c>
      <c r="N393" s="88">
        <v>43</v>
      </c>
      <c r="O393" s="77" t="s">
        <v>159</v>
      </c>
      <c r="P393" s="77" t="s">
        <v>891</v>
      </c>
      <c r="Q393" s="31"/>
      <c r="R393" s="63"/>
    </row>
    <row r="394" spans="1:18" ht="39.75" hidden="1" customHeight="1" x14ac:dyDescent="0.25">
      <c r="A394" s="78">
        <f>IF(B394="","",COUNTA($B$7:B393))</f>
        <v>387</v>
      </c>
      <c r="B394" s="85">
        <v>45908</v>
      </c>
      <c r="C394" s="77" t="s">
        <v>216</v>
      </c>
      <c r="D394" s="77" t="s">
        <v>79</v>
      </c>
      <c r="E394" s="77" t="s">
        <v>888</v>
      </c>
      <c r="F394" s="77" t="s">
        <v>118</v>
      </c>
      <c r="G394" s="77" t="s">
        <v>69</v>
      </c>
      <c r="H394" s="131" t="s">
        <v>118</v>
      </c>
      <c r="I394" s="86" t="str">
        <f t="shared" si="12"/>
        <v>LENC</v>
      </c>
      <c r="J394" s="86" t="str">
        <f t="shared" si="13"/>
        <v>25</v>
      </c>
      <c r="K394" s="77" t="s">
        <v>893</v>
      </c>
      <c r="L394" s="77">
        <v>1</v>
      </c>
      <c r="M394" s="77" t="s">
        <v>69</v>
      </c>
      <c r="N394" s="88">
        <v>43</v>
      </c>
      <c r="O394" s="77" t="s">
        <v>159</v>
      </c>
      <c r="P394" s="77" t="s">
        <v>891</v>
      </c>
      <c r="Q394" s="31"/>
      <c r="R394" s="63"/>
    </row>
    <row r="395" spans="1:18" ht="39.75" hidden="1" customHeight="1" x14ac:dyDescent="0.25">
      <c r="A395" s="78">
        <f>IF(B395="","",COUNTA($B$7:B394))</f>
        <v>388</v>
      </c>
      <c r="B395" s="85">
        <v>45908</v>
      </c>
      <c r="C395" s="77" t="s">
        <v>216</v>
      </c>
      <c r="D395" s="77" t="s">
        <v>79</v>
      </c>
      <c r="E395" s="77" t="s">
        <v>888</v>
      </c>
      <c r="F395" s="77" t="s">
        <v>118</v>
      </c>
      <c r="G395" s="77" t="s">
        <v>69</v>
      </c>
      <c r="H395" s="131" t="s">
        <v>118</v>
      </c>
      <c r="I395" s="86" t="str">
        <f t="shared" si="12"/>
        <v>LENC</v>
      </c>
      <c r="J395" s="86" t="str">
        <f t="shared" si="13"/>
        <v>25</v>
      </c>
      <c r="K395" s="77" t="s">
        <v>893</v>
      </c>
      <c r="L395" s="77">
        <v>1</v>
      </c>
      <c r="M395" s="77" t="s">
        <v>69</v>
      </c>
      <c r="N395" s="88">
        <v>43</v>
      </c>
      <c r="O395" s="77" t="s">
        <v>159</v>
      </c>
      <c r="P395" s="77" t="s">
        <v>891</v>
      </c>
      <c r="Q395" s="31"/>
      <c r="R395" s="63"/>
    </row>
    <row r="396" spans="1:18" ht="39.75" hidden="1" customHeight="1" x14ac:dyDescent="0.25">
      <c r="A396" s="78">
        <f>IF(B396="","",COUNTA($B$7:B395))</f>
        <v>389</v>
      </c>
      <c r="B396" s="85">
        <v>45908</v>
      </c>
      <c r="C396" s="77" t="s">
        <v>216</v>
      </c>
      <c r="D396" s="77" t="s">
        <v>79</v>
      </c>
      <c r="E396" s="77" t="s">
        <v>888</v>
      </c>
      <c r="F396" s="77" t="s">
        <v>118</v>
      </c>
      <c r="G396" s="77" t="s">
        <v>894</v>
      </c>
      <c r="H396" s="131" t="s">
        <v>118</v>
      </c>
      <c r="I396" s="86" t="str">
        <f t="shared" si="12"/>
        <v>LENC</v>
      </c>
      <c r="J396" s="86" t="str">
        <f t="shared" si="13"/>
        <v>25</v>
      </c>
      <c r="K396" s="77" t="s">
        <v>895</v>
      </c>
      <c r="L396" s="77">
        <v>2</v>
      </c>
      <c r="M396" s="77" t="s">
        <v>69</v>
      </c>
      <c r="N396" s="88">
        <v>43</v>
      </c>
      <c r="O396" s="77" t="s">
        <v>159</v>
      </c>
      <c r="P396" s="77" t="s">
        <v>891</v>
      </c>
      <c r="Q396" s="31"/>
      <c r="R396" s="63"/>
    </row>
    <row r="397" spans="1:18" ht="39.75" hidden="1" customHeight="1" x14ac:dyDescent="0.25">
      <c r="A397" s="78">
        <f>IF(B397="","",COUNTA($B$7:B396))</f>
        <v>390</v>
      </c>
      <c r="B397" s="85">
        <v>45908</v>
      </c>
      <c r="C397" s="77" t="s">
        <v>216</v>
      </c>
      <c r="D397" s="77" t="s">
        <v>327</v>
      </c>
      <c r="E397" s="77" t="s">
        <v>888</v>
      </c>
      <c r="F397" s="77" t="s">
        <v>118</v>
      </c>
      <c r="G397" s="77" t="s">
        <v>69</v>
      </c>
      <c r="H397" s="131" t="s">
        <v>118</v>
      </c>
      <c r="I397" s="86" t="str">
        <f t="shared" si="12"/>
        <v>LENC</v>
      </c>
      <c r="J397" s="86" t="str">
        <f t="shared" si="13"/>
        <v>25</v>
      </c>
      <c r="K397" s="77" t="s">
        <v>896</v>
      </c>
      <c r="L397" s="77">
        <v>5</v>
      </c>
      <c r="M397" s="77" t="s">
        <v>69</v>
      </c>
      <c r="N397" s="88">
        <v>43</v>
      </c>
      <c r="O397" s="77" t="s">
        <v>159</v>
      </c>
      <c r="P397" s="77" t="s">
        <v>891</v>
      </c>
      <c r="Q397" s="31"/>
      <c r="R397" s="63"/>
    </row>
    <row r="398" spans="1:18" ht="39.75" hidden="1" customHeight="1" x14ac:dyDescent="0.25">
      <c r="A398" s="78">
        <f>IF(B398="","",COUNTA($B$7:B397))</f>
        <v>391</v>
      </c>
      <c r="B398" s="85">
        <v>45908</v>
      </c>
      <c r="C398" s="77" t="s">
        <v>216</v>
      </c>
      <c r="D398" s="77" t="s">
        <v>330</v>
      </c>
      <c r="E398" s="77" t="s">
        <v>888</v>
      </c>
      <c r="F398" s="77" t="s">
        <v>118</v>
      </c>
      <c r="G398" s="77">
        <v>17561</v>
      </c>
      <c r="H398" s="131" t="s">
        <v>118</v>
      </c>
      <c r="I398" s="86" t="str">
        <f t="shared" si="12"/>
        <v>LENC</v>
      </c>
      <c r="J398" s="86" t="str">
        <f t="shared" si="13"/>
        <v>25</v>
      </c>
      <c r="K398" s="77" t="s">
        <v>69</v>
      </c>
      <c r="L398" s="77">
        <v>2</v>
      </c>
      <c r="M398" s="77" t="s">
        <v>69</v>
      </c>
      <c r="N398" s="88">
        <v>43</v>
      </c>
      <c r="O398" s="77" t="s">
        <v>159</v>
      </c>
      <c r="P398" s="77" t="s">
        <v>891</v>
      </c>
      <c r="Q398" s="31"/>
      <c r="R398" s="63"/>
    </row>
    <row r="399" spans="1:18" ht="39.75" hidden="1" customHeight="1" x14ac:dyDescent="0.25">
      <c r="A399" s="78">
        <f>IF(B399="","",COUNTA($B$7:B398))</f>
        <v>392</v>
      </c>
      <c r="B399" s="85">
        <v>45908</v>
      </c>
      <c r="C399" s="77" t="s">
        <v>216</v>
      </c>
      <c r="D399" s="77" t="s">
        <v>211</v>
      </c>
      <c r="E399" s="77" t="s">
        <v>888</v>
      </c>
      <c r="F399" s="77" t="s">
        <v>118</v>
      </c>
      <c r="G399" s="77" t="s">
        <v>69</v>
      </c>
      <c r="H399" s="131" t="s">
        <v>118</v>
      </c>
      <c r="I399" s="86" t="str">
        <f t="shared" si="12"/>
        <v>LENC</v>
      </c>
      <c r="J399" s="86" t="str">
        <f t="shared" si="13"/>
        <v>25</v>
      </c>
      <c r="K399" s="77" t="s">
        <v>69</v>
      </c>
      <c r="L399" s="77">
        <v>1</v>
      </c>
      <c r="M399" s="77" t="s">
        <v>69</v>
      </c>
      <c r="N399" s="88">
        <v>43</v>
      </c>
      <c r="O399" s="77" t="s">
        <v>159</v>
      </c>
      <c r="P399" s="77" t="s">
        <v>891</v>
      </c>
      <c r="Q399" s="31"/>
      <c r="R399" s="63"/>
    </row>
    <row r="400" spans="1:18" ht="39.75" hidden="1" customHeight="1" x14ac:dyDescent="0.25">
      <c r="A400" s="78">
        <f>IF(B400="","",COUNTA($B$7:B399))</f>
        <v>393</v>
      </c>
      <c r="B400" s="85">
        <v>45908</v>
      </c>
      <c r="C400" s="77" t="s">
        <v>216</v>
      </c>
      <c r="D400" s="77" t="s">
        <v>211</v>
      </c>
      <c r="E400" s="77" t="s">
        <v>897</v>
      </c>
      <c r="F400" s="77" t="s">
        <v>118</v>
      </c>
      <c r="G400" s="77" t="s">
        <v>69</v>
      </c>
      <c r="H400" s="131" t="s">
        <v>118</v>
      </c>
      <c r="I400" s="86" t="str">
        <f t="shared" si="12"/>
        <v>LENC</v>
      </c>
      <c r="J400" s="86" t="str">
        <f t="shared" si="13"/>
        <v>25</v>
      </c>
      <c r="K400" s="77" t="s">
        <v>898</v>
      </c>
      <c r="L400" s="77">
        <v>1</v>
      </c>
      <c r="M400" s="77" t="s">
        <v>899</v>
      </c>
      <c r="N400" s="88">
        <v>43</v>
      </c>
      <c r="O400" s="77" t="s">
        <v>159</v>
      </c>
      <c r="P400" s="77" t="s">
        <v>891</v>
      </c>
      <c r="Q400" s="31"/>
      <c r="R400" s="63"/>
    </row>
    <row r="401" spans="1:18" ht="39.75" hidden="1" customHeight="1" x14ac:dyDescent="0.25">
      <c r="A401" s="78">
        <f>IF(B401="","",COUNTA($B$7:B400))</f>
        <v>394</v>
      </c>
      <c r="B401" s="85">
        <v>46111</v>
      </c>
      <c r="C401" s="77" t="s">
        <v>286</v>
      </c>
      <c r="D401" s="77" t="s">
        <v>334</v>
      </c>
      <c r="E401" s="77" t="s">
        <v>549</v>
      </c>
      <c r="F401" s="77" t="s">
        <v>118</v>
      </c>
      <c r="G401" s="77" t="s">
        <v>900</v>
      </c>
      <c r="H401" s="131" t="s">
        <v>118</v>
      </c>
      <c r="I401" s="86" t="str">
        <f t="shared" si="12"/>
        <v>LENC</v>
      </c>
      <c r="J401" s="86" t="str">
        <f t="shared" si="13"/>
        <v>26</v>
      </c>
      <c r="K401" s="77" t="s">
        <v>69</v>
      </c>
      <c r="L401" s="77">
        <v>1</v>
      </c>
      <c r="M401" s="77" t="s">
        <v>69</v>
      </c>
      <c r="N401" s="88" t="s">
        <v>149</v>
      </c>
      <c r="O401" s="77" t="s">
        <v>121</v>
      </c>
      <c r="P401" s="77"/>
      <c r="Q401" s="31"/>
      <c r="R401" s="63"/>
    </row>
    <row r="402" spans="1:18" ht="39.75" hidden="1" customHeight="1" x14ac:dyDescent="0.25">
      <c r="A402" s="78">
        <f>IF(B402="","",COUNTA($B$7:B401))</f>
        <v>395</v>
      </c>
      <c r="B402" s="85">
        <v>46111</v>
      </c>
      <c r="C402" s="77" t="s">
        <v>286</v>
      </c>
      <c r="D402" s="77" t="s">
        <v>334</v>
      </c>
      <c r="E402" s="77" t="s">
        <v>549</v>
      </c>
      <c r="F402" s="77" t="s">
        <v>118</v>
      </c>
      <c r="G402" s="77" t="s">
        <v>901</v>
      </c>
      <c r="H402" s="131" t="s">
        <v>118</v>
      </c>
      <c r="I402" s="86" t="str">
        <f t="shared" si="12"/>
        <v>LENC</v>
      </c>
      <c r="J402" s="86" t="str">
        <f t="shared" si="13"/>
        <v>26</v>
      </c>
      <c r="K402" s="77" t="s">
        <v>69</v>
      </c>
      <c r="L402" s="77">
        <v>1</v>
      </c>
      <c r="M402" s="77" t="s">
        <v>69</v>
      </c>
      <c r="N402" s="88" t="s">
        <v>149</v>
      </c>
      <c r="O402" s="77" t="s">
        <v>121</v>
      </c>
      <c r="P402" s="77"/>
      <c r="Q402" s="31"/>
      <c r="R402" s="63"/>
    </row>
    <row r="403" spans="1:18" ht="39.75" hidden="1" customHeight="1" x14ac:dyDescent="0.25">
      <c r="A403" s="78">
        <f>IF(B403="","",COUNTA($B$7:B402))</f>
        <v>396</v>
      </c>
      <c r="B403" s="85">
        <v>46112</v>
      </c>
      <c r="C403" s="77" t="s">
        <v>902</v>
      </c>
      <c r="D403" s="77" t="s">
        <v>336</v>
      </c>
      <c r="E403" s="77" t="s">
        <v>902</v>
      </c>
      <c r="F403" s="77" t="s">
        <v>118</v>
      </c>
      <c r="G403" s="77" t="s">
        <v>69</v>
      </c>
      <c r="H403" s="131" t="s">
        <v>118</v>
      </c>
      <c r="I403" s="86" t="str">
        <f t="shared" si="12"/>
        <v>LENC</v>
      </c>
      <c r="J403" s="86" t="str">
        <f t="shared" si="13"/>
        <v>26</v>
      </c>
      <c r="K403" s="77" t="s">
        <v>903</v>
      </c>
      <c r="L403" s="77">
        <v>3</v>
      </c>
      <c r="M403" s="77" t="s">
        <v>904</v>
      </c>
      <c r="N403" s="88" t="s">
        <v>198</v>
      </c>
      <c r="O403" s="77" t="s">
        <v>172</v>
      </c>
      <c r="P403" s="77"/>
      <c r="Q403" s="31"/>
      <c r="R403" s="63"/>
    </row>
    <row r="404" spans="1:18" ht="39.75" hidden="1" customHeight="1" x14ac:dyDescent="0.25">
      <c r="A404" s="78">
        <f>IF(B404="","",COUNTA($B$7:B403))</f>
        <v>397</v>
      </c>
      <c r="B404" s="85">
        <v>46118</v>
      </c>
      <c r="C404" s="77" t="s">
        <v>138</v>
      </c>
      <c r="D404" s="77" t="s">
        <v>339</v>
      </c>
      <c r="E404" s="77" t="s">
        <v>905</v>
      </c>
      <c r="F404" s="77" t="s">
        <v>118</v>
      </c>
      <c r="G404" s="77" t="s">
        <v>906</v>
      </c>
      <c r="H404" s="131" t="s">
        <v>118</v>
      </c>
      <c r="I404" s="86" t="str">
        <f t="shared" si="12"/>
        <v>LENC</v>
      </c>
      <c r="J404" s="86" t="str">
        <f t="shared" si="13"/>
        <v>26</v>
      </c>
      <c r="K404" s="77" t="s">
        <v>907</v>
      </c>
      <c r="L404" s="77">
        <v>1</v>
      </c>
      <c r="M404" s="77" t="s">
        <v>908</v>
      </c>
      <c r="N404" s="88">
        <v>61</v>
      </c>
      <c r="O404" s="77" t="s">
        <v>159</v>
      </c>
      <c r="P404" s="77"/>
      <c r="Q404" s="31"/>
      <c r="R404" s="63"/>
    </row>
    <row r="405" spans="1:18" ht="39.75" hidden="1" customHeight="1" x14ac:dyDescent="0.25">
      <c r="A405" s="78">
        <f>IF(B405="","",COUNTA($B$7:B404))</f>
        <v>398</v>
      </c>
      <c r="B405" s="85">
        <v>46120</v>
      </c>
      <c r="C405" s="77" t="s">
        <v>909</v>
      </c>
      <c r="D405" s="77" t="s">
        <v>341</v>
      </c>
      <c r="E405" s="77" t="s">
        <v>910</v>
      </c>
      <c r="F405" s="77" t="s">
        <v>118</v>
      </c>
      <c r="G405" s="77" t="s">
        <v>911</v>
      </c>
      <c r="H405" s="131" t="s">
        <v>118</v>
      </c>
      <c r="I405" s="86" t="str">
        <f t="shared" si="12"/>
        <v>LENC</v>
      </c>
      <c r="J405" s="86" t="str">
        <f t="shared" si="13"/>
        <v>26</v>
      </c>
      <c r="K405" s="77" t="s">
        <v>912</v>
      </c>
      <c r="L405" s="77">
        <v>2</v>
      </c>
      <c r="M405" s="77" t="s">
        <v>913</v>
      </c>
      <c r="N405" s="88">
        <v>85</v>
      </c>
      <c r="O405" s="77" t="s">
        <v>159</v>
      </c>
      <c r="P405" s="77"/>
      <c r="Q405" s="31"/>
      <c r="R405" s="63"/>
    </row>
    <row r="406" spans="1:18" ht="39.75" hidden="1" customHeight="1" x14ac:dyDescent="0.25">
      <c r="A406" s="78">
        <f>IF(B406="","",COUNTA($B$7:B405))</f>
        <v>399</v>
      </c>
      <c r="B406" s="85">
        <v>46120</v>
      </c>
      <c r="C406" s="77" t="s">
        <v>909</v>
      </c>
      <c r="D406" s="77" t="s">
        <v>344</v>
      </c>
      <c r="E406" s="77" t="s">
        <v>910</v>
      </c>
      <c r="F406" s="77" t="s">
        <v>118</v>
      </c>
      <c r="G406" s="77" t="s">
        <v>914</v>
      </c>
      <c r="H406" s="131" t="s">
        <v>118</v>
      </c>
      <c r="I406" s="86" t="str">
        <f t="shared" si="12"/>
        <v>LENC</v>
      </c>
      <c r="J406" s="86" t="str">
        <f t="shared" si="13"/>
        <v>26</v>
      </c>
      <c r="K406" s="77" t="s">
        <v>912</v>
      </c>
      <c r="L406" s="77">
        <v>2</v>
      </c>
      <c r="M406" s="77" t="s">
        <v>913</v>
      </c>
      <c r="N406" s="88" t="s">
        <v>711</v>
      </c>
      <c r="O406" s="77" t="s">
        <v>172</v>
      </c>
      <c r="P406" s="77"/>
      <c r="Q406" s="31"/>
      <c r="R406" s="63"/>
    </row>
    <row r="407" spans="1:18" ht="39.75" hidden="1" customHeight="1" x14ac:dyDescent="0.25">
      <c r="A407" s="78">
        <f>IF(B407="","",COUNTA($B$7:B406))</f>
        <v>400</v>
      </c>
      <c r="B407" s="85">
        <v>46120</v>
      </c>
      <c r="C407" s="77" t="s">
        <v>915</v>
      </c>
      <c r="D407" s="77" t="s">
        <v>347</v>
      </c>
      <c r="E407" s="77" t="s">
        <v>916</v>
      </c>
      <c r="F407" s="77" t="s">
        <v>118</v>
      </c>
      <c r="G407" s="77" t="s">
        <v>917</v>
      </c>
      <c r="H407" s="131" t="s">
        <v>118</v>
      </c>
      <c r="I407" s="86" t="str">
        <f t="shared" si="12"/>
        <v>LENC</v>
      </c>
      <c r="J407" s="86" t="str">
        <f t="shared" si="13"/>
        <v>26</v>
      </c>
      <c r="K407" s="77" t="s">
        <v>918</v>
      </c>
      <c r="L407" s="77">
        <v>1</v>
      </c>
      <c r="M407" s="77" t="s">
        <v>919</v>
      </c>
      <c r="N407" s="88" t="s">
        <v>143</v>
      </c>
      <c r="O407" s="77" t="s">
        <v>126</v>
      </c>
      <c r="P407" s="77"/>
      <c r="Q407" s="31"/>
      <c r="R407" s="63"/>
    </row>
    <row r="408" spans="1:18" ht="39.75" hidden="1" customHeight="1" x14ac:dyDescent="0.25">
      <c r="A408" s="78">
        <f>IF(B408="","",COUNTA($B$7:B407))</f>
        <v>401</v>
      </c>
      <c r="B408" s="85">
        <v>46122</v>
      </c>
      <c r="C408" s="77" t="s">
        <v>208</v>
      </c>
      <c r="D408" s="77" t="s">
        <v>352</v>
      </c>
      <c r="E408" s="77" t="s">
        <v>69</v>
      </c>
      <c r="F408" s="77" t="s">
        <v>118</v>
      </c>
      <c r="G408" s="77" t="s">
        <v>838</v>
      </c>
      <c r="H408" s="131" t="s">
        <v>118</v>
      </c>
      <c r="I408" s="86" t="str">
        <f t="shared" si="12"/>
        <v>LENC</v>
      </c>
      <c r="J408" s="86" t="str">
        <f t="shared" si="13"/>
        <v>26</v>
      </c>
      <c r="K408" s="77" t="s">
        <v>920</v>
      </c>
      <c r="L408" s="77">
        <v>3</v>
      </c>
      <c r="M408" s="77" t="s">
        <v>921</v>
      </c>
      <c r="N408" s="88"/>
      <c r="O408" s="77" t="s">
        <v>172</v>
      </c>
      <c r="P408" s="77"/>
      <c r="Q408" s="31"/>
      <c r="R408" s="63"/>
    </row>
    <row r="409" spans="1:18" ht="39.75" hidden="1" customHeight="1" x14ac:dyDescent="0.25">
      <c r="A409" s="78">
        <f>IF(B409="","",COUNTA($B$7:B408))</f>
        <v>402</v>
      </c>
      <c r="B409" s="85">
        <v>45975</v>
      </c>
      <c r="C409" s="77" t="s">
        <v>152</v>
      </c>
      <c r="D409" s="77" t="s">
        <v>356</v>
      </c>
      <c r="E409" s="77" t="s">
        <v>152</v>
      </c>
      <c r="F409" s="77" t="s">
        <v>118</v>
      </c>
      <c r="G409" s="77">
        <v>21057</v>
      </c>
      <c r="H409" s="131" t="s">
        <v>118</v>
      </c>
      <c r="I409" s="86" t="str">
        <f t="shared" si="12"/>
        <v>LENC</v>
      </c>
      <c r="J409" s="86" t="str">
        <f t="shared" si="13"/>
        <v>25</v>
      </c>
      <c r="K409" s="77" t="s">
        <v>69</v>
      </c>
      <c r="L409" s="77">
        <v>1</v>
      </c>
      <c r="M409" s="77" t="s">
        <v>69</v>
      </c>
      <c r="N409" s="88">
        <v>44</v>
      </c>
      <c r="O409" s="77" t="s">
        <v>235</v>
      </c>
      <c r="P409" s="77" t="s">
        <v>922</v>
      </c>
      <c r="Q409" s="31"/>
      <c r="R409" s="63"/>
    </row>
    <row r="410" spans="1:18" ht="39.75" hidden="1" customHeight="1" x14ac:dyDescent="0.25">
      <c r="A410" s="78">
        <f>IF(B410="","",COUNTA($B$7:B409))</f>
        <v>403</v>
      </c>
      <c r="B410" s="85">
        <v>46121</v>
      </c>
      <c r="C410" s="77" t="s">
        <v>923</v>
      </c>
      <c r="D410" s="77" t="s">
        <v>359</v>
      </c>
      <c r="E410" s="77" t="s">
        <v>923</v>
      </c>
      <c r="F410" s="77" t="s">
        <v>118</v>
      </c>
      <c r="G410" s="110" t="s">
        <v>924</v>
      </c>
      <c r="H410" s="131" t="s">
        <v>118</v>
      </c>
      <c r="I410" s="86" t="str">
        <f t="shared" si="12"/>
        <v>LENC</v>
      </c>
      <c r="J410" s="86" t="str">
        <f t="shared" si="13"/>
        <v>26</v>
      </c>
      <c r="K410" s="77" t="s">
        <v>69</v>
      </c>
      <c r="L410" s="77">
        <v>1</v>
      </c>
      <c r="M410" s="77" t="s">
        <v>69</v>
      </c>
      <c r="N410" s="88">
        <v>68</v>
      </c>
      <c r="O410" s="77" t="s">
        <v>159</v>
      </c>
      <c r="P410" s="77"/>
      <c r="Q410" s="31"/>
      <c r="R410" s="63"/>
    </row>
    <row r="411" spans="1:18" ht="39.75" hidden="1" customHeight="1" x14ac:dyDescent="0.25">
      <c r="A411" s="78">
        <f>IF(B411="","",COUNTA($B$7:B410))</f>
        <v>404</v>
      </c>
      <c r="B411" s="85">
        <v>46121</v>
      </c>
      <c r="C411" s="77" t="s">
        <v>561</v>
      </c>
      <c r="D411" s="77" t="s">
        <v>362</v>
      </c>
      <c r="E411" s="77" t="s">
        <v>561</v>
      </c>
      <c r="F411" s="77" t="s">
        <v>118</v>
      </c>
      <c r="G411" s="77">
        <v>100126</v>
      </c>
      <c r="H411" s="131" t="s">
        <v>118</v>
      </c>
      <c r="I411" s="86" t="str">
        <f t="shared" si="12"/>
        <v>LENC</v>
      </c>
      <c r="J411" s="86" t="str">
        <f t="shared" si="13"/>
        <v>26</v>
      </c>
      <c r="K411" s="77" t="s">
        <v>925</v>
      </c>
      <c r="L411" s="77">
        <v>1</v>
      </c>
      <c r="M411" s="77" t="s">
        <v>926</v>
      </c>
      <c r="N411" s="88" t="s">
        <v>149</v>
      </c>
      <c r="O411" s="77" t="s">
        <v>121</v>
      </c>
      <c r="P411" s="77"/>
      <c r="Q411" s="31"/>
      <c r="R411" s="63"/>
    </row>
    <row r="412" spans="1:18" ht="39.75" hidden="1" customHeight="1" x14ac:dyDescent="0.25">
      <c r="A412" s="78">
        <f>IF(B412="","",COUNTA($B$7:B411))</f>
        <v>405</v>
      </c>
      <c r="B412" s="85">
        <v>46121</v>
      </c>
      <c r="C412" s="77" t="s">
        <v>561</v>
      </c>
      <c r="D412" s="77" t="s">
        <v>365</v>
      </c>
      <c r="E412" s="77" t="s">
        <v>561</v>
      </c>
      <c r="F412" s="77" t="s">
        <v>118</v>
      </c>
      <c r="G412" s="77">
        <v>100135</v>
      </c>
      <c r="H412" s="131" t="s">
        <v>118</v>
      </c>
      <c r="I412" s="86" t="str">
        <f t="shared" si="12"/>
        <v>LENC</v>
      </c>
      <c r="J412" s="86" t="str">
        <f t="shared" si="13"/>
        <v>26</v>
      </c>
      <c r="K412" s="77" t="s">
        <v>925</v>
      </c>
      <c r="L412" s="77">
        <v>1</v>
      </c>
      <c r="M412" s="77" t="s">
        <v>926</v>
      </c>
      <c r="N412" s="88" t="s">
        <v>149</v>
      </c>
      <c r="O412" s="77" t="s">
        <v>121</v>
      </c>
      <c r="P412" s="77"/>
      <c r="Q412" s="31"/>
      <c r="R412" s="63"/>
    </row>
    <row r="413" spans="1:18" ht="39.75" hidden="1" customHeight="1" x14ac:dyDescent="0.25">
      <c r="A413" s="78">
        <f>IF(B413="","",COUNTA($B$7:B412))</f>
        <v>406</v>
      </c>
      <c r="B413" s="85">
        <v>46121</v>
      </c>
      <c r="C413" s="77" t="s">
        <v>561</v>
      </c>
      <c r="D413" s="77" t="s">
        <v>359</v>
      </c>
      <c r="E413" s="77" t="s">
        <v>561</v>
      </c>
      <c r="F413" s="77" t="s">
        <v>118</v>
      </c>
      <c r="G413" s="77">
        <v>104419</v>
      </c>
      <c r="H413" s="131" t="s">
        <v>118</v>
      </c>
      <c r="I413" s="86" t="str">
        <f t="shared" si="12"/>
        <v>LENC</v>
      </c>
      <c r="J413" s="86" t="str">
        <f t="shared" si="13"/>
        <v>26</v>
      </c>
      <c r="K413" s="77" t="s">
        <v>925</v>
      </c>
      <c r="L413" s="77">
        <v>1</v>
      </c>
      <c r="M413" s="77" t="s">
        <v>926</v>
      </c>
      <c r="N413" s="88" t="s">
        <v>149</v>
      </c>
      <c r="O413" s="77" t="s">
        <v>121</v>
      </c>
      <c r="P413" s="77"/>
      <c r="Q413" s="31"/>
      <c r="R413" s="63"/>
    </row>
    <row r="414" spans="1:18" ht="39.75" hidden="1" customHeight="1" x14ac:dyDescent="0.25">
      <c r="A414" s="78">
        <f>IF(B414="","",COUNTA($B$7:B413))</f>
        <v>407</v>
      </c>
      <c r="B414" s="85">
        <v>46121</v>
      </c>
      <c r="C414" s="77" t="s">
        <v>561</v>
      </c>
      <c r="D414" s="77" t="s">
        <v>369</v>
      </c>
      <c r="E414" s="77" t="s">
        <v>561</v>
      </c>
      <c r="F414" s="77" t="s">
        <v>118</v>
      </c>
      <c r="G414" s="77">
        <v>100137</v>
      </c>
      <c r="H414" s="131" t="s">
        <v>118</v>
      </c>
      <c r="I414" s="86" t="str">
        <f t="shared" si="12"/>
        <v>LENC</v>
      </c>
      <c r="J414" s="86" t="str">
        <f t="shared" si="13"/>
        <v>26</v>
      </c>
      <c r="K414" s="77" t="s">
        <v>925</v>
      </c>
      <c r="L414" s="77">
        <v>1</v>
      </c>
      <c r="M414" s="77" t="s">
        <v>926</v>
      </c>
      <c r="N414" s="88" t="s">
        <v>149</v>
      </c>
      <c r="O414" s="77" t="s">
        <v>121</v>
      </c>
      <c r="P414" s="77"/>
      <c r="Q414" s="31"/>
      <c r="R414" s="63"/>
    </row>
    <row r="415" spans="1:18" ht="39.75" hidden="1" customHeight="1" x14ac:dyDescent="0.25">
      <c r="A415" s="78">
        <f>IF(B415="","",COUNTA($B$7:B414))</f>
        <v>408</v>
      </c>
      <c r="B415" s="85">
        <v>46121</v>
      </c>
      <c r="C415" s="77" t="s">
        <v>561</v>
      </c>
      <c r="D415" s="77" t="s">
        <v>372</v>
      </c>
      <c r="E415" s="77" t="s">
        <v>561</v>
      </c>
      <c r="F415" s="77" t="s">
        <v>118</v>
      </c>
      <c r="G415" s="77">
        <v>100885</v>
      </c>
      <c r="H415" s="131" t="s">
        <v>118</v>
      </c>
      <c r="I415" s="86" t="str">
        <f t="shared" si="12"/>
        <v>LENC</v>
      </c>
      <c r="J415" s="86" t="str">
        <f t="shared" si="13"/>
        <v>26</v>
      </c>
      <c r="K415" s="77" t="s">
        <v>927</v>
      </c>
      <c r="L415" s="77">
        <v>1</v>
      </c>
      <c r="M415" s="77" t="s">
        <v>928</v>
      </c>
      <c r="N415" s="88" t="s">
        <v>198</v>
      </c>
      <c r="O415" s="77" t="s">
        <v>172</v>
      </c>
      <c r="P415" s="77"/>
      <c r="Q415" s="31"/>
      <c r="R415" s="63"/>
    </row>
    <row r="416" spans="1:18" ht="39.75" hidden="1" customHeight="1" x14ac:dyDescent="0.25">
      <c r="A416" s="78">
        <f>IF(B416="","",COUNTA($B$7:B415))</f>
        <v>409</v>
      </c>
      <c r="B416" s="85">
        <v>46121</v>
      </c>
      <c r="C416" s="77" t="s">
        <v>561</v>
      </c>
      <c r="D416" s="77" t="s">
        <v>374</v>
      </c>
      <c r="E416" s="77" t="s">
        <v>561</v>
      </c>
      <c r="F416" s="77" t="s">
        <v>118</v>
      </c>
      <c r="G416" s="77">
        <v>102958</v>
      </c>
      <c r="H416" s="131" t="s">
        <v>118</v>
      </c>
      <c r="I416" s="86" t="str">
        <f t="shared" si="12"/>
        <v>LENC</v>
      </c>
      <c r="J416" s="86" t="str">
        <f t="shared" si="13"/>
        <v>26</v>
      </c>
      <c r="K416" s="77" t="s">
        <v>927</v>
      </c>
      <c r="L416" s="77">
        <v>1</v>
      </c>
      <c r="M416" s="77" t="s">
        <v>928</v>
      </c>
      <c r="N416" s="88" t="s">
        <v>198</v>
      </c>
      <c r="O416" s="77" t="s">
        <v>172</v>
      </c>
      <c r="P416" s="77"/>
      <c r="Q416" s="31"/>
      <c r="R416" s="63"/>
    </row>
    <row r="417" spans="1:18" ht="39.75" hidden="1" customHeight="1" x14ac:dyDescent="0.25">
      <c r="A417" s="78">
        <f>IF(B417="","",COUNTA($B$7:B416))</f>
        <v>410</v>
      </c>
      <c r="B417" s="85">
        <v>46121</v>
      </c>
      <c r="C417" s="77" t="s">
        <v>150</v>
      </c>
      <c r="D417" s="77" t="s">
        <v>377</v>
      </c>
      <c r="E417" s="77" t="s">
        <v>929</v>
      </c>
      <c r="F417" s="77" t="s">
        <v>118</v>
      </c>
      <c r="G417" s="77">
        <v>21687</v>
      </c>
      <c r="H417" s="131" t="s">
        <v>118</v>
      </c>
      <c r="I417" s="86" t="str">
        <f t="shared" si="12"/>
        <v>LENC</v>
      </c>
      <c r="J417" s="86" t="str">
        <f t="shared" si="13"/>
        <v>26</v>
      </c>
      <c r="K417" s="77" t="s">
        <v>69</v>
      </c>
      <c r="L417" s="77">
        <v>1</v>
      </c>
      <c r="M417" s="77" t="s">
        <v>69</v>
      </c>
      <c r="N417" s="88">
        <v>48</v>
      </c>
      <c r="O417" s="77" t="s">
        <v>159</v>
      </c>
      <c r="P417" s="77"/>
      <c r="Q417" s="31"/>
      <c r="R417" s="63"/>
    </row>
    <row r="418" spans="1:18" ht="39.75" hidden="1" customHeight="1" x14ac:dyDescent="0.25">
      <c r="A418" s="78">
        <f>IF(B418="","",COUNTA($B$7:B417))</f>
        <v>411</v>
      </c>
      <c r="B418" s="85">
        <v>46269</v>
      </c>
      <c r="C418" s="77" t="s">
        <v>150</v>
      </c>
      <c r="D418" s="77" t="s">
        <v>380</v>
      </c>
      <c r="E418" s="77" t="s">
        <v>930</v>
      </c>
      <c r="F418" s="77" t="s">
        <v>118</v>
      </c>
      <c r="G418" s="77" t="s">
        <v>931</v>
      </c>
      <c r="H418" s="131" t="s">
        <v>118</v>
      </c>
      <c r="I418" s="86" t="str">
        <f t="shared" si="12"/>
        <v>LENC</v>
      </c>
      <c r="J418" s="86" t="str">
        <f t="shared" si="13"/>
        <v>26</v>
      </c>
      <c r="K418" s="77" t="s">
        <v>932</v>
      </c>
      <c r="L418" s="77">
        <v>1</v>
      </c>
      <c r="M418" s="77" t="s">
        <v>69</v>
      </c>
      <c r="N418" s="88">
        <v>47</v>
      </c>
      <c r="O418" s="77" t="s">
        <v>159</v>
      </c>
      <c r="P418" s="77" t="s">
        <v>933</v>
      </c>
      <c r="Q418" s="31"/>
      <c r="R418" s="63"/>
    </row>
    <row r="419" spans="1:18" ht="39.75" hidden="1" customHeight="1" x14ac:dyDescent="0.25">
      <c r="A419" s="78">
        <f>IF(B419="","",COUNTA($B$7:B418))</f>
        <v>412</v>
      </c>
      <c r="B419" s="85">
        <v>45975</v>
      </c>
      <c r="C419" s="77" t="s">
        <v>152</v>
      </c>
      <c r="D419" s="77" t="s">
        <v>383</v>
      </c>
      <c r="E419" s="77" t="s">
        <v>152</v>
      </c>
      <c r="F419" s="77" t="s">
        <v>118</v>
      </c>
      <c r="G419" s="77">
        <v>21081</v>
      </c>
      <c r="H419" s="131" t="s">
        <v>118</v>
      </c>
      <c r="I419" s="86" t="str">
        <f t="shared" si="12"/>
        <v>LENC</v>
      </c>
      <c r="J419" s="86" t="str">
        <f t="shared" si="13"/>
        <v>25</v>
      </c>
      <c r="K419" s="77" t="s">
        <v>69</v>
      </c>
      <c r="L419" s="77">
        <v>1</v>
      </c>
      <c r="M419" s="77" t="s">
        <v>69</v>
      </c>
      <c r="N419" s="88">
        <v>48</v>
      </c>
      <c r="O419" s="77" t="s">
        <v>159</v>
      </c>
      <c r="P419" s="77"/>
      <c r="Q419" s="31"/>
      <c r="R419" s="63"/>
    </row>
    <row r="420" spans="1:18" ht="39.75" hidden="1" customHeight="1" x14ac:dyDescent="0.25">
      <c r="A420" s="78">
        <f>IF(B420="","",COUNTA($B$7:B419))</f>
        <v>413</v>
      </c>
      <c r="B420" s="85">
        <v>46121</v>
      </c>
      <c r="C420" s="77" t="s">
        <v>923</v>
      </c>
      <c r="D420" s="77" t="s">
        <v>116</v>
      </c>
      <c r="E420" s="77" t="s">
        <v>923</v>
      </c>
      <c r="F420" s="77" t="s">
        <v>118</v>
      </c>
      <c r="G420" s="77" t="s">
        <v>69</v>
      </c>
      <c r="H420" s="131" t="s">
        <v>118</v>
      </c>
      <c r="I420" s="86" t="str">
        <f t="shared" si="12"/>
        <v>LENC</v>
      </c>
      <c r="J420" s="86" t="str">
        <f t="shared" si="13"/>
        <v>26</v>
      </c>
      <c r="K420" s="77" t="s">
        <v>69</v>
      </c>
      <c r="L420" s="77">
        <v>1</v>
      </c>
      <c r="M420" s="77" t="s">
        <v>69</v>
      </c>
      <c r="N420" s="88">
        <v>68</v>
      </c>
      <c r="O420" s="77" t="s">
        <v>159</v>
      </c>
      <c r="P420" s="77"/>
      <c r="Q420" s="31"/>
      <c r="R420" s="63"/>
    </row>
    <row r="421" spans="1:18" ht="39.75" hidden="1" customHeight="1" x14ac:dyDescent="0.25">
      <c r="A421" s="78">
        <f>IF(B421="","",COUNTA($B$7:B420))</f>
        <v>414</v>
      </c>
      <c r="B421" s="85">
        <v>46121</v>
      </c>
      <c r="C421" s="77" t="s">
        <v>305</v>
      </c>
      <c r="D421" s="77" t="s">
        <v>123</v>
      </c>
      <c r="E421" s="77" t="s">
        <v>934</v>
      </c>
      <c r="F421" s="77" t="s">
        <v>118</v>
      </c>
      <c r="G421" s="77" t="s">
        <v>935</v>
      </c>
      <c r="H421" s="131" t="s">
        <v>118</v>
      </c>
      <c r="I421" s="86" t="str">
        <f t="shared" si="12"/>
        <v>LENC</v>
      </c>
      <c r="J421" s="86" t="str">
        <f t="shared" si="13"/>
        <v>26</v>
      </c>
      <c r="K421" s="77" t="s">
        <v>936</v>
      </c>
      <c r="L421" s="77">
        <v>1</v>
      </c>
      <c r="M421" s="77" t="s">
        <v>937</v>
      </c>
      <c r="N421" s="88">
        <v>81</v>
      </c>
      <c r="O421" s="77" t="s">
        <v>159</v>
      </c>
      <c r="P421" s="77"/>
      <c r="Q421" s="31"/>
      <c r="R421" s="63"/>
    </row>
    <row r="422" spans="1:18" ht="39.75" hidden="1" customHeight="1" x14ac:dyDescent="0.25">
      <c r="A422" s="78">
        <f>IF(B422="","",COUNTA($B$7:B421))</f>
        <v>415</v>
      </c>
      <c r="B422" s="85">
        <v>46121</v>
      </c>
      <c r="C422" s="77" t="s">
        <v>561</v>
      </c>
      <c r="D422" s="77" t="s">
        <v>127</v>
      </c>
      <c r="E422" s="77" t="s">
        <v>561</v>
      </c>
      <c r="F422" s="77" t="s">
        <v>118</v>
      </c>
      <c r="G422" s="110" t="s">
        <v>938</v>
      </c>
      <c r="H422" s="131" t="s">
        <v>118</v>
      </c>
      <c r="I422" s="86" t="str">
        <f t="shared" si="12"/>
        <v>LENC</v>
      </c>
      <c r="J422" s="86" t="str">
        <f t="shared" si="13"/>
        <v>26</v>
      </c>
      <c r="K422" s="77" t="s">
        <v>939</v>
      </c>
      <c r="L422" s="77">
        <v>1</v>
      </c>
      <c r="M422" s="77" t="s">
        <v>940</v>
      </c>
      <c r="N422" s="88" t="s">
        <v>143</v>
      </c>
      <c r="O422" s="77" t="s">
        <v>126</v>
      </c>
      <c r="P422" s="77"/>
      <c r="Q422" s="31"/>
      <c r="R422" s="63"/>
    </row>
    <row r="423" spans="1:18" ht="39.75" hidden="1" customHeight="1" x14ac:dyDescent="0.25">
      <c r="A423" s="78">
        <f>IF(B423="","",COUNTA($B$7:B422))</f>
        <v>416</v>
      </c>
      <c r="B423" s="85">
        <v>46121</v>
      </c>
      <c r="C423" s="77" t="s">
        <v>561</v>
      </c>
      <c r="D423" s="77" t="s">
        <v>133</v>
      </c>
      <c r="E423" s="77" t="s">
        <v>561</v>
      </c>
      <c r="F423" s="77" t="s">
        <v>118</v>
      </c>
      <c r="G423" s="110" t="s">
        <v>941</v>
      </c>
      <c r="H423" s="131" t="s">
        <v>118</v>
      </c>
      <c r="I423" s="86" t="str">
        <f t="shared" si="12"/>
        <v>LENC</v>
      </c>
      <c r="J423" s="86" t="str">
        <f t="shared" si="13"/>
        <v>26</v>
      </c>
      <c r="K423" s="77" t="s">
        <v>69</v>
      </c>
      <c r="L423" s="77">
        <v>1</v>
      </c>
      <c r="M423" s="77" t="s">
        <v>69</v>
      </c>
      <c r="N423" s="88" t="s">
        <v>149</v>
      </c>
      <c r="O423" s="77" t="s">
        <v>121</v>
      </c>
      <c r="P423" s="77"/>
      <c r="Q423" s="31"/>
      <c r="R423" s="63"/>
    </row>
    <row r="424" spans="1:18" ht="39.75" hidden="1" customHeight="1" x14ac:dyDescent="0.25">
      <c r="A424" s="78">
        <f>IF(B424="","",COUNTA($B$7:B423))</f>
        <v>417</v>
      </c>
      <c r="B424" s="85">
        <v>46122</v>
      </c>
      <c r="C424" s="77" t="s">
        <v>942</v>
      </c>
      <c r="D424" s="77" t="s">
        <v>135</v>
      </c>
      <c r="E424" s="77" t="s">
        <v>943</v>
      </c>
      <c r="F424" s="77" t="s">
        <v>118</v>
      </c>
      <c r="G424" s="110" t="s">
        <v>944</v>
      </c>
      <c r="H424" s="131" t="s">
        <v>118</v>
      </c>
      <c r="I424" s="86" t="str">
        <f t="shared" si="12"/>
        <v>LENC</v>
      </c>
      <c r="J424" s="86" t="str">
        <f t="shared" si="13"/>
        <v>26</v>
      </c>
      <c r="K424" s="77" t="s">
        <v>69</v>
      </c>
      <c r="L424" s="77">
        <v>1</v>
      </c>
      <c r="M424" s="77" t="s">
        <v>69</v>
      </c>
      <c r="N424" s="88">
        <v>75</v>
      </c>
      <c r="O424" s="77" t="s">
        <v>159</v>
      </c>
      <c r="P424" s="77"/>
      <c r="Q424" s="31"/>
      <c r="R424" s="63"/>
    </row>
    <row r="425" spans="1:18" ht="39.75" hidden="1" customHeight="1" x14ac:dyDescent="0.25">
      <c r="A425" s="78">
        <f>IF(B425="","",COUNTA($B$7:B424))</f>
        <v>418</v>
      </c>
      <c r="B425" s="85">
        <v>46122</v>
      </c>
      <c r="C425" s="77" t="s">
        <v>942</v>
      </c>
      <c r="D425" s="77" t="s">
        <v>139</v>
      </c>
      <c r="E425" s="77" t="s">
        <v>943</v>
      </c>
      <c r="F425" s="77" t="s">
        <v>118</v>
      </c>
      <c r="G425" s="110" t="s">
        <v>945</v>
      </c>
      <c r="H425" s="131" t="s">
        <v>118</v>
      </c>
      <c r="I425" s="86" t="str">
        <f t="shared" si="12"/>
        <v>LENC</v>
      </c>
      <c r="J425" s="86" t="str">
        <f t="shared" si="13"/>
        <v>26</v>
      </c>
      <c r="K425" s="77" t="s">
        <v>69</v>
      </c>
      <c r="L425" s="77">
        <v>1</v>
      </c>
      <c r="M425" s="77" t="s">
        <v>69</v>
      </c>
      <c r="N425" s="88">
        <v>75</v>
      </c>
      <c r="O425" s="77" t="s">
        <v>159</v>
      </c>
      <c r="P425" s="77"/>
      <c r="Q425" s="31"/>
      <c r="R425" s="63"/>
    </row>
    <row r="426" spans="1:18" ht="39.75" hidden="1" customHeight="1" x14ac:dyDescent="0.25">
      <c r="A426" s="78">
        <f>IF(B426="","",COUNTA($B$7:B425))</f>
        <v>419</v>
      </c>
      <c r="B426" s="85">
        <v>46122</v>
      </c>
      <c r="C426" s="77" t="s">
        <v>942</v>
      </c>
      <c r="D426" s="77" t="s">
        <v>146</v>
      </c>
      <c r="E426" s="77" t="s">
        <v>943</v>
      </c>
      <c r="F426" s="77" t="s">
        <v>118</v>
      </c>
      <c r="G426" s="110" t="s">
        <v>946</v>
      </c>
      <c r="H426" s="131" t="s">
        <v>118</v>
      </c>
      <c r="I426" s="86" t="str">
        <f t="shared" si="12"/>
        <v>LENC</v>
      </c>
      <c r="J426" s="86" t="str">
        <f t="shared" si="13"/>
        <v>26</v>
      </c>
      <c r="K426" s="77" t="s">
        <v>69</v>
      </c>
      <c r="L426" s="77">
        <v>1</v>
      </c>
      <c r="M426" s="77" t="s">
        <v>69</v>
      </c>
      <c r="N426" s="88">
        <v>75</v>
      </c>
      <c r="O426" s="77" t="s">
        <v>159</v>
      </c>
      <c r="P426" s="77"/>
      <c r="Q426" s="31"/>
      <c r="R426" s="63"/>
    </row>
    <row r="427" spans="1:18" ht="39.75" hidden="1" customHeight="1" x14ac:dyDescent="0.25">
      <c r="A427" s="78">
        <f>IF(B427="","",COUNTA($B$7:B426))</f>
        <v>420</v>
      </c>
      <c r="B427" s="85">
        <v>46122</v>
      </c>
      <c r="C427" s="77" t="s">
        <v>942</v>
      </c>
      <c r="D427" s="77" t="s">
        <v>947</v>
      </c>
      <c r="E427" s="77" t="s">
        <v>943</v>
      </c>
      <c r="F427" s="77" t="s">
        <v>118</v>
      </c>
      <c r="G427" s="110" t="s">
        <v>948</v>
      </c>
      <c r="H427" s="131" t="s">
        <v>118</v>
      </c>
      <c r="I427" s="86" t="str">
        <f t="shared" si="12"/>
        <v>LENC</v>
      </c>
      <c r="J427" s="86" t="str">
        <f t="shared" si="13"/>
        <v>26</v>
      </c>
      <c r="K427" s="77" t="s">
        <v>69</v>
      </c>
      <c r="L427" s="77">
        <v>1</v>
      </c>
      <c r="M427" s="77" t="s">
        <v>69</v>
      </c>
      <c r="N427" s="88">
        <v>75</v>
      </c>
      <c r="O427" s="77" t="s">
        <v>159</v>
      </c>
      <c r="P427" s="77"/>
      <c r="Q427" s="31"/>
      <c r="R427" s="63"/>
    </row>
    <row r="428" spans="1:18" ht="39.75" hidden="1" customHeight="1" x14ac:dyDescent="0.25">
      <c r="A428" s="78">
        <f>IF(B428="","",COUNTA($B$7:B427))</f>
        <v>421</v>
      </c>
      <c r="B428" s="85">
        <v>46122</v>
      </c>
      <c r="C428" s="77" t="s">
        <v>942</v>
      </c>
      <c r="D428" s="77" t="s">
        <v>154</v>
      </c>
      <c r="E428" s="77" t="s">
        <v>943</v>
      </c>
      <c r="F428" s="77" t="s">
        <v>118</v>
      </c>
      <c r="G428" s="110" t="s">
        <v>949</v>
      </c>
      <c r="H428" s="131" t="s">
        <v>118</v>
      </c>
      <c r="I428" s="86" t="str">
        <f t="shared" si="12"/>
        <v>LENC</v>
      </c>
      <c r="J428" s="86" t="str">
        <f t="shared" si="13"/>
        <v>26</v>
      </c>
      <c r="K428" s="77" t="s">
        <v>69</v>
      </c>
      <c r="L428" s="77">
        <v>1</v>
      </c>
      <c r="M428" s="77" t="s">
        <v>69</v>
      </c>
      <c r="N428" s="88">
        <v>75</v>
      </c>
      <c r="O428" s="77" t="s">
        <v>159</v>
      </c>
      <c r="P428" s="77"/>
      <c r="Q428" s="31"/>
      <c r="R428" s="63"/>
    </row>
    <row r="429" spans="1:18" ht="39.75" hidden="1" customHeight="1" x14ac:dyDescent="0.25">
      <c r="A429" s="78">
        <f>IF(B429="","",COUNTA($B$7:B428))</f>
        <v>422</v>
      </c>
      <c r="B429" s="85">
        <v>46122</v>
      </c>
      <c r="C429" s="77" t="s">
        <v>942</v>
      </c>
      <c r="D429" s="77" t="s">
        <v>160</v>
      </c>
      <c r="E429" s="77" t="s">
        <v>943</v>
      </c>
      <c r="F429" s="77" t="s">
        <v>118</v>
      </c>
      <c r="G429" s="110" t="s">
        <v>950</v>
      </c>
      <c r="H429" s="131" t="s">
        <v>118</v>
      </c>
      <c r="I429" s="86" t="str">
        <f t="shared" si="12"/>
        <v>LENC</v>
      </c>
      <c r="J429" s="86" t="str">
        <f t="shared" si="13"/>
        <v>26</v>
      </c>
      <c r="K429" s="77" t="s">
        <v>69</v>
      </c>
      <c r="L429" s="77">
        <v>1</v>
      </c>
      <c r="M429" s="77" t="s">
        <v>69</v>
      </c>
      <c r="N429" s="88">
        <v>75</v>
      </c>
      <c r="O429" s="77" t="s">
        <v>159</v>
      </c>
      <c r="P429" s="77"/>
      <c r="Q429" s="31"/>
      <c r="R429" s="63"/>
    </row>
    <row r="430" spans="1:18" ht="39.75" hidden="1" customHeight="1" x14ac:dyDescent="0.25">
      <c r="A430" s="78">
        <f>IF(B430="","",COUNTA($B$7:B429))</f>
        <v>423</v>
      </c>
      <c r="B430" s="85">
        <v>46122</v>
      </c>
      <c r="C430" s="77" t="s">
        <v>942</v>
      </c>
      <c r="D430" s="77" t="s">
        <v>162</v>
      </c>
      <c r="E430" s="77" t="s">
        <v>943</v>
      </c>
      <c r="F430" s="77" t="s">
        <v>118</v>
      </c>
      <c r="G430" s="110" t="s">
        <v>951</v>
      </c>
      <c r="H430" s="131" t="s">
        <v>118</v>
      </c>
      <c r="I430" s="86" t="str">
        <f t="shared" si="12"/>
        <v>LENC</v>
      </c>
      <c r="J430" s="86" t="str">
        <f t="shared" si="13"/>
        <v>26</v>
      </c>
      <c r="K430" s="77" t="s">
        <v>69</v>
      </c>
      <c r="L430" s="77">
        <v>1</v>
      </c>
      <c r="M430" s="77" t="s">
        <v>69</v>
      </c>
      <c r="N430" s="88">
        <v>75</v>
      </c>
      <c r="O430" s="77" t="s">
        <v>159</v>
      </c>
      <c r="P430" s="77"/>
      <c r="Q430" s="31"/>
      <c r="R430" s="63"/>
    </row>
    <row r="431" spans="1:18" ht="39.75" hidden="1" customHeight="1" x14ac:dyDescent="0.25">
      <c r="A431" s="78">
        <f>IF(B431="","",COUNTA($B$7:B430))</f>
        <v>424</v>
      </c>
      <c r="B431" s="85">
        <v>46127</v>
      </c>
      <c r="C431" s="77" t="s">
        <v>286</v>
      </c>
      <c r="D431" s="77" t="s">
        <v>164</v>
      </c>
      <c r="E431" s="77" t="s">
        <v>952</v>
      </c>
      <c r="F431" s="77" t="s">
        <v>118</v>
      </c>
      <c r="G431" s="110" t="s">
        <v>69</v>
      </c>
      <c r="H431" s="131" t="s">
        <v>118</v>
      </c>
      <c r="I431" s="86" t="str">
        <f t="shared" si="12"/>
        <v>LENC</v>
      </c>
      <c r="J431" s="86" t="str">
        <f t="shared" si="13"/>
        <v>26</v>
      </c>
      <c r="K431" s="77" t="s">
        <v>69</v>
      </c>
      <c r="L431" s="77">
        <v>1</v>
      </c>
      <c r="M431" s="77" t="s">
        <v>69</v>
      </c>
      <c r="N431" s="88" t="s">
        <v>203</v>
      </c>
      <c r="O431" s="77" t="s">
        <v>172</v>
      </c>
      <c r="P431" s="77"/>
      <c r="Q431" s="31"/>
      <c r="R431" s="63"/>
    </row>
    <row r="432" spans="1:18" ht="39.75" hidden="1" customHeight="1" x14ac:dyDescent="0.25">
      <c r="A432" s="78">
        <f>IF(B432="","",COUNTA($B$7:B431))</f>
        <v>425</v>
      </c>
      <c r="B432" s="85">
        <v>46128</v>
      </c>
      <c r="C432" s="77" t="s">
        <v>150</v>
      </c>
      <c r="D432" s="77" t="s">
        <v>167</v>
      </c>
      <c r="E432" s="77" t="s">
        <v>69</v>
      </c>
      <c r="F432" s="77" t="s">
        <v>118</v>
      </c>
      <c r="G432" s="110" t="s">
        <v>69</v>
      </c>
      <c r="H432" s="131" t="s">
        <v>118</v>
      </c>
      <c r="I432" s="86" t="str">
        <f t="shared" si="12"/>
        <v>LENC</v>
      </c>
      <c r="J432" s="86" t="str">
        <f t="shared" si="13"/>
        <v>26</v>
      </c>
      <c r="K432" s="77" t="s">
        <v>69</v>
      </c>
      <c r="L432" s="77">
        <v>3</v>
      </c>
      <c r="M432" s="77" t="s">
        <v>69</v>
      </c>
      <c r="N432" s="88">
        <v>50</v>
      </c>
      <c r="O432" s="77" t="s">
        <v>159</v>
      </c>
      <c r="P432" s="77"/>
      <c r="Q432" s="31"/>
      <c r="R432" s="63"/>
    </row>
    <row r="433" spans="1:18" ht="39.75" hidden="1" customHeight="1" x14ac:dyDescent="0.25">
      <c r="A433" s="78">
        <f>IF(B433="","",COUNTA($B$7:B432))</f>
        <v>426</v>
      </c>
      <c r="B433" s="85">
        <v>46125</v>
      </c>
      <c r="C433" s="77" t="s">
        <v>216</v>
      </c>
      <c r="D433" s="77" t="s">
        <v>167</v>
      </c>
      <c r="E433" s="77" t="s">
        <v>953</v>
      </c>
      <c r="F433" s="77" t="s">
        <v>118</v>
      </c>
      <c r="G433" s="77" t="s">
        <v>69</v>
      </c>
      <c r="H433" s="131" t="s">
        <v>118</v>
      </c>
      <c r="I433" s="86" t="str">
        <f t="shared" si="12"/>
        <v>LENC</v>
      </c>
      <c r="J433" s="86" t="str">
        <f t="shared" si="13"/>
        <v>26</v>
      </c>
      <c r="K433" s="77" t="s">
        <v>69</v>
      </c>
      <c r="L433" s="77">
        <v>1</v>
      </c>
      <c r="M433" s="77" t="s">
        <v>954</v>
      </c>
      <c r="N433" s="88" t="s">
        <v>166</v>
      </c>
      <c r="O433" s="77" t="s">
        <v>121</v>
      </c>
      <c r="P433" s="77"/>
      <c r="Q433" s="31"/>
      <c r="R433" s="63"/>
    </row>
    <row r="434" spans="1:18" ht="39.75" hidden="1" customHeight="1" x14ac:dyDescent="0.25">
      <c r="A434" s="78">
        <f>IF(B434="","",COUNTA($B$7:B433))</f>
        <v>427</v>
      </c>
      <c r="B434" s="85">
        <v>46024</v>
      </c>
      <c r="C434" s="77" t="s">
        <v>326</v>
      </c>
      <c r="D434" s="77" t="s">
        <v>177</v>
      </c>
      <c r="E434" s="129" t="s">
        <v>328</v>
      </c>
      <c r="F434" s="77" t="s">
        <v>118</v>
      </c>
      <c r="G434" s="77" t="s">
        <v>955</v>
      </c>
      <c r="H434" s="131" t="s">
        <v>118</v>
      </c>
      <c r="I434" s="86" t="str">
        <f t="shared" si="12"/>
        <v>LENC</v>
      </c>
      <c r="J434" s="86" t="str">
        <f t="shared" si="13"/>
        <v>26</v>
      </c>
      <c r="K434" s="77" t="s">
        <v>69</v>
      </c>
      <c r="L434" s="77">
        <v>2</v>
      </c>
      <c r="M434" s="77" t="s">
        <v>69</v>
      </c>
      <c r="N434" s="88">
        <v>65</v>
      </c>
      <c r="O434" s="77" t="s">
        <v>159</v>
      </c>
      <c r="P434" s="77"/>
      <c r="Q434" s="31"/>
      <c r="R434" s="63"/>
    </row>
    <row r="435" spans="1:18" ht="39.75" hidden="1" customHeight="1" x14ac:dyDescent="0.25">
      <c r="A435" s="78">
        <f>IF(B435="","",COUNTA($B$7:B434))</f>
        <v>428</v>
      </c>
      <c r="B435" s="85">
        <v>46024</v>
      </c>
      <c r="C435" s="77" t="s">
        <v>326</v>
      </c>
      <c r="D435" s="77" t="s">
        <v>182</v>
      </c>
      <c r="E435" s="129" t="s">
        <v>328</v>
      </c>
      <c r="F435" s="77" t="s">
        <v>118</v>
      </c>
      <c r="G435" s="77">
        <v>19108</v>
      </c>
      <c r="H435" s="131" t="s">
        <v>118</v>
      </c>
      <c r="I435" s="86" t="str">
        <f t="shared" si="12"/>
        <v>LENC</v>
      </c>
      <c r="J435" s="86" t="str">
        <f t="shared" si="13"/>
        <v>26</v>
      </c>
      <c r="K435" s="77" t="s">
        <v>69</v>
      </c>
      <c r="L435" s="77">
        <v>1</v>
      </c>
      <c r="M435" s="77" t="s">
        <v>69</v>
      </c>
      <c r="N435" s="88">
        <v>65</v>
      </c>
      <c r="O435" s="77" t="s">
        <v>159</v>
      </c>
      <c r="P435" s="77"/>
      <c r="Q435" s="31"/>
      <c r="R435" s="63"/>
    </row>
    <row r="436" spans="1:18" ht="39.75" hidden="1" customHeight="1" x14ac:dyDescent="0.25">
      <c r="A436" s="78">
        <f>IF(B436="","",COUNTA($B$7:B435))</f>
        <v>429</v>
      </c>
      <c r="B436" s="85">
        <v>46024</v>
      </c>
      <c r="C436" s="77" t="s">
        <v>326</v>
      </c>
      <c r="D436" s="77" t="s">
        <v>184</v>
      </c>
      <c r="E436" s="129" t="s">
        <v>328</v>
      </c>
      <c r="F436" s="77" t="s">
        <v>118</v>
      </c>
      <c r="G436" s="77">
        <v>18887</v>
      </c>
      <c r="H436" s="131" t="s">
        <v>118</v>
      </c>
      <c r="I436" s="86" t="str">
        <f t="shared" si="12"/>
        <v>LENC</v>
      </c>
      <c r="J436" s="86" t="str">
        <f t="shared" si="13"/>
        <v>26</v>
      </c>
      <c r="K436" s="77" t="s">
        <v>69</v>
      </c>
      <c r="L436" s="77">
        <v>1</v>
      </c>
      <c r="M436" s="77" t="s">
        <v>69</v>
      </c>
      <c r="N436" s="88">
        <v>65</v>
      </c>
      <c r="O436" s="77" t="s">
        <v>159</v>
      </c>
      <c r="P436" s="77"/>
      <c r="Q436" s="31"/>
      <c r="R436" s="63"/>
    </row>
    <row r="437" spans="1:18" ht="39.75" hidden="1" customHeight="1" x14ac:dyDescent="0.25">
      <c r="A437" s="78">
        <f>IF(B437="","",COUNTA($B$7:B436))</f>
        <v>430</v>
      </c>
      <c r="B437" s="85">
        <v>46024</v>
      </c>
      <c r="C437" s="77" t="s">
        <v>326</v>
      </c>
      <c r="D437" s="77" t="s">
        <v>188</v>
      </c>
      <c r="E437" s="129" t="s">
        <v>328</v>
      </c>
      <c r="F437" s="77" t="s">
        <v>118</v>
      </c>
      <c r="G437" s="77">
        <v>19099</v>
      </c>
      <c r="H437" s="131" t="s">
        <v>118</v>
      </c>
      <c r="I437" s="86" t="str">
        <f t="shared" si="12"/>
        <v>LENC</v>
      </c>
      <c r="J437" s="86" t="str">
        <f t="shared" si="13"/>
        <v>26</v>
      </c>
      <c r="K437" s="77" t="s">
        <v>69</v>
      </c>
      <c r="L437" s="77">
        <v>1</v>
      </c>
      <c r="M437" s="77" t="s">
        <v>69</v>
      </c>
      <c r="N437" s="88">
        <v>65</v>
      </c>
      <c r="O437" s="77" t="s">
        <v>159</v>
      </c>
      <c r="P437" s="77"/>
      <c r="Q437" s="31"/>
      <c r="R437" s="63"/>
    </row>
    <row r="438" spans="1:18" ht="39.75" hidden="1" customHeight="1" x14ac:dyDescent="0.25">
      <c r="A438" s="78">
        <f>IF(B438="","",COUNTA($B$7:B437))</f>
        <v>431</v>
      </c>
      <c r="B438" s="85">
        <v>46024</v>
      </c>
      <c r="C438" s="77" t="s">
        <v>326</v>
      </c>
      <c r="D438" s="77" t="s">
        <v>956</v>
      </c>
      <c r="E438" s="129" t="s">
        <v>328</v>
      </c>
      <c r="F438" s="77" t="s">
        <v>118</v>
      </c>
      <c r="G438" s="77">
        <v>19104</v>
      </c>
      <c r="H438" s="131" t="s">
        <v>118</v>
      </c>
      <c r="I438" s="86" t="str">
        <f t="shared" si="12"/>
        <v>LENC</v>
      </c>
      <c r="J438" s="86" t="str">
        <f t="shared" si="13"/>
        <v>26</v>
      </c>
      <c r="K438" s="77" t="s">
        <v>69</v>
      </c>
      <c r="L438" s="77">
        <v>1</v>
      </c>
      <c r="M438" s="77" t="s">
        <v>69</v>
      </c>
      <c r="N438" s="88">
        <v>65</v>
      </c>
      <c r="O438" s="77" t="s">
        <v>159</v>
      </c>
      <c r="P438" s="77"/>
      <c r="Q438" s="31"/>
      <c r="R438" s="63"/>
    </row>
    <row r="439" spans="1:18" ht="39.75" hidden="1" customHeight="1" x14ac:dyDescent="0.25">
      <c r="A439" s="78">
        <f>IF(B439="","",COUNTA($B$7:B438))</f>
        <v>432</v>
      </c>
      <c r="B439" s="85">
        <v>46024</v>
      </c>
      <c r="C439" s="77" t="s">
        <v>326</v>
      </c>
      <c r="D439" s="77" t="s">
        <v>957</v>
      </c>
      <c r="E439" s="129" t="s">
        <v>328</v>
      </c>
      <c r="F439" s="77" t="s">
        <v>118</v>
      </c>
      <c r="G439" s="77">
        <v>20834</v>
      </c>
      <c r="H439" s="131" t="s">
        <v>118</v>
      </c>
      <c r="I439" s="86" t="str">
        <f t="shared" si="12"/>
        <v>LENC</v>
      </c>
      <c r="J439" s="86" t="str">
        <f t="shared" si="13"/>
        <v>26</v>
      </c>
      <c r="K439" s="77" t="s">
        <v>69</v>
      </c>
      <c r="L439" s="77">
        <v>1</v>
      </c>
      <c r="M439" s="77" t="s">
        <v>69</v>
      </c>
      <c r="N439" s="88">
        <v>65</v>
      </c>
      <c r="O439" s="77" t="s">
        <v>159</v>
      </c>
      <c r="P439" s="77"/>
      <c r="Q439" s="31"/>
      <c r="R439" s="63"/>
    </row>
    <row r="440" spans="1:18" ht="39.75" hidden="1" customHeight="1" x14ac:dyDescent="0.25">
      <c r="A440" s="78">
        <f>IF(B440="","",COUNTA($B$7:B439))</f>
        <v>433</v>
      </c>
      <c r="B440" s="85">
        <v>46129</v>
      </c>
      <c r="C440" s="77" t="s">
        <v>122</v>
      </c>
      <c r="D440" s="77" t="s">
        <v>958</v>
      </c>
      <c r="E440" s="77" t="s">
        <v>959</v>
      </c>
      <c r="F440" s="77" t="s">
        <v>118</v>
      </c>
      <c r="G440" s="77" t="s">
        <v>960</v>
      </c>
      <c r="H440" s="131" t="s">
        <v>118</v>
      </c>
      <c r="I440" s="86" t="str">
        <f t="shared" si="12"/>
        <v>LENC</v>
      </c>
      <c r="J440" s="86" t="str">
        <f t="shared" si="13"/>
        <v>26</v>
      </c>
      <c r="K440" s="77" t="s">
        <v>961</v>
      </c>
      <c r="L440" s="77">
        <v>6</v>
      </c>
      <c r="M440" s="77" t="s">
        <v>962</v>
      </c>
      <c r="N440" s="88" t="s">
        <v>153</v>
      </c>
      <c r="O440" s="77" t="s">
        <v>121</v>
      </c>
      <c r="P440" s="77"/>
      <c r="Q440" s="31"/>
      <c r="R440" s="63"/>
    </row>
    <row r="441" spans="1:18" ht="39.75" hidden="1" customHeight="1" x14ac:dyDescent="0.25">
      <c r="A441" s="78">
        <f>IF(B441="","",COUNTA($B$7:B440))</f>
        <v>434</v>
      </c>
      <c r="B441" s="85">
        <v>46129</v>
      </c>
      <c r="C441" s="77" t="s">
        <v>338</v>
      </c>
      <c r="D441" s="77" t="s">
        <v>963</v>
      </c>
      <c r="E441" s="77" t="s">
        <v>69</v>
      </c>
      <c r="F441" s="77" t="s">
        <v>118</v>
      </c>
      <c r="G441" s="77" t="s">
        <v>69</v>
      </c>
      <c r="H441" s="131" t="s">
        <v>118</v>
      </c>
      <c r="I441" s="86" t="str">
        <f t="shared" si="12"/>
        <v>LENC</v>
      </c>
      <c r="J441" s="86" t="str">
        <f t="shared" si="13"/>
        <v>26</v>
      </c>
      <c r="K441" s="77" t="s">
        <v>964</v>
      </c>
      <c r="L441" s="77">
        <v>1</v>
      </c>
      <c r="M441" s="77" t="s">
        <v>965</v>
      </c>
      <c r="N441" s="88" t="s">
        <v>198</v>
      </c>
      <c r="O441" s="77" t="s">
        <v>121</v>
      </c>
      <c r="P441" s="77"/>
      <c r="Q441" s="31"/>
      <c r="R441" s="63"/>
    </row>
    <row r="442" spans="1:18" ht="39.75" hidden="1" customHeight="1" x14ac:dyDescent="0.25">
      <c r="A442" s="78">
        <f>IF(B442="","",COUNTA($B$7:B441))</f>
        <v>435</v>
      </c>
      <c r="B442" s="85">
        <v>46129</v>
      </c>
      <c r="C442" s="77" t="s">
        <v>452</v>
      </c>
      <c r="D442" s="77" t="s">
        <v>966</v>
      </c>
      <c r="E442" s="77" t="s">
        <v>453</v>
      </c>
      <c r="F442" s="77" t="s">
        <v>118</v>
      </c>
      <c r="G442" s="77">
        <v>12686</v>
      </c>
      <c r="H442" s="131" t="s">
        <v>118</v>
      </c>
      <c r="I442" s="86" t="str">
        <f t="shared" si="12"/>
        <v>LENC</v>
      </c>
      <c r="J442" s="86" t="str">
        <f t="shared" si="13"/>
        <v>26</v>
      </c>
      <c r="K442" s="77" t="s">
        <v>967</v>
      </c>
      <c r="L442" s="77">
        <v>1</v>
      </c>
      <c r="M442" s="77" t="s">
        <v>968</v>
      </c>
      <c r="N442" s="88">
        <v>87</v>
      </c>
      <c r="O442" s="77" t="s">
        <v>159</v>
      </c>
      <c r="P442" s="77" t="s">
        <v>969</v>
      </c>
      <c r="Q442" s="31"/>
      <c r="R442" s="63"/>
    </row>
    <row r="443" spans="1:18" ht="39.75" hidden="1" customHeight="1" x14ac:dyDescent="0.25">
      <c r="A443" s="78">
        <f>IF(B443="","",COUNTA($B$7:B442))</f>
        <v>436</v>
      </c>
      <c r="B443" s="85">
        <v>46129</v>
      </c>
      <c r="C443" s="77" t="s">
        <v>452</v>
      </c>
      <c r="D443" s="77" t="s">
        <v>970</v>
      </c>
      <c r="E443" s="77" t="s">
        <v>453</v>
      </c>
      <c r="F443" s="77" t="s">
        <v>118</v>
      </c>
      <c r="G443" s="77">
        <v>12685</v>
      </c>
      <c r="H443" s="131" t="s">
        <v>118</v>
      </c>
      <c r="I443" s="86" t="str">
        <f t="shared" si="12"/>
        <v>LENC</v>
      </c>
      <c r="J443" s="86" t="str">
        <f t="shared" si="13"/>
        <v>26</v>
      </c>
      <c r="K443" s="77" t="s">
        <v>967</v>
      </c>
      <c r="L443" s="77">
        <v>1</v>
      </c>
      <c r="M443" s="77" t="s">
        <v>968</v>
      </c>
      <c r="N443" s="88" t="s">
        <v>149</v>
      </c>
      <c r="O443" s="77" t="s">
        <v>159</v>
      </c>
      <c r="P443" s="77"/>
      <c r="Q443" s="31"/>
      <c r="R443" s="63"/>
    </row>
    <row r="444" spans="1:18" ht="39.75" hidden="1" customHeight="1" x14ac:dyDescent="0.25">
      <c r="A444" s="78">
        <f>IF(B444="","",COUNTA($B$7:B443))</f>
        <v>437</v>
      </c>
      <c r="B444" s="85">
        <v>46122</v>
      </c>
      <c r="C444" s="77" t="s">
        <v>199</v>
      </c>
      <c r="D444" s="77" t="s">
        <v>200</v>
      </c>
      <c r="E444" s="77" t="s">
        <v>199</v>
      </c>
      <c r="F444" s="77" t="s">
        <v>118</v>
      </c>
      <c r="G444" s="77" t="s">
        <v>201</v>
      </c>
      <c r="H444" s="131" t="s">
        <v>118</v>
      </c>
      <c r="I444" s="86" t="str">
        <f t="shared" si="12"/>
        <v>LENC</v>
      </c>
      <c r="J444" s="86" t="str">
        <f t="shared" si="13"/>
        <v>26</v>
      </c>
      <c r="K444" s="77" t="s">
        <v>69</v>
      </c>
      <c r="L444" s="77">
        <v>10</v>
      </c>
      <c r="M444" s="77" t="s">
        <v>69</v>
      </c>
      <c r="N444" s="88" t="s">
        <v>308</v>
      </c>
      <c r="O444" s="77" t="s">
        <v>121</v>
      </c>
      <c r="P444" s="77"/>
      <c r="Q444" s="31"/>
      <c r="R444" s="63"/>
    </row>
    <row r="445" spans="1:18" ht="39.75" hidden="1" customHeight="1" x14ac:dyDescent="0.25">
      <c r="A445" s="78">
        <f>IF(B445="","",COUNTA($B$7:B444))</f>
        <v>438</v>
      </c>
      <c r="B445" s="85">
        <v>46128</v>
      </c>
      <c r="C445" s="77" t="s">
        <v>204</v>
      </c>
      <c r="D445" s="77" t="s">
        <v>971</v>
      </c>
      <c r="E445" s="77" t="s">
        <v>680</v>
      </c>
      <c r="F445" s="77" t="s">
        <v>118</v>
      </c>
      <c r="G445" s="77">
        <v>104801</v>
      </c>
      <c r="H445" s="131" t="s">
        <v>118</v>
      </c>
      <c r="I445" s="86" t="str">
        <f t="shared" si="12"/>
        <v>LENC</v>
      </c>
      <c r="J445" s="86" t="str">
        <f t="shared" si="13"/>
        <v>26</v>
      </c>
      <c r="K445" s="77" t="s">
        <v>972</v>
      </c>
      <c r="L445" s="77">
        <v>1</v>
      </c>
      <c r="M445" s="77" t="s">
        <v>973</v>
      </c>
      <c r="N445" s="88" t="s">
        <v>974</v>
      </c>
      <c r="O445" s="77" t="s">
        <v>126</v>
      </c>
      <c r="P445" s="77"/>
      <c r="Q445" s="31"/>
      <c r="R445" s="63"/>
    </row>
    <row r="446" spans="1:18" ht="39.75" hidden="1" customHeight="1" x14ac:dyDescent="0.25">
      <c r="A446" s="78">
        <f>IF(B446="","",COUNTA($B$7:B445))</f>
        <v>439</v>
      </c>
      <c r="B446" s="85">
        <v>46128</v>
      </c>
      <c r="C446" s="77" t="s">
        <v>204</v>
      </c>
      <c r="D446" s="77" t="s">
        <v>971</v>
      </c>
      <c r="E446" s="77" t="s">
        <v>680</v>
      </c>
      <c r="F446" s="77" t="s">
        <v>118</v>
      </c>
      <c r="G446" s="77">
        <v>104803</v>
      </c>
      <c r="H446" s="131" t="s">
        <v>118</v>
      </c>
      <c r="I446" s="86" t="str">
        <f t="shared" si="12"/>
        <v>LENC</v>
      </c>
      <c r="J446" s="86" t="str">
        <f t="shared" si="13"/>
        <v>26</v>
      </c>
      <c r="K446" s="77" t="s">
        <v>972</v>
      </c>
      <c r="L446" s="77">
        <v>1</v>
      </c>
      <c r="M446" s="77" t="s">
        <v>973</v>
      </c>
      <c r="N446" s="88" t="s">
        <v>974</v>
      </c>
      <c r="O446" s="77" t="s">
        <v>126</v>
      </c>
      <c r="P446" s="77"/>
      <c r="Q446" s="31"/>
      <c r="R446" s="63"/>
    </row>
    <row r="447" spans="1:18" ht="39.75" hidden="1" customHeight="1" x14ac:dyDescent="0.25">
      <c r="A447" s="78">
        <f>IF(B447="","",COUNTA($B$7:B446))</f>
        <v>440</v>
      </c>
      <c r="B447" s="85">
        <v>46128</v>
      </c>
      <c r="C447" s="77" t="s">
        <v>204</v>
      </c>
      <c r="D447" s="77" t="s">
        <v>971</v>
      </c>
      <c r="E447" s="77" t="s">
        <v>680</v>
      </c>
      <c r="F447" s="77" t="s">
        <v>118</v>
      </c>
      <c r="G447" s="77">
        <v>104805</v>
      </c>
      <c r="H447" s="131" t="s">
        <v>118</v>
      </c>
      <c r="I447" s="86" t="str">
        <f t="shared" si="12"/>
        <v>LENC</v>
      </c>
      <c r="J447" s="86" t="str">
        <f t="shared" si="13"/>
        <v>26</v>
      </c>
      <c r="K447" s="77" t="s">
        <v>972</v>
      </c>
      <c r="L447" s="77">
        <v>1</v>
      </c>
      <c r="M447" s="77" t="s">
        <v>973</v>
      </c>
      <c r="N447" s="88" t="s">
        <v>974</v>
      </c>
      <c r="O447" s="77" t="s">
        <v>126</v>
      </c>
      <c r="P447" s="77"/>
      <c r="Q447" s="31"/>
      <c r="R447" s="63"/>
    </row>
    <row r="448" spans="1:18" ht="39.75" hidden="1" customHeight="1" x14ac:dyDescent="0.25">
      <c r="A448" s="78">
        <f>IF(B448="","",COUNTA($B$7:B447))</f>
        <v>441</v>
      </c>
      <c r="B448" s="85">
        <v>46127</v>
      </c>
      <c r="C448" s="77" t="s">
        <v>138</v>
      </c>
      <c r="D448" s="77" t="s">
        <v>975</v>
      </c>
      <c r="E448" s="77" t="s">
        <v>262</v>
      </c>
      <c r="F448" s="77" t="s">
        <v>118</v>
      </c>
      <c r="G448" s="77" t="s">
        <v>976</v>
      </c>
      <c r="H448" s="131" t="s">
        <v>118</v>
      </c>
      <c r="I448" s="86" t="str">
        <f t="shared" si="12"/>
        <v>LENC</v>
      </c>
      <c r="J448" s="86" t="str">
        <f t="shared" si="13"/>
        <v>26</v>
      </c>
      <c r="K448" s="77" t="s">
        <v>69</v>
      </c>
      <c r="L448" s="77">
        <v>1</v>
      </c>
      <c r="M448" s="77" t="s">
        <v>69</v>
      </c>
      <c r="N448" s="88">
        <v>100</v>
      </c>
      <c r="O448" s="77" t="s">
        <v>159</v>
      </c>
      <c r="P448" s="77"/>
      <c r="Q448" s="31"/>
      <c r="R448" s="63"/>
    </row>
    <row r="449" spans="1:18" ht="39.75" hidden="1" customHeight="1" x14ac:dyDescent="0.25">
      <c r="A449" s="78">
        <f>IF(B449="","",COUNTA($B$7:B448))</f>
        <v>442</v>
      </c>
      <c r="B449" s="85">
        <v>46127</v>
      </c>
      <c r="C449" s="77" t="s">
        <v>305</v>
      </c>
      <c r="D449" s="77" t="s">
        <v>977</v>
      </c>
      <c r="E449" s="77" t="s">
        <v>654</v>
      </c>
      <c r="F449" s="77" t="s">
        <v>118</v>
      </c>
      <c r="G449" s="77" t="s">
        <v>978</v>
      </c>
      <c r="H449" s="131" t="s">
        <v>118</v>
      </c>
      <c r="I449" s="86" t="str">
        <f t="shared" si="12"/>
        <v>LENC</v>
      </c>
      <c r="J449" s="86" t="str">
        <f t="shared" si="13"/>
        <v>26</v>
      </c>
      <c r="K449" s="77" t="s">
        <v>979</v>
      </c>
      <c r="L449" s="77">
        <v>1</v>
      </c>
      <c r="M449" s="77" t="s">
        <v>980</v>
      </c>
      <c r="N449" s="88" t="s">
        <v>270</v>
      </c>
      <c r="O449" s="77" t="s">
        <v>126</v>
      </c>
      <c r="P449" s="77"/>
      <c r="Q449" s="31"/>
      <c r="R449" s="63"/>
    </row>
    <row r="450" spans="1:18" ht="39.75" hidden="1" customHeight="1" x14ac:dyDescent="0.25">
      <c r="A450" s="78">
        <f>IF(B450="","",COUNTA($B$7:B449))</f>
        <v>443</v>
      </c>
      <c r="B450" s="85">
        <v>46127</v>
      </c>
      <c r="C450" s="77" t="s">
        <v>305</v>
      </c>
      <c r="D450" s="77" t="s">
        <v>977</v>
      </c>
      <c r="E450" s="77" t="s">
        <v>654</v>
      </c>
      <c r="F450" s="77" t="s">
        <v>118</v>
      </c>
      <c r="G450" s="77" t="s">
        <v>981</v>
      </c>
      <c r="H450" s="131" t="s">
        <v>118</v>
      </c>
      <c r="I450" s="86" t="str">
        <f t="shared" si="12"/>
        <v>LENC</v>
      </c>
      <c r="J450" s="86" t="str">
        <f t="shared" si="13"/>
        <v>26</v>
      </c>
      <c r="K450" s="77" t="s">
        <v>979</v>
      </c>
      <c r="L450" s="77">
        <v>1</v>
      </c>
      <c r="M450" s="77" t="s">
        <v>980</v>
      </c>
      <c r="N450" s="88" t="s">
        <v>270</v>
      </c>
      <c r="O450" s="77" t="s">
        <v>126</v>
      </c>
      <c r="P450" s="77"/>
      <c r="Q450" s="31"/>
      <c r="R450" s="63"/>
    </row>
    <row r="451" spans="1:18" ht="39.75" hidden="1" customHeight="1" x14ac:dyDescent="0.25">
      <c r="A451" s="78">
        <f>IF(B451="","",COUNTA($B$7:B450))</f>
        <v>444</v>
      </c>
      <c r="B451" s="85">
        <v>46127</v>
      </c>
      <c r="C451" s="77" t="s">
        <v>305</v>
      </c>
      <c r="D451" s="77" t="s">
        <v>977</v>
      </c>
      <c r="E451" s="77" t="s">
        <v>654</v>
      </c>
      <c r="F451" s="77" t="s">
        <v>118</v>
      </c>
      <c r="G451" s="77" t="s">
        <v>982</v>
      </c>
      <c r="H451" s="131" t="s">
        <v>118</v>
      </c>
      <c r="I451" s="86" t="str">
        <f t="shared" si="12"/>
        <v>LENC</v>
      </c>
      <c r="J451" s="86" t="str">
        <f t="shared" si="13"/>
        <v>26</v>
      </c>
      <c r="K451" s="77" t="s">
        <v>979</v>
      </c>
      <c r="L451" s="77">
        <v>2</v>
      </c>
      <c r="M451" s="77" t="s">
        <v>980</v>
      </c>
      <c r="N451" s="88" t="s">
        <v>270</v>
      </c>
      <c r="O451" s="77" t="s">
        <v>126</v>
      </c>
      <c r="P451" s="77"/>
      <c r="Q451" s="31"/>
      <c r="R451" s="63"/>
    </row>
    <row r="452" spans="1:18" ht="39.75" hidden="1" customHeight="1" x14ac:dyDescent="0.25">
      <c r="A452" s="78">
        <f>IF(B452="","",COUNTA($B$7:B451))</f>
        <v>445</v>
      </c>
      <c r="B452" s="85">
        <v>46127</v>
      </c>
      <c r="C452" s="77" t="s">
        <v>305</v>
      </c>
      <c r="D452" s="77" t="s">
        <v>983</v>
      </c>
      <c r="E452" s="77" t="s">
        <v>654</v>
      </c>
      <c r="F452" s="77" t="s">
        <v>118</v>
      </c>
      <c r="G452" s="77" t="s">
        <v>984</v>
      </c>
      <c r="H452" s="131" t="s">
        <v>118</v>
      </c>
      <c r="I452" s="86" t="str">
        <f t="shared" si="12"/>
        <v>LENC</v>
      </c>
      <c r="J452" s="86" t="str">
        <f t="shared" si="13"/>
        <v>26</v>
      </c>
      <c r="K452" s="77" t="s">
        <v>979</v>
      </c>
      <c r="L452" s="77">
        <v>1</v>
      </c>
      <c r="M452" s="77" t="s">
        <v>980</v>
      </c>
      <c r="N452" s="88" t="s">
        <v>270</v>
      </c>
      <c r="O452" s="77" t="s">
        <v>126</v>
      </c>
      <c r="P452" s="77"/>
      <c r="Q452" s="31"/>
      <c r="R452" s="63"/>
    </row>
    <row r="453" spans="1:18" ht="39.75" hidden="1" customHeight="1" x14ac:dyDescent="0.25">
      <c r="A453" s="78">
        <f>IF(B453="","",COUNTA($B$7:B452))</f>
        <v>446</v>
      </c>
      <c r="B453" s="85">
        <v>46127</v>
      </c>
      <c r="C453" s="77" t="s">
        <v>305</v>
      </c>
      <c r="D453" s="77" t="s">
        <v>977</v>
      </c>
      <c r="E453" s="77" t="s">
        <v>654</v>
      </c>
      <c r="F453" s="77" t="s">
        <v>118</v>
      </c>
      <c r="G453" s="77" t="s">
        <v>985</v>
      </c>
      <c r="H453" s="131" t="s">
        <v>118</v>
      </c>
      <c r="I453" s="86" t="str">
        <f t="shared" si="12"/>
        <v>LENC</v>
      </c>
      <c r="J453" s="86" t="str">
        <f t="shared" si="13"/>
        <v>26</v>
      </c>
      <c r="K453" s="77" t="s">
        <v>979</v>
      </c>
      <c r="L453" s="77">
        <v>2</v>
      </c>
      <c r="M453" s="77" t="s">
        <v>980</v>
      </c>
      <c r="N453" s="88" t="s">
        <v>270</v>
      </c>
      <c r="O453" s="77" t="s">
        <v>126</v>
      </c>
      <c r="P453" s="77"/>
      <c r="Q453" s="31"/>
      <c r="R453" s="63"/>
    </row>
    <row r="454" spans="1:18" ht="39.75" hidden="1" customHeight="1" x14ac:dyDescent="0.25">
      <c r="A454" s="78">
        <f>IF(B454="","",COUNTA($B$7:B453))</f>
        <v>447</v>
      </c>
      <c r="B454" s="85">
        <v>46127</v>
      </c>
      <c r="C454" s="77" t="s">
        <v>305</v>
      </c>
      <c r="D454" s="77" t="s">
        <v>977</v>
      </c>
      <c r="E454" s="77" t="s">
        <v>654</v>
      </c>
      <c r="F454" s="77" t="s">
        <v>118</v>
      </c>
      <c r="G454" s="77" t="s">
        <v>986</v>
      </c>
      <c r="H454" s="131" t="s">
        <v>118</v>
      </c>
      <c r="I454" s="86" t="str">
        <f t="shared" si="12"/>
        <v>LENC</v>
      </c>
      <c r="J454" s="86" t="str">
        <f t="shared" si="13"/>
        <v>26</v>
      </c>
      <c r="K454" s="77" t="s">
        <v>979</v>
      </c>
      <c r="L454" s="77">
        <v>2</v>
      </c>
      <c r="M454" s="77" t="s">
        <v>980</v>
      </c>
      <c r="N454" s="88" t="s">
        <v>270</v>
      </c>
      <c r="O454" s="77" t="s">
        <v>126</v>
      </c>
      <c r="P454" s="77"/>
      <c r="Q454" s="31"/>
      <c r="R454" s="63"/>
    </row>
    <row r="455" spans="1:18" ht="39.75" hidden="1" customHeight="1" x14ac:dyDescent="0.25">
      <c r="A455" s="78">
        <f>IF(B455="","",COUNTA($B$7:B454))</f>
        <v>448</v>
      </c>
      <c r="B455" s="85">
        <v>46142</v>
      </c>
      <c r="C455" s="77" t="s">
        <v>305</v>
      </c>
      <c r="D455" s="77" t="s">
        <v>987</v>
      </c>
      <c r="E455" s="77" t="s">
        <v>654</v>
      </c>
      <c r="F455" s="77" t="s">
        <v>118</v>
      </c>
      <c r="G455" s="77" t="s">
        <v>988</v>
      </c>
      <c r="H455" s="131" t="s">
        <v>118</v>
      </c>
      <c r="I455" s="86" t="str">
        <f t="shared" si="12"/>
        <v>LENC</v>
      </c>
      <c r="J455" s="86" t="str">
        <f t="shared" si="13"/>
        <v>26</v>
      </c>
      <c r="K455" s="77" t="s">
        <v>979</v>
      </c>
      <c r="L455" s="77">
        <v>1</v>
      </c>
      <c r="M455" s="77" t="s">
        <v>980</v>
      </c>
      <c r="N455" s="88" t="s">
        <v>270</v>
      </c>
      <c r="O455" s="77" t="s">
        <v>126</v>
      </c>
      <c r="P455" s="77"/>
      <c r="Q455" s="31"/>
      <c r="R455" s="63"/>
    </row>
    <row r="456" spans="1:18" ht="39.75" hidden="1" customHeight="1" x14ac:dyDescent="0.25">
      <c r="A456" s="78">
        <f>IF(B456="","",COUNTA($B$7:B455))</f>
        <v>449</v>
      </c>
      <c r="B456" s="85">
        <v>46142</v>
      </c>
      <c r="C456" s="77" t="s">
        <v>305</v>
      </c>
      <c r="D456" s="77" t="s">
        <v>989</v>
      </c>
      <c r="E456" s="77" t="s">
        <v>654</v>
      </c>
      <c r="F456" s="77" t="s">
        <v>118</v>
      </c>
      <c r="G456" s="77" t="s">
        <v>990</v>
      </c>
      <c r="H456" s="131" t="s">
        <v>118</v>
      </c>
      <c r="I456" s="86" t="str">
        <f t="shared" si="12"/>
        <v>LENC</v>
      </c>
      <c r="J456" s="86" t="str">
        <f t="shared" si="13"/>
        <v>26</v>
      </c>
      <c r="K456" s="77" t="s">
        <v>979</v>
      </c>
      <c r="L456" s="77">
        <v>1</v>
      </c>
      <c r="M456" s="77" t="s">
        <v>980</v>
      </c>
      <c r="N456" s="88" t="s">
        <v>270</v>
      </c>
      <c r="O456" s="77" t="s">
        <v>126</v>
      </c>
      <c r="P456" s="77"/>
      <c r="Q456" s="31"/>
      <c r="R456" s="63"/>
    </row>
    <row r="457" spans="1:18" ht="39.75" hidden="1" customHeight="1" x14ac:dyDescent="0.25">
      <c r="A457" s="78">
        <f>IF(B457="","",COUNTA($B$7:B456))</f>
        <v>450</v>
      </c>
      <c r="B457" s="85">
        <v>46129</v>
      </c>
      <c r="C457" s="77" t="s">
        <v>115</v>
      </c>
      <c r="D457" s="77" t="s">
        <v>188</v>
      </c>
      <c r="E457" s="77" t="s">
        <v>991</v>
      </c>
      <c r="F457" s="77" t="s">
        <v>118</v>
      </c>
      <c r="G457" s="77">
        <v>1</v>
      </c>
      <c r="H457" s="131" t="s">
        <v>118</v>
      </c>
      <c r="I457" s="86" t="str">
        <f t="shared" ref="I457:I520" si="14">IF(B457="","","LENC")</f>
        <v>LENC</v>
      </c>
      <c r="J457" s="86" t="str">
        <f t="shared" ref="J457:J520" si="15">IF(B457="","",TEXT(B457,"yy"))</f>
        <v>26</v>
      </c>
      <c r="K457" s="77" t="s">
        <v>992</v>
      </c>
      <c r="L457" s="77">
        <v>1</v>
      </c>
      <c r="M457" s="77" t="s">
        <v>993</v>
      </c>
      <c r="N457" s="88" t="s">
        <v>203</v>
      </c>
      <c r="O457" s="77" t="s">
        <v>121</v>
      </c>
      <c r="P457" s="77"/>
      <c r="Q457" s="31"/>
      <c r="R457" s="63"/>
    </row>
    <row r="458" spans="1:18" ht="39.75" hidden="1" customHeight="1" x14ac:dyDescent="0.25">
      <c r="A458" s="78">
        <f>IF(B458="","",COUNTA($B$7:B457))</f>
        <v>451</v>
      </c>
      <c r="B458" s="85">
        <v>46129</v>
      </c>
      <c r="C458" s="77" t="s">
        <v>115</v>
      </c>
      <c r="D458" s="77" t="s">
        <v>188</v>
      </c>
      <c r="E458" s="77" t="s">
        <v>991</v>
      </c>
      <c r="F458" s="77" t="s">
        <v>118</v>
      </c>
      <c r="G458" s="77">
        <v>2</v>
      </c>
      <c r="H458" s="131" t="s">
        <v>118</v>
      </c>
      <c r="I458" s="86" t="str">
        <f t="shared" si="14"/>
        <v>LENC</v>
      </c>
      <c r="J458" s="86" t="str">
        <f t="shared" si="15"/>
        <v>26</v>
      </c>
      <c r="K458" s="77" t="s">
        <v>992</v>
      </c>
      <c r="L458" s="77">
        <v>1</v>
      </c>
      <c r="M458" s="77" t="s">
        <v>993</v>
      </c>
      <c r="N458" s="88" t="s">
        <v>203</v>
      </c>
      <c r="O458" s="77" t="s">
        <v>121</v>
      </c>
      <c r="P458" s="77"/>
      <c r="Q458" s="31"/>
      <c r="R458" s="63"/>
    </row>
    <row r="459" spans="1:18" ht="39.75" hidden="1" customHeight="1" x14ac:dyDescent="0.25">
      <c r="A459" s="78">
        <f>IF(B459="","",COUNTA($B$7:B458))</f>
        <v>452</v>
      </c>
      <c r="B459" s="85">
        <v>46129</v>
      </c>
      <c r="C459" s="77" t="s">
        <v>115</v>
      </c>
      <c r="D459" s="77" t="s">
        <v>994</v>
      </c>
      <c r="E459" s="77" t="s">
        <v>991</v>
      </c>
      <c r="F459" s="77" t="s">
        <v>118</v>
      </c>
      <c r="G459" s="77">
        <v>3</v>
      </c>
      <c r="H459" s="131" t="s">
        <v>118</v>
      </c>
      <c r="I459" s="86" t="str">
        <f t="shared" si="14"/>
        <v>LENC</v>
      </c>
      <c r="J459" s="86" t="str">
        <f t="shared" si="15"/>
        <v>26</v>
      </c>
      <c r="K459" s="77" t="s">
        <v>992</v>
      </c>
      <c r="L459" s="77">
        <v>1</v>
      </c>
      <c r="M459" s="77" t="s">
        <v>993</v>
      </c>
      <c r="N459" s="88" t="s">
        <v>203</v>
      </c>
      <c r="O459" s="77" t="s">
        <v>121</v>
      </c>
      <c r="P459" s="77"/>
      <c r="Q459" s="31"/>
      <c r="R459" s="63"/>
    </row>
    <row r="460" spans="1:18" ht="39.75" hidden="1" customHeight="1" x14ac:dyDescent="0.25">
      <c r="A460" s="78">
        <f>IF(B460="","",COUNTA($B$7:B459))</f>
        <v>453</v>
      </c>
      <c r="B460" s="85">
        <v>46133</v>
      </c>
      <c r="C460" s="77" t="s">
        <v>115</v>
      </c>
      <c r="D460" s="77" t="s">
        <v>995</v>
      </c>
      <c r="E460" s="77" t="s">
        <v>996</v>
      </c>
      <c r="F460" s="77" t="s">
        <v>118</v>
      </c>
      <c r="G460" s="77" t="s">
        <v>997</v>
      </c>
      <c r="H460" s="131" t="s">
        <v>118</v>
      </c>
      <c r="I460" s="86" t="str">
        <f t="shared" si="14"/>
        <v>LENC</v>
      </c>
      <c r="J460" s="86" t="str">
        <f t="shared" si="15"/>
        <v>26</v>
      </c>
      <c r="K460" s="77"/>
      <c r="L460" s="77">
        <v>1</v>
      </c>
      <c r="M460" s="77"/>
      <c r="N460" s="88" t="s">
        <v>308</v>
      </c>
      <c r="O460" s="77" t="s">
        <v>121</v>
      </c>
      <c r="P460" s="77"/>
      <c r="Q460" s="31"/>
      <c r="R460" s="63"/>
    </row>
    <row r="461" spans="1:18" ht="39.75" hidden="1" customHeight="1" x14ac:dyDescent="0.25">
      <c r="A461" s="78">
        <f>IF(B461="","",COUNTA($B$7:B460))</f>
        <v>454</v>
      </c>
      <c r="B461" s="85">
        <v>46133</v>
      </c>
      <c r="C461" s="77" t="s">
        <v>204</v>
      </c>
      <c r="D461" s="77" t="s">
        <v>998</v>
      </c>
      <c r="E461" s="77" t="s">
        <v>999</v>
      </c>
      <c r="F461" s="77" t="s">
        <v>118</v>
      </c>
      <c r="G461" s="129">
        <v>104807</v>
      </c>
      <c r="H461" s="131" t="s">
        <v>118</v>
      </c>
      <c r="I461" s="86" t="str">
        <f t="shared" si="14"/>
        <v>LENC</v>
      </c>
      <c r="J461" s="86" t="str">
        <f t="shared" si="15"/>
        <v>26</v>
      </c>
      <c r="K461" s="77" t="s">
        <v>1000</v>
      </c>
      <c r="L461" s="77">
        <v>1</v>
      </c>
      <c r="M461" s="77" t="s">
        <v>1001</v>
      </c>
      <c r="N461" s="88">
        <v>103</v>
      </c>
      <c r="O461" s="77" t="s">
        <v>159</v>
      </c>
      <c r="P461" s="77" t="s">
        <v>221</v>
      </c>
      <c r="Q461" s="31"/>
      <c r="R461" s="63"/>
    </row>
    <row r="462" spans="1:18" ht="39.75" hidden="1" customHeight="1" x14ac:dyDescent="0.25">
      <c r="A462" s="78">
        <f>IF(B462="","",COUNTA($B$7:B461))</f>
        <v>455</v>
      </c>
      <c r="B462" s="85">
        <v>46133</v>
      </c>
      <c r="C462" s="77" t="s">
        <v>529</v>
      </c>
      <c r="D462" s="77" t="s">
        <v>188</v>
      </c>
      <c r="E462" s="77" t="s">
        <v>549</v>
      </c>
      <c r="F462" s="77" t="s">
        <v>118</v>
      </c>
      <c r="G462" s="77">
        <v>21508</v>
      </c>
      <c r="H462" s="131" t="s">
        <v>118</v>
      </c>
      <c r="I462" s="86" t="str">
        <f t="shared" si="14"/>
        <v>LENC</v>
      </c>
      <c r="J462" s="86" t="str">
        <f t="shared" si="15"/>
        <v>26</v>
      </c>
      <c r="K462" s="77" t="s">
        <v>1002</v>
      </c>
      <c r="L462" s="77">
        <v>1</v>
      </c>
      <c r="M462" s="77" t="s">
        <v>1003</v>
      </c>
      <c r="N462" s="88" t="s">
        <v>203</v>
      </c>
      <c r="O462" s="77" t="s">
        <v>121</v>
      </c>
      <c r="P462" s="77"/>
      <c r="Q462" s="31"/>
      <c r="R462" s="63"/>
    </row>
    <row r="463" spans="1:18" ht="39.75" hidden="1" customHeight="1" x14ac:dyDescent="0.25">
      <c r="A463" s="78">
        <f>IF(B463="","",COUNTA($B$7:B462))</f>
        <v>456</v>
      </c>
      <c r="B463" s="85">
        <v>46122</v>
      </c>
      <c r="C463" s="77" t="s">
        <v>351</v>
      </c>
      <c r="D463" s="77" t="s">
        <v>1004</v>
      </c>
      <c r="E463" s="77" t="s">
        <v>1005</v>
      </c>
      <c r="F463" s="77" t="s">
        <v>118</v>
      </c>
      <c r="G463" s="77">
        <v>21688</v>
      </c>
      <c r="H463" s="131" t="s">
        <v>118</v>
      </c>
      <c r="I463" s="86" t="str">
        <f t="shared" si="14"/>
        <v>LENC</v>
      </c>
      <c r="J463" s="86" t="str">
        <f t="shared" si="15"/>
        <v>26</v>
      </c>
      <c r="K463" s="77" t="s">
        <v>69</v>
      </c>
      <c r="L463" s="77">
        <v>1</v>
      </c>
      <c r="M463" s="77" t="s">
        <v>69</v>
      </c>
      <c r="N463" s="88" t="s">
        <v>149</v>
      </c>
      <c r="O463" s="77" t="s">
        <v>121</v>
      </c>
      <c r="P463" s="77"/>
      <c r="Q463" s="31"/>
      <c r="R463" s="63"/>
    </row>
    <row r="464" spans="1:18" ht="39.75" hidden="1" customHeight="1" x14ac:dyDescent="0.25">
      <c r="A464" s="78">
        <f>IF(B464="","",COUNTA($B$7:B463))</f>
        <v>457</v>
      </c>
      <c r="B464" s="85">
        <v>46108</v>
      </c>
      <c r="C464" s="77" t="s">
        <v>645</v>
      </c>
      <c r="D464" s="77" t="s">
        <v>1006</v>
      </c>
      <c r="E464" s="77" t="s">
        <v>152</v>
      </c>
      <c r="F464" s="77" t="s">
        <v>118</v>
      </c>
      <c r="G464" s="77">
        <v>20793</v>
      </c>
      <c r="H464" s="131" t="s">
        <v>118</v>
      </c>
      <c r="I464" s="86" t="str">
        <f t="shared" si="14"/>
        <v>LENC</v>
      </c>
      <c r="J464" s="86" t="str">
        <f t="shared" si="15"/>
        <v>26</v>
      </c>
      <c r="K464" s="77" t="s">
        <v>69</v>
      </c>
      <c r="L464" s="77">
        <v>1</v>
      </c>
      <c r="M464" s="77" t="s">
        <v>69</v>
      </c>
      <c r="N464" s="88" t="s">
        <v>149</v>
      </c>
      <c r="O464" s="77" t="s">
        <v>121</v>
      </c>
      <c r="P464" s="77"/>
      <c r="Q464" s="31"/>
      <c r="R464" s="63"/>
    </row>
    <row r="465" spans="1:18" ht="39.75" hidden="1" customHeight="1" x14ac:dyDescent="0.25">
      <c r="A465" s="78">
        <f>IF(B465="","",COUNTA($B$7:B464))</f>
        <v>458</v>
      </c>
      <c r="B465" s="85">
        <v>46108</v>
      </c>
      <c r="C465" s="77" t="s">
        <v>645</v>
      </c>
      <c r="D465" s="77" t="s">
        <v>1007</v>
      </c>
      <c r="E465" s="77" t="s">
        <v>152</v>
      </c>
      <c r="F465" s="77" t="s">
        <v>118</v>
      </c>
      <c r="G465" s="77">
        <v>21655</v>
      </c>
      <c r="H465" s="131" t="s">
        <v>118</v>
      </c>
      <c r="I465" s="86" t="str">
        <f t="shared" si="14"/>
        <v>LENC</v>
      </c>
      <c r="J465" s="86" t="str">
        <f t="shared" si="15"/>
        <v>26</v>
      </c>
      <c r="K465" s="77" t="s">
        <v>69</v>
      </c>
      <c r="L465" s="77">
        <v>1</v>
      </c>
      <c r="M465" s="77" t="s">
        <v>69</v>
      </c>
      <c r="N465" s="88" t="s">
        <v>149</v>
      </c>
      <c r="O465" s="77" t="s">
        <v>121</v>
      </c>
      <c r="P465" s="77"/>
      <c r="Q465" s="31"/>
      <c r="R465" s="63"/>
    </row>
    <row r="466" spans="1:18" ht="39.75" hidden="1" customHeight="1" x14ac:dyDescent="0.25">
      <c r="A466" s="78">
        <f>IF(B466="","",COUNTA($B$7:B465))</f>
        <v>459</v>
      </c>
      <c r="B466" s="85">
        <v>46136</v>
      </c>
      <c r="C466" s="77" t="s">
        <v>208</v>
      </c>
      <c r="D466" s="77" t="s">
        <v>310</v>
      </c>
      <c r="E466" s="77" t="s">
        <v>69</v>
      </c>
      <c r="F466" s="77" t="s">
        <v>118</v>
      </c>
      <c r="G466" s="77" t="s">
        <v>1008</v>
      </c>
      <c r="H466" s="131" t="s">
        <v>118</v>
      </c>
      <c r="I466" s="86" t="str">
        <f t="shared" si="14"/>
        <v>LENC</v>
      </c>
      <c r="J466" s="86" t="str">
        <f t="shared" si="15"/>
        <v>26</v>
      </c>
      <c r="K466" s="77" t="s">
        <v>1009</v>
      </c>
      <c r="L466" s="77">
        <v>1</v>
      </c>
      <c r="M466" s="77" t="s">
        <v>1010</v>
      </c>
      <c r="N466" s="88" t="s">
        <v>711</v>
      </c>
      <c r="O466" s="77" t="s">
        <v>121</v>
      </c>
      <c r="P466" s="77"/>
      <c r="Q466" s="31"/>
      <c r="R466" s="63"/>
    </row>
    <row r="467" spans="1:18" ht="39.75" hidden="1" customHeight="1" x14ac:dyDescent="0.25">
      <c r="A467" s="78">
        <f>IF(B467="","",COUNTA($B$7:B466))</f>
        <v>460</v>
      </c>
      <c r="B467" s="85">
        <v>46135</v>
      </c>
      <c r="C467" s="77" t="s">
        <v>1011</v>
      </c>
      <c r="D467" s="77" t="s">
        <v>1012</v>
      </c>
      <c r="E467" s="77" t="s">
        <v>69</v>
      </c>
      <c r="F467" s="77" t="s">
        <v>118</v>
      </c>
      <c r="G467" s="77" t="s">
        <v>69</v>
      </c>
      <c r="H467" s="131" t="s">
        <v>118</v>
      </c>
      <c r="I467" s="86" t="str">
        <f t="shared" si="14"/>
        <v>LENC</v>
      </c>
      <c r="J467" s="86" t="str">
        <f t="shared" si="15"/>
        <v>26</v>
      </c>
      <c r="K467" s="77" t="s">
        <v>69</v>
      </c>
      <c r="L467" s="77"/>
      <c r="M467" s="77" t="s">
        <v>69</v>
      </c>
      <c r="N467" s="88">
        <v>59</v>
      </c>
      <c r="O467" s="77" t="s">
        <v>159</v>
      </c>
      <c r="P467" s="77"/>
      <c r="Q467" s="31"/>
      <c r="R467" s="63"/>
    </row>
    <row r="468" spans="1:18" ht="39.75" hidden="1" customHeight="1" x14ac:dyDescent="0.25">
      <c r="A468" s="78">
        <f>IF(B468="","",COUNTA($B$7:B467))</f>
        <v>461</v>
      </c>
      <c r="B468" s="85">
        <v>46135</v>
      </c>
      <c r="C468" s="77" t="s">
        <v>150</v>
      </c>
      <c r="D468" s="77" t="s">
        <v>987</v>
      </c>
      <c r="E468" s="77" t="s">
        <v>238</v>
      </c>
      <c r="F468" s="77" t="s">
        <v>118</v>
      </c>
      <c r="G468" s="77">
        <v>21505</v>
      </c>
      <c r="H468" s="131" t="s">
        <v>118</v>
      </c>
      <c r="I468" s="86" t="str">
        <f t="shared" si="14"/>
        <v>LENC</v>
      </c>
      <c r="J468" s="86" t="str">
        <f t="shared" si="15"/>
        <v>26</v>
      </c>
      <c r="K468" s="77" t="s">
        <v>1013</v>
      </c>
      <c r="L468" s="77">
        <v>1</v>
      </c>
      <c r="M468" s="77" t="s">
        <v>1014</v>
      </c>
      <c r="N468" s="88" t="s">
        <v>215</v>
      </c>
      <c r="O468" s="77" t="s">
        <v>126</v>
      </c>
      <c r="P468" s="77"/>
      <c r="Q468" s="31"/>
      <c r="R468" s="63"/>
    </row>
    <row r="469" spans="1:18" ht="39.75" hidden="1" customHeight="1" x14ac:dyDescent="0.25">
      <c r="A469" s="78">
        <f>IF(B469="","",COUNTA($B$7:B468))</f>
        <v>462</v>
      </c>
      <c r="B469" s="85">
        <v>46140</v>
      </c>
      <c r="C469" s="77" t="s">
        <v>867</v>
      </c>
      <c r="D469" s="77" t="s">
        <v>1015</v>
      </c>
      <c r="E469" s="77" t="s">
        <v>867</v>
      </c>
      <c r="F469" s="77" t="s">
        <v>118</v>
      </c>
      <c r="G469" s="77">
        <v>250161</v>
      </c>
      <c r="H469" s="131" t="s">
        <v>118</v>
      </c>
      <c r="I469" s="86" t="str">
        <f t="shared" si="14"/>
        <v>LENC</v>
      </c>
      <c r="J469" s="86" t="str">
        <f t="shared" si="15"/>
        <v>26</v>
      </c>
      <c r="K469" s="77" t="s">
        <v>1016</v>
      </c>
      <c r="L469" s="77">
        <v>1</v>
      </c>
      <c r="M469" s="77" t="s">
        <v>1017</v>
      </c>
      <c r="N469" s="88">
        <v>105</v>
      </c>
      <c r="O469" s="77" t="s">
        <v>159</v>
      </c>
      <c r="P469" s="77"/>
      <c r="Q469" s="31"/>
      <c r="R469" s="63"/>
    </row>
    <row r="470" spans="1:18" ht="39.75" hidden="1" customHeight="1" x14ac:dyDescent="0.25">
      <c r="A470" s="78">
        <f>IF(B470="","",COUNTA($B$7:B469))</f>
        <v>463</v>
      </c>
      <c r="B470" s="85">
        <v>46139</v>
      </c>
      <c r="C470" s="77" t="s">
        <v>138</v>
      </c>
      <c r="D470" s="77" t="s">
        <v>1018</v>
      </c>
      <c r="E470" s="77" t="s">
        <v>953</v>
      </c>
      <c r="F470" s="77" t="s">
        <v>118</v>
      </c>
      <c r="G470" s="77" t="s">
        <v>1019</v>
      </c>
      <c r="H470" s="131" t="s">
        <v>118</v>
      </c>
      <c r="I470" s="86" t="str">
        <f t="shared" si="14"/>
        <v>LENC</v>
      </c>
      <c r="J470" s="86" t="str">
        <f t="shared" si="15"/>
        <v>26</v>
      </c>
      <c r="K470" s="77" t="s">
        <v>1020</v>
      </c>
      <c r="L470" s="77">
        <v>1</v>
      </c>
      <c r="M470" s="77" t="s">
        <v>1021</v>
      </c>
      <c r="N470" s="88" t="s">
        <v>143</v>
      </c>
      <c r="O470" s="77" t="s">
        <v>126</v>
      </c>
      <c r="P470" s="77"/>
      <c r="Q470" s="31"/>
      <c r="R470" s="63"/>
    </row>
    <row r="471" spans="1:18" ht="39.75" hidden="1" customHeight="1" x14ac:dyDescent="0.25">
      <c r="A471" s="78">
        <f>IF(B471="","",COUNTA($B$7:B470))</f>
        <v>464</v>
      </c>
      <c r="B471" s="85">
        <v>46139</v>
      </c>
      <c r="C471" s="77" t="s">
        <v>286</v>
      </c>
      <c r="D471" s="77" t="s">
        <v>261</v>
      </c>
      <c r="E471" s="77" t="s">
        <v>1022</v>
      </c>
      <c r="F471" s="77" t="s">
        <v>118</v>
      </c>
      <c r="G471" s="77" t="s">
        <v>1023</v>
      </c>
      <c r="H471" s="131" t="s">
        <v>118</v>
      </c>
      <c r="I471" s="86" t="str">
        <f t="shared" si="14"/>
        <v>LENC</v>
      </c>
      <c r="J471" s="86" t="str">
        <f t="shared" si="15"/>
        <v>26</v>
      </c>
      <c r="K471" s="77" t="s">
        <v>1024</v>
      </c>
      <c r="L471" s="77">
        <v>1</v>
      </c>
      <c r="M471" s="77" t="s">
        <v>1025</v>
      </c>
      <c r="N471" s="88">
        <v>84</v>
      </c>
      <c r="O471" s="77" t="s">
        <v>159</v>
      </c>
      <c r="P471" s="77"/>
      <c r="Q471" s="31"/>
      <c r="R471" s="63"/>
    </row>
    <row r="472" spans="1:18" ht="39.75" hidden="1" customHeight="1" x14ac:dyDescent="0.25">
      <c r="A472" s="78">
        <f>IF(B472="","",COUNTA($B$7:B471))</f>
        <v>465</v>
      </c>
      <c r="B472" s="85">
        <v>46139</v>
      </c>
      <c r="C472" s="77" t="s">
        <v>286</v>
      </c>
      <c r="D472" s="77" t="s">
        <v>261</v>
      </c>
      <c r="E472" s="77" t="s">
        <v>1022</v>
      </c>
      <c r="F472" s="77" t="s">
        <v>118</v>
      </c>
      <c r="G472" s="77" t="s">
        <v>1026</v>
      </c>
      <c r="H472" s="131" t="s">
        <v>118</v>
      </c>
      <c r="I472" s="86" t="str">
        <f t="shared" si="14"/>
        <v>LENC</v>
      </c>
      <c r="J472" s="86" t="str">
        <f t="shared" si="15"/>
        <v>26</v>
      </c>
      <c r="K472" s="77" t="s">
        <v>1027</v>
      </c>
      <c r="L472" s="77">
        <v>1</v>
      </c>
      <c r="M472" s="77" t="s">
        <v>69</v>
      </c>
      <c r="N472" s="88">
        <v>84</v>
      </c>
      <c r="O472" s="77" t="s">
        <v>159</v>
      </c>
      <c r="P472" s="77"/>
      <c r="Q472" s="31"/>
      <c r="R472" s="63"/>
    </row>
    <row r="473" spans="1:18" ht="39.75" hidden="1" customHeight="1" x14ac:dyDescent="0.25">
      <c r="A473" s="78">
        <f>IF(B473="","",COUNTA($B$7:B472))</f>
        <v>466</v>
      </c>
      <c r="B473" s="85">
        <v>46141</v>
      </c>
      <c r="C473" s="77" t="s">
        <v>204</v>
      </c>
      <c r="D473" s="77" t="s">
        <v>1028</v>
      </c>
      <c r="E473" s="77" t="s">
        <v>1029</v>
      </c>
      <c r="F473" s="77" t="s">
        <v>118</v>
      </c>
      <c r="G473" s="129">
        <v>104839</v>
      </c>
      <c r="H473" s="131" t="s">
        <v>118</v>
      </c>
      <c r="I473" s="86" t="str">
        <f t="shared" si="14"/>
        <v>LENC</v>
      </c>
      <c r="J473" s="86" t="str">
        <f t="shared" si="15"/>
        <v>26</v>
      </c>
      <c r="K473" s="77" t="s">
        <v>1030</v>
      </c>
      <c r="L473" s="77">
        <v>1</v>
      </c>
      <c r="M473" s="77" t="s">
        <v>1031</v>
      </c>
      <c r="N473" s="88">
        <v>103</v>
      </c>
      <c r="O473" s="77" t="s">
        <v>159</v>
      </c>
      <c r="P473" s="77" t="s">
        <v>221</v>
      </c>
      <c r="Q473" s="31"/>
      <c r="R473" s="63"/>
    </row>
    <row r="474" spans="1:18" ht="39.75" hidden="1" customHeight="1" x14ac:dyDescent="0.25">
      <c r="A474" s="78">
        <f>IF(B474="","",COUNTA($B$7:B473))</f>
        <v>467</v>
      </c>
      <c r="B474" s="85">
        <v>46141</v>
      </c>
      <c r="C474" s="77" t="s">
        <v>204</v>
      </c>
      <c r="D474" s="77" t="s">
        <v>1028</v>
      </c>
      <c r="E474" s="77" t="s">
        <v>1029</v>
      </c>
      <c r="F474" s="77" t="s">
        <v>118</v>
      </c>
      <c r="G474" s="129">
        <v>104838</v>
      </c>
      <c r="H474" s="131" t="s">
        <v>118</v>
      </c>
      <c r="I474" s="86" t="str">
        <f t="shared" si="14"/>
        <v>LENC</v>
      </c>
      <c r="J474" s="86" t="str">
        <f t="shared" si="15"/>
        <v>26</v>
      </c>
      <c r="K474" s="77" t="s">
        <v>1030</v>
      </c>
      <c r="L474" s="77">
        <v>1</v>
      </c>
      <c r="M474" s="77" t="s">
        <v>1031</v>
      </c>
      <c r="N474" s="88">
        <v>103</v>
      </c>
      <c r="O474" s="77" t="s">
        <v>159</v>
      </c>
      <c r="P474" s="77" t="s">
        <v>221</v>
      </c>
      <c r="Q474" s="31"/>
      <c r="R474" s="63"/>
    </row>
    <row r="475" spans="1:18" ht="39.75" hidden="1" customHeight="1" x14ac:dyDescent="0.25">
      <c r="A475" s="78">
        <f>IF(B475="","",COUNTA($B$7:B474))</f>
        <v>468</v>
      </c>
      <c r="B475" s="85">
        <v>46141</v>
      </c>
      <c r="C475" s="77" t="s">
        <v>204</v>
      </c>
      <c r="D475" s="77" t="s">
        <v>1032</v>
      </c>
      <c r="E475" s="77" t="s">
        <v>999</v>
      </c>
      <c r="F475" s="77" t="s">
        <v>118</v>
      </c>
      <c r="G475" s="129">
        <v>104833</v>
      </c>
      <c r="H475" s="131" t="s">
        <v>118</v>
      </c>
      <c r="I475" s="86" t="str">
        <f t="shared" si="14"/>
        <v>LENC</v>
      </c>
      <c r="J475" s="86" t="str">
        <f t="shared" si="15"/>
        <v>26</v>
      </c>
      <c r="K475" s="77" t="s">
        <v>1033</v>
      </c>
      <c r="L475" s="77">
        <v>1</v>
      </c>
      <c r="M475" s="77" t="s">
        <v>1034</v>
      </c>
      <c r="N475" s="88">
        <v>103</v>
      </c>
      <c r="O475" s="77" t="s">
        <v>159</v>
      </c>
      <c r="P475" s="77" t="s">
        <v>221</v>
      </c>
      <c r="Q475" s="31"/>
      <c r="R475" s="63"/>
    </row>
    <row r="476" spans="1:18" ht="39.75" hidden="1" customHeight="1" x14ac:dyDescent="0.25">
      <c r="A476" s="78">
        <f>IF(B476="","",COUNTA($B$7:B475))</f>
        <v>469</v>
      </c>
      <c r="B476" s="85">
        <v>46141</v>
      </c>
      <c r="C476" s="77" t="s">
        <v>204</v>
      </c>
      <c r="D476" s="77" t="s">
        <v>1032</v>
      </c>
      <c r="E476" s="77" t="s">
        <v>999</v>
      </c>
      <c r="F476" s="77" t="s">
        <v>118</v>
      </c>
      <c r="G476" s="129">
        <v>104832</v>
      </c>
      <c r="H476" s="131" t="s">
        <v>118</v>
      </c>
      <c r="I476" s="86" t="str">
        <f t="shared" si="14"/>
        <v>LENC</v>
      </c>
      <c r="J476" s="86" t="str">
        <f t="shared" si="15"/>
        <v>26</v>
      </c>
      <c r="K476" s="77" t="s">
        <v>1033</v>
      </c>
      <c r="L476" s="77">
        <v>1</v>
      </c>
      <c r="M476" s="77" t="s">
        <v>1034</v>
      </c>
      <c r="N476" s="88">
        <v>103</v>
      </c>
      <c r="O476" s="77" t="s">
        <v>159</v>
      </c>
      <c r="P476" s="77" t="s">
        <v>221</v>
      </c>
      <c r="Q476" s="31"/>
      <c r="R476" s="63"/>
    </row>
    <row r="477" spans="1:18" ht="39.75" hidden="1" customHeight="1" x14ac:dyDescent="0.25">
      <c r="A477" s="78">
        <f>IF(B477="","",COUNTA($B$7:B476))</f>
        <v>470</v>
      </c>
      <c r="B477" s="85">
        <v>46141</v>
      </c>
      <c r="C477" s="77" t="s">
        <v>204</v>
      </c>
      <c r="D477" s="77" t="s">
        <v>1035</v>
      </c>
      <c r="E477" s="77" t="s">
        <v>999</v>
      </c>
      <c r="F477" s="77" t="s">
        <v>118</v>
      </c>
      <c r="G477" s="77">
        <v>104836</v>
      </c>
      <c r="H477" s="131" t="s">
        <v>118</v>
      </c>
      <c r="I477" s="86" t="str">
        <f t="shared" si="14"/>
        <v>LENC</v>
      </c>
      <c r="J477" s="86" t="str">
        <f t="shared" si="15"/>
        <v>26</v>
      </c>
      <c r="K477" s="77" t="s">
        <v>1030</v>
      </c>
      <c r="L477" s="77">
        <v>1</v>
      </c>
      <c r="M477" s="77" t="s">
        <v>1031</v>
      </c>
      <c r="N477" s="88">
        <v>95</v>
      </c>
      <c r="O477" s="77" t="s">
        <v>159</v>
      </c>
      <c r="P477" s="77" t="s">
        <v>221</v>
      </c>
      <c r="Q477" s="31"/>
      <c r="R477" s="63"/>
    </row>
    <row r="478" spans="1:18" ht="39.75" hidden="1" customHeight="1" x14ac:dyDescent="0.25">
      <c r="A478" s="78">
        <f>IF(B478="","",COUNTA($B$7:B477))</f>
        <v>471</v>
      </c>
      <c r="B478" s="85">
        <v>46141</v>
      </c>
      <c r="C478" s="77" t="s">
        <v>204</v>
      </c>
      <c r="D478" s="77" t="s">
        <v>1035</v>
      </c>
      <c r="E478" s="77" t="s">
        <v>999</v>
      </c>
      <c r="F478" s="77" t="s">
        <v>118</v>
      </c>
      <c r="G478" s="129">
        <v>104837</v>
      </c>
      <c r="H478" s="131" t="s">
        <v>118</v>
      </c>
      <c r="I478" s="86" t="str">
        <f t="shared" si="14"/>
        <v>LENC</v>
      </c>
      <c r="J478" s="86" t="str">
        <f t="shared" si="15"/>
        <v>26</v>
      </c>
      <c r="K478" s="77" t="s">
        <v>1030</v>
      </c>
      <c r="L478" s="77">
        <v>1</v>
      </c>
      <c r="M478" s="77" t="s">
        <v>1031</v>
      </c>
      <c r="N478" s="88">
        <v>103</v>
      </c>
      <c r="O478" s="77" t="s">
        <v>159</v>
      </c>
      <c r="P478" s="77" t="s">
        <v>221</v>
      </c>
      <c r="Q478" s="31"/>
      <c r="R478" s="63"/>
    </row>
    <row r="479" spans="1:18" ht="39.75" hidden="1" customHeight="1" x14ac:dyDescent="0.25">
      <c r="A479" s="78">
        <f>IF(B479="","",COUNTA($B$7:B478))</f>
        <v>472</v>
      </c>
      <c r="B479" s="85">
        <v>46141</v>
      </c>
      <c r="C479" s="77" t="s">
        <v>204</v>
      </c>
      <c r="D479" s="77" t="s">
        <v>1032</v>
      </c>
      <c r="E479" s="77" t="s">
        <v>999</v>
      </c>
      <c r="F479" s="77" t="s">
        <v>118</v>
      </c>
      <c r="G479" s="129">
        <v>104835</v>
      </c>
      <c r="H479" s="131" t="s">
        <v>118</v>
      </c>
      <c r="I479" s="86" t="str">
        <f t="shared" si="14"/>
        <v>LENC</v>
      </c>
      <c r="J479" s="86" t="str">
        <f t="shared" si="15"/>
        <v>26</v>
      </c>
      <c r="K479" s="77" t="s">
        <v>1033</v>
      </c>
      <c r="L479" s="77">
        <v>1</v>
      </c>
      <c r="M479" s="77" t="s">
        <v>1034</v>
      </c>
      <c r="N479" s="88">
        <v>103</v>
      </c>
      <c r="O479" s="77" t="s">
        <v>159</v>
      </c>
      <c r="P479" s="77" t="s">
        <v>221</v>
      </c>
      <c r="Q479" s="31"/>
      <c r="R479" s="63"/>
    </row>
    <row r="480" spans="1:18" ht="39.75" hidden="1" customHeight="1" x14ac:dyDescent="0.25">
      <c r="A480" s="78">
        <f>IF(B480="","",COUNTA($B$7:B479))</f>
        <v>473</v>
      </c>
      <c r="B480" s="85">
        <v>46141</v>
      </c>
      <c r="C480" s="77" t="s">
        <v>204</v>
      </c>
      <c r="D480" s="77" t="s">
        <v>1032</v>
      </c>
      <c r="E480" s="77" t="s">
        <v>999</v>
      </c>
      <c r="F480" s="77" t="s">
        <v>118</v>
      </c>
      <c r="G480" s="129">
        <v>104834</v>
      </c>
      <c r="H480" s="131" t="s">
        <v>118</v>
      </c>
      <c r="I480" s="86" t="str">
        <f t="shared" si="14"/>
        <v>LENC</v>
      </c>
      <c r="J480" s="86" t="str">
        <f t="shared" si="15"/>
        <v>26</v>
      </c>
      <c r="K480" s="77" t="s">
        <v>1033</v>
      </c>
      <c r="L480" s="77">
        <v>1</v>
      </c>
      <c r="M480" s="77" t="s">
        <v>1034</v>
      </c>
      <c r="N480" s="88">
        <v>103</v>
      </c>
      <c r="O480" s="77" t="s">
        <v>159</v>
      </c>
      <c r="P480" s="77" t="s">
        <v>221</v>
      </c>
      <c r="Q480" s="31"/>
      <c r="R480" s="63"/>
    </row>
    <row r="481" spans="1:18" ht="39.75" hidden="1" customHeight="1" x14ac:dyDescent="0.25">
      <c r="A481" s="78">
        <f>IF(B481="","",COUNTA($B$7:B480))</f>
        <v>474</v>
      </c>
      <c r="B481" s="85">
        <v>46141</v>
      </c>
      <c r="C481" s="77" t="s">
        <v>292</v>
      </c>
      <c r="D481" s="77" t="s">
        <v>1036</v>
      </c>
      <c r="E481" s="77" t="s">
        <v>1037</v>
      </c>
      <c r="F481" s="77" t="s">
        <v>118</v>
      </c>
      <c r="G481" s="77">
        <v>6577</v>
      </c>
      <c r="H481" s="131" t="s">
        <v>118</v>
      </c>
      <c r="I481" s="86" t="str">
        <f t="shared" si="14"/>
        <v>LENC</v>
      </c>
      <c r="J481" s="86" t="str">
        <f t="shared" si="15"/>
        <v>26</v>
      </c>
      <c r="K481" s="77" t="s">
        <v>1038</v>
      </c>
      <c r="L481" s="77">
        <v>1</v>
      </c>
      <c r="M481" s="77" t="s">
        <v>69</v>
      </c>
      <c r="N481" s="88" t="s">
        <v>270</v>
      </c>
      <c r="O481" s="77" t="s">
        <v>126</v>
      </c>
      <c r="P481" s="77"/>
      <c r="Q481" s="31"/>
      <c r="R481" s="63"/>
    </row>
    <row r="482" spans="1:18" ht="39.75" hidden="1" customHeight="1" x14ac:dyDescent="0.25">
      <c r="A482" s="78">
        <f>IF(B482="","",COUNTA($B$7:B481))</f>
        <v>475</v>
      </c>
      <c r="B482" s="85">
        <v>46141</v>
      </c>
      <c r="C482" s="77" t="s">
        <v>152</v>
      </c>
      <c r="D482" s="77" t="s">
        <v>369</v>
      </c>
      <c r="E482" s="77" t="s">
        <v>152</v>
      </c>
      <c r="F482" s="77" t="s">
        <v>118</v>
      </c>
      <c r="G482" s="77" t="s">
        <v>1039</v>
      </c>
      <c r="H482" s="131" t="s">
        <v>118</v>
      </c>
      <c r="I482" s="86" t="str">
        <f t="shared" si="14"/>
        <v>LENC</v>
      </c>
      <c r="J482" s="86" t="str">
        <f t="shared" si="15"/>
        <v>26</v>
      </c>
      <c r="K482" s="77" t="s">
        <v>69</v>
      </c>
      <c r="L482" s="77">
        <v>1</v>
      </c>
      <c r="M482" s="77" t="s">
        <v>69</v>
      </c>
      <c r="N482" s="88" t="s">
        <v>153</v>
      </c>
      <c r="O482" s="77" t="s">
        <v>121</v>
      </c>
      <c r="P482" s="77"/>
      <c r="Q482" s="31"/>
      <c r="R482" s="63"/>
    </row>
    <row r="483" spans="1:18" ht="39.75" hidden="1" customHeight="1" x14ac:dyDescent="0.25">
      <c r="A483" s="78">
        <f>IF(B483="","",COUNTA($B$7:B482))</f>
        <v>476</v>
      </c>
      <c r="B483" s="85">
        <v>46141</v>
      </c>
      <c r="C483" s="77" t="s">
        <v>122</v>
      </c>
      <c r="D483" s="77" t="s">
        <v>1040</v>
      </c>
      <c r="E483" s="77" t="s">
        <v>423</v>
      </c>
      <c r="F483" s="77" t="s">
        <v>118</v>
      </c>
      <c r="G483" s="77" t="s">
        <v>1041</v>
      </c>
      <c r="H483" s="131" t="s">
        <v>118</v>
      </c>
      <c r="I483" s="86" t="str">
        <f t="shared" si="14"/>
        <v>LENC</v>
      </c>
      <c r="J483" s="86" t="str">
        <f t="shared" si="15"/>
        <v>26</v>
      </c>
      <c r="K483" s="77" t="s">
        <v>1042</v>
      </c>
      <c r="L483" s="77">
        <v>2</v>
      </c>
      <c r="M483" s="77" t="s">
        <v>1043</v>
      </c>
      <c r="N483" s="88" t="s">
        <v>153</v>
      </c>
      <c r="O483" s="77" t="s">
        <v>121</v>
      </c>
      <c r="P483" s="77"/>
      <c r="Q483" s="31"/>
      <c r="R483" s="63"/>
    </row>
    <row r="484" spans="1:18" ht="39.75" hidden="1" customHeight="1" x14ac:dyDescent="0.25">
      <c r="A484" s="78">
        <f>IF(B484="","",COUNTA($B$7:B483))</f>
        <v>477</v>
      </c>
      <c r="B484" s="85">
        <v>46141</v>
      </c>
      <c r="C484" s="77" t="s">
        <v>305</v>
      </c>
      <c r="D484" s="77" t="s">
        <v>1044</v>
      </c>
      <c r="E484" s="77" t="s">
        <v>1045</v>
      </c>
      <c r="F484" s="77" t="s">
        <v>118</v>
      </c>
      <c r="G484" s="77" t="s">
        <v>1046</v>
      </c>
      <c r="H484" s="131" t="s">
        <v>118</v>
      </c>
      <c r="I484" s="86" t="str">
        <f t="shared" si="14"/>
        <v>LENC</v>
      </c>
      <c r="J484" s="86" t="str">
        <f t="shared" si="15"/>
        <v>26</v>
      </c>
      <c r="K484" s="77" t="s">
        <v>1047</v>
      </c>
      <c r="L484" s="77">
        <v>1</v>
      </c>
      <c r="M484" s="77" t="s">
        <v>1048</v>
      </c>
      <c r="N484" s="88">
        <v>101</v>
      </c>
      <c r="O484" s="77" t="s">
        <v>159</v>
      </c>
      <c r="P484" s="77"/>
      <c r="Q484" s="31"/>
      <c r="R484" s="63"/>
    </row>
    <row r="485" spans="1:18" ht="39.75" hidden="1" customHeight="1" x14ac:dyDescent="0.25">
      <c r="A485" s="78">
        <f>IF(B485="","",COUNTA($B$7:B484))</f>
        <v>478</v>
      </c>
      <c r="B485" s="85">
        <v>46141</v>
      </c>
      <c r="C485" s="77" t="s">
        <v>305</v>
      </c>
      <c r="D485" s="77" t="s">
        <v>1049</v>
      </c>
      <c r="E485" s="77" t="s">
        <v>1045</v>
      </c>
      <c r="F485" s="77" t="s">
        <v>118</v>
      </c>
      <c r="G485" s="77" t="s">
        <v>1050</v>
      </c>
      <c r="H485" s="131" t="s">
        <v>118</v>
      </c>
      <c r="I485" s="86" t="str">
        <f t="shared" si="14"/>
        <v>LENC</v>
      </c>
      <c r="J485" s="86" t="str">
        <f t="shared" si="15"/>
        <v>26</v>
      </c>
      <c r="K485" s="77" t="s">
        <v>1047</v>
      </c>
      <c r="L485" s="77">
        <v>1</v>
      </c>
      <c r="M485" s="77" t="s">
        <v>1048</v>
      </c>
      <c r="N485" s="88">
        <v>101</v>
      </c>
      <c r="O485" s="77" t="s">
        <v>159</v>
      </c>
      <c r="P485" s="77"/>
      <c r="Q485" s="31"/>
      <c r="R485" s="63"/>
    </row>
    <row r="486" spans="1:18" ht="39.75" hidden="1" customHeight="1" x14ac:dyDescent="0.25">
      <c r="A486" s="78">
        <f>IF(B486="","",COUNTA($B$7:B485))</f>
        <v>479</v>
      </c>
      <c r="B486" s="85">
        <v>46141</v>
      </c>
      <c r="C486" s="77" t="s">
        <v>305</v>
      </c>
      <c r="D486" s="77" t="s">
        <v>1051</v>
      </c>
      <c r="E486" s="77" t="s">
        <v>1045</v>
      </c>
      <c r="F486" s="77" t="s">
        <v>118</v>
      </c>
      <c r="G486" s="77" t="s">
        <v>1052</v>
      </c>
      <c r="H486" s="131" t="s">
        <v>118</v>
      </c>
      <c r="I486" s="86" t="str">
        <f t="shared" si="14"/>
        <v>LENC</v>
      </c>
      <c r="J486" s="86" t="str">
        <f t="shared" si="15"/>
        <v>26</v>
      </c>
      <c r="K486" s="77" t="s">
        <v>1047</v>
      </c>
      <c r="L486" s="77">
        <v>1</v>
      </c>
      <c r="M486" s="77" t="s">
        <v>1048</v>
      </c>
      <c r="N486" s="88">
        <v>101</v>
      </c>
      <c r="O486" s="77" t="s">
        <v>159</v>
      </c>
      <c r="P486" s="77"/>
      <c r="Q486" s="31"/>
      <c r="R486" s="63"/>
    </row>
    <row r="487" spans="1:18" ht="39.75" hidden="1" customHeight="1" x14ac:dyDescent="0.25">
      <c r="A487" s="78">
        <f>IF(B487="","",COUNTA($B$7:B486))</f>
        <v>480</v>
      </c>
      <c r="B487" s="85">
        <v>46141</v>
      </c>
      <c r="C487" s="77" t="s">
        <v>305</v>
      </c>
      <c r="D487" s="77" t="s">
        <v>1053</v>
      </c>
      <c r="E487" s="77" t="s">
        <v>1045</v>
      </c>
      <c r="F487" s="77" t="s">
        <v>118</v>
      </c>
      <c r="G487" s="77" t="s">
        <v>1054</v>
      </c>
      <c r="H487" s="131" t="s">
        <v>118</v>
      </c>
      <c r="I487" s="86" t="str">
        <f t="shared" si="14"/>
        <v>LENC</v>
      </c>
      <c r="J487" s="86" t="str">
        <f t="shared" si="15"/>
        <v>26</v>
      </c>
      <c r="K487" s="77" t="s">
        <v>1047</v>
      </c>
      <c r="L487" s="77">
        <v>1</v>
      </c>
      <c r="M487" s="77" t="s">
        <v>1048</v>
      </c>
      <c r="N487" s="88">
        <v>101</v>
      </c>
      <c r="O487" s="77" t="s">
        <v>159</v>
      </c>
      <c r="P487" s="77"/>
      <c r="Q487" s="31"/>
      <c r="R487" s="63"/>
    </row>
    <row r="488" spans="1:18" ht="39.75" hidden="1" customHeight="1" x14ac:dyDescent="0.25">
      <c r="A488" s="78">
        <f>IF(B488="","",COUNTA($B$7:B487))</f>
        <v>481</v>
      </c>
      <c r="B488" s="85">
        <v>46141</v>
      </c>
      <c r="C488" s="77" t="s">
        <v>305</v>
      </c>
      <c r="D488" s="77" t="s">
        <v>1055</v>
      </c>
      <c r="E488" s="77" t="s">
        <v>1045</v>
      </c>
      <c r="F488" s="77" t="s">
        <v>118</v>
      </c>
      <c r="G488" s="77" t="s">
        <v>1056</v>
      </c>
      <c r="H488" s="131" t="s">
        <v>118</v>
      </c>
      <c r="I488" s="86" t="str">
        <f t="shared" si="14"/>
        <v>LENC</v>
      </c>
      <c r="J488" s="86" t="str">
        <f t="shared" si="15"/>
        <v>26</v>
      </c>
      <c r="K488" s="77" t="s">
        <v>1047</v>
      </c>
      <c r="L488" s="77">
        <v>1</v>
      </c>
      <c r="M488" s="77" t="s">
        <v>1048</v>
      </c>
      <c r="N488" s="88" t="s">
        <v>203</v>
      </c>
      <c r="O488" s="77" t="s">
        <v>121</v>
      </c>
      <c r="P488" s="77"/>
      <c r="Q488" s="31"/>
      <c r="R488" s="63"/>
    </row>
    <row r="489" spans="1:18" ht="39.75" hidden="1" customHeight="1" x14ac:dyDescent="0.25">
      <c r="A489" s="78">
        <f>IF(B489="","",COUNTA($B$7:B488))</f>
        <v>482</v>
      </c>
      <c r="B489" s="85">
        <v>46141</v>
      </c>
      <c r="C489" s="77" t="s">
        <v>305</v>
      </c>
      <c r="D489" s="77" t="s">
        <v>1057</v>
      </c>
      <c r="E489" s="77" t="s">
        <v>1045</v>
      </c>
      <c r="F489" s="77" t="s">
        <v>118</v>
      </c>
      <c r="G489" s="77" t="s">
        <v>1058</v>
      </c>
      <c r="H489" s="131" t="s">
        <v>118</v>
      </c>
      <c r="I489" s="86" t="str">
        <f t="shared" si="14"/>
        <v>LENC</v>
      </c>
      <c r="J489" s="86" t="str">
        <f t="shared" si="15"/>
        <v>26</v>
      </c>
      <c r="K489" s="77" t="s">
        <v>1047</v>
      </c>
      <c r="L489" s="77">
        <v>1</v>
      </c>
      <c r="M489" s="77" t="s">
        <v>1048</v>
      </c>
      <c r="N489" s="88" t="s">
        <v>203</v>
      </c>
      <c r="O489" s="77" t="s">
        <v>121</v>
      </c>
      <c r="P489" s="77"/>
      <c r="Q489" s="31"/>
      <c r="R489" s="63"/>
    </row>
    <row r="490" spans="1:18" ht="39.75" hidden="1" customHeight="1" x14ac:dyDescent="0.25">
      <c r="A490" s="78">
        <f>IF(B490="","",COUNTA($B$7:B489))</f>
        <v>483</v>
      </c>
      <c r="B490" s="85">
        <v>46141</v>
      </c>
      <c r="C490" s="77" t="s">
        <v>208</v>
      </c>
      <c r="D490" s="77" t="s">
        <v>310</v>
      </c>
      <c r="E490" s="77" t="s">
        <v>69</v>
      </c>
      <c r="F490" s="77" t="s">
        <v>118</v>
      </c>
      <c r="G490" s="77" t="s">
        <v>1059</v>
      </c>
      <c r="H490" s="131" t="s">
        <v>118</v>
      </c>
      <c r="I490" s="86" t="str">
        <f t="shared" si="14"/>
        <v>LENC</v>
      </c>
      <c r="J490" s="86" t="str">
        <f t="shared" si="15"/>
        <v>26</v>
      </c>
      <c r="K490" s="77" t="s">
        <v>69</v>
      </c>
      <c r="L490" s="77">
        <v>8</v>
      </c>
      <c r="M490" s="77" t="s">
        <v>69</v>
      </c>
      <c r="N490" s="88" t="s">
        <v>308</v>
      </c>
      <c r="O490" s="77" t="s">
        <v>121</v>
      </c>
      <c r="P490" s="77"/>
      <c r="Q490" s="31"/>
      <c r="R490" s="63"/>
    </row>
    <row r="491" spans="1:18" ht="39.75" hidden="1" customHeight="1" x14ac:dyDescent="0.25">
      <c r="A491" s="78">
        <f>IF(B491="","",COUNTA($B$7:B490))</f>
        <v>484</v>
      </c>
      <c r="B491" s="85">
        <v>46141</v>
      </c>
      <c r="C491" s="77" t="s">
        <v>286</v>
      </c>
      <c r="D491" s="77" t="s">
        <v>1060</v>
      </c>
      <c r="E491" s="77" t="s">
        <v>69</v>
      </c>
      <c r="F491" s="77" t="s">
        <v>118</v>
      </c>
      <c r="G491" s="77" t="s">
        <v>1061</v>
      </c>
      <c r="H491" s="131" t="s">
        <v>118</v>
      </c>
      <c r="I491" s="86" t="str">
        <f t="shared" si="14"/>
        <v>LENC</v>
      </c>
      <c r="J491" s="86" t="str">
        <f t="shared" si="15"/>
        <v>26</v>
      </c>
      <c r="K491" s="77" t="s">
        <v>69</v>
      </c>
      <c r="L491" s="77">
        <v>1</v>
      </c>
      <c r="M491" s="77" t="s">
        <v>69</v>
      </c>
      <c r="N491" s="88" t="s">
        <v>308</v>
      </c>
      <c r="O491" s="77" t="s">
        <v>121</v>
      </c>
      <c r="P491" s="77"/>
      <c r="Q491" s="31"/>
      <c r="R491" s="63"/>
    </row>
    <row r="492" spans="1:18" ht="39.75" hidden="1" customHeight="1" x14ac:dyDescent="0.25">
      <c r="A492" s="78">
        <f>IF(B492="","",COUNTA($B$7:B491))</f>
        <v>485</v>
      </c>
      <c r="B492" s="85">
        <v>46141</v>
      </c>
      <c r="C492" s="77" t="s">
        <v>208</v>
      </c>
      <c r="D492" s="77" t="s">
        <v>188</v>
      </c>
      <c r="E492" s="77" t="s">
        <v>1062</v>
      </c>
      <c r="F492" s="77" t="s">
        <v>118</v>
      </c>
      <c r="G492" s="110" t="s">
        <v>1063</v>
      </c>
      <c r="H492" s="131" t="s">
        <v>118</v>
      </c>
      <c r="I492" s="86" t="str">
        <f t="shared" si="14"/>
        <v>LENC</v>
      </c>
      <c r="J492" s="86" t="str">
        <f t="shared" si="15"/>
        <v>26</v>
      </c>
      <c r="K492" s="77" t="s">
        <v>69</v>
      </c>
      <c r="L492" s="77">
        <v>1</v>
      </c>
      <c r="M492" s="77" t="s">
        <v>69</v>
      </c>
      <c r="N492" s="88">
        <v>99</v>
      </c>
      <c r="O492" s="77" t="s">
        <v>159</v>
      </c>
      <c r="P492" s="77"/>
      <c r="Q492" s="31"/>
      <c r="R492" s="63"/>
    </row>
    <row r="493" spans="1:18" ht="39.75" hidden="1" customHeight="1" x14ac:dyDescent="0.25">
      <c r="A493" s="78">
        <f>IF(B493="","",COUNTA($B$7:B492))</f>
        <v>486</v>
      </c>
      <c r="B493" s="85">
        <v>46141</v>
      </c>
      <c r="C493" s="77" t="s">
        <v>208</v>
      </c>
      <c r="D493" s="77" t="s">
        <v>188</v>
      </c>
      <c r="E493" s="77" t="s">
        <v>1062</v>
      </c>
      <c r="F493" s="77" t="s">
        <v>118</v>
      </c>
      <c r="G493" s="110" t="s">
        <v>1064</v>
      </c>
      <c r="H493" s="131" t="s">
        <v>118</v>
      </c>
      <c r="I493" s="86" t="str">
        <f t="shared" si="14"/>
        <v>LENC</v>
      </c>
      <c r="J493" s="86" t="str">
        <f t="shared" si="15"/>
        <v>26</v>
      </c>
      <c r="K493" s="77" t="s">
        <v>69</v>
      </c>
      <c r="L493" s="77">
        <v>1</v>
      </c>
      <c r="M493" s="77" t="s">
        <v>69</v>
      </c>
      <c r="N493" s="88">
        <v>99</v>
      </c>
      <c r="O493" s="77" t="s">
        <v>159</v>
      </c>
      <c r="P493" s="77"/>
      <c r="Q493" s="31"/>
      <c r="R493" s="63"/>
    </row>
    <row r="494" spans="1:18" ht="39.75" hidden="1" customHeight="1" x14ac:dyDescent="0.25">
      <c r="A494" s="78">
        <f>IF(B494="","",COUNTA($B$7:B493))</f>
        <v>487</v>
      </c>
      <c r="B494" s="85">
        <v>46141</v>
      </c>
      <c r="C494" s="77" t="s">
        <v>208</v>
      </c>
      <c r="D494" s="77" t="s">
        <v>1065</v>
      </c>
      <c r="E494" s="77" t="s">
        <v>1062</v>
      </c>
      <c r="F494" s="77" t="s">
        <v>118</v>
      </c>
      <c r="G494" s="110" t="s">
        <v>1066</v>
      </c>
      <c r="H494" s="131" t="s">
        <v>118</v>
      </c>
      <c r="I494" s="86" t="str">
        <f t="shared" si="14"/>
        <v>LENC</v>
      </c>
      <c r="J494" s="86" t="str">
        <f t="shared" si="15"/>
        <v>26</v>
      </c>
      <c r="K494" s="77" t="s">
        <v>69</v>
      </c>
      <c r="L494" s="77">
        <v>1</v>
      </c>
      <c r="M494" s="77" t="s">
        <v>69</v>
      </c>
      <c r="N494" s="88">
        <v>80</v>
      </c>
      <c r="O494" s="77" t="s">
        <v>159</v>
      </c>
      <c r="P494" s="77"/>
      <c r="Q494" s="31"/>
      <c r="R494" s="63"/>
    </row>
    <row r="495" spans="1:18" ht="39.75" hidden="1" customHeight="1" x14ac:dyDescent="0.25">
      <c r="A495" s="78">
        <f>IF(B495="","",COUNTA($B$7:B494))</f>
        <v>488</v>
      </c>
      <c r="B495" s="85">
        <v>46141</v>
      </c>
      <c r="C495" s="77" t="s">
        <v>138</v>
      </c>
      <c r="D495" s="77" t="s">
        <v>1067</v>
      </c>
      <c r="E495" s="77" t="s">
        <v>1068</v>
      </c>
      <c r="F495" s="77" t="s">
        <v>118</v>
      </c>
      <c r="G495" s="77" t="s">
        <v>1069</v>
      </c>
      <c r="H495" s="131" t="s">
        <v>118</v>
      </c>
      <c r="I495" s="86" t="str">
        <f t="shared" si="14"/>
        <v>LENC</v>
      </c>
      <c r="J495" s="86" t="str">
        <f t="shared" si="15"/>
        <v>26</v>
      </c>
      <c r="K495" s="77" t="s">
        <v>69</v>
      </c>
      <c r="L495" s="77">
        <v>1</v>
      </c>
      <c r="M495" s="77" t="s">
        <v>69</v>
      </c>
      <c r="N495" s="88" t="s">
        <v>137</v>
      </c>
      <c r="O495" s="77" t="s">
        <v>121</v>
      </c>
      <c r="P495" s="77"/>
      <c r="Q495" s="31"/>
      <c r="R495" s="63"/>
    </row>
    <row r="496" spans="1:18" ht="39.75" hidden="1" customHeight="1" x14ac:dyDescent="0.25">
      <c r="A496" s="78">
        <f>IF(B496="","",COUNTA($B$7:B495))</f>
        <v>489</v>
      </c>
      <c r="B496" s="85">
        <v>46142</v>
      </c>
      <c r="C496" s="77" t="s">
        <v>1070</v>
      </c>
      <c r="D496" s="77" t="s">
        <v>1071</v>
      </c>
      <c r="E496" s="77" t="s">
        <v>69</v>
      </c>
      <c r="F496" s="77" t="s">
        <v>118</v>
      </c>
      <c r="G496" s="110" t="s">
        <v>719</v>
      </c>
      <c r="H496" s="131" t="s">
        <v>118</v>
      </c>
      <c r="I496" s="86" t="str">
        <f t="shared" si="14"/>
        <v>LENC</v>
      </c>
      <c r="J496" s="86" t="str">
        <f t="shared" si="15"/>
        <v>26</v>
      </c>
      <c r="K496" s="77" t="s">
        <v>1072</v>
      </c>
      <c r="L496" s="77">
        <v>3</v>
      </c>
      <c r="M496" s="77" t="s">
        <v>1073</v>
      </c>
      <c r="N496" s="88" t="s">
        <v>711</v>
      </c>
      <c r="O496" s="77" t="s">
        <v>172</v>
      </c>
      <c r="P496" s="77"/>
      <c r="Q496" s="31"/>
      <c r="R496" s="63"/>
    </row>
    <row r="497" spans="1:18" ht="39.75" hidden="1" customHeight="1" x14ac:dyDescent="0.25">
      <c r="A497" s="78">
        <f>IF(B497="","",COUNTA($B$7:B496))</f>
        <v>490</v>
      </c>
      <c r="B497" s="85">
        <v>46146</v>
      </c>
      <c r="C497" s="77" t="s">
        <v>1074</v>
      </c>
      <c r="D497" s="77" t="s">
        <v>1075</v>
      </c>
      <c r="E497" s="77" t="s">
        <v>155</v>
      </c>
      <c r="F497" s="77" t="s">
        <v>118</v>
      </c>
      <c r="G497" s="77" t="s">
        <v>69</v>
      </c>
      <c r="H497" s="131" t="s">
        <v>118</v>
      </c>
      <c r="I497" s="86" t="str">
        <f t="shared" si="14"/>
        <v>LENC</v>
      </c>
      <c r="J497" s="86" t="str">
        <f t="shared" si="15"/>
        <v>26</v>
      </c>
      <c r="K497" s="77" t="s">
        <v>69</v>
      </c>
      <c r="L497" s="77">
        <v>1</v>
      </c>
      <c r="M497" s="77" t="s">
        <v>69</v>
      </c>
      <c r="N497" s="88" t="s">
        <v>166</v>
      </c>
      <c r="O497" s="77" t="s">
        <v>121</v>
      </c>
      <c r="P497" s="77"/>
      <c r="Q497" s="31"/>
      <c r="R497" s="63"/>
    </row>
    <row r="498" spans="1:18" ht="39.75" hidden="1" customHeight="1" x14ac:dyDescent="0.25">
      <c r="A498" s="78">
        <f>IF(B498="","",COUNTA($B$7:B497))</f>
        <v>491</v>
      </c>
      <c r="B498" s="85">
        <v>46132</v>
      </c>
      <c r="C498" s="77" t="s">
        <v>1076</v>
      </c>
      <c r="D498" s="77" t="s">
        <v>1077</v>
      </c>
      <c r="E498" s="77" t="s">
        <v>1078</v>
      </c>
      <c r="F498" s="77" t="s">
        <v>118</v>
      </c>
      <c r="G498" s="77" t="s">
        <v>69</v>
      </c>
      <c r="H498" s="131" t="s">
        <v>118</v>
      </c>
      <c r="I498" s="86" t="str">
        <f t="shared" si="14"/>
        <v>LENC</v>
      </c>
      <c r="J498" s="86" t="str">
        <f t="shared" si="15"/>
        <v>26</v>
      </c>
      <c r="K498" s="77" t="s">
        <v>1079</v>
      </c>
      <c r="L498" s="77">
        <v>1</v>
      </c>
      <c r="M498" s="77" t="s">
        <v>1080</v>
      </c>
      <c r="N498" s="88">
        <v>63</v>
      </c>
      <c r="O498" s="77" t="s">
        <v>159</v>
      </c>
      <c r="P498" s="77"/>
      <c r="Q498" s="31"/>
      <c r="R498" s="63"/>
    </row>
    <row r="499" spans="1:18" ht="39.75" hidden="1" customHeight="1" x14ac:dyDescent="0.25">
      <c r="A499" s="78">
        <f>IF(B499="","",COUNTA($B$7:B498))</f>
        <v>492</v>
      </c>
      <c r="B499" s="85">
        <v>46132</v>
      </c>
      <c r="C499" s="77" t="s">
        <v>1076</v>
      </c>
      <c r="D499" s="77" t="s">
        <v>339</v>
      </c>
      <c r="E499" s="77" t="s">
        <v>1078</v>
      </c>
      <c r="F499" s="77" t="s">
        <v>118</v>
      </c>
      <c r="G499" s="77" t="s">
        <v>69</v>
      </c>
      <c r="H499" s="131" t="s">
        <v>118</v>
      </c>
      <c r="I499" s="86" t="str">
        <f t="shared" si="14"/>
        <v>LENC</v>
      </c>
      <c r="J499" s="86" t="str">
        <f t="shared" si="15"/>
        <v>26</v>
      </c>
      <c r="K499" s="77" t="s">
        <v>1079</v>
      </c>
      <c r="L499" s="77">
        <v>1</v>
      </c>
      <c r="M499" s="77" t="s">
        <v>1080</v>
      </c>
      <c r="N499" s="88">
        <v>63</v>
      </c>
      <c r="O499" s="77" t="s">
        <v>159</v>
      </c>
      <c r="P499" s="77"/>
      <c r="Q499" s="31"/>
      <c r="R499" s="63"/>
    </row>
    <row r="500" spans="1:18" ht="39.75" hidden="1" customHeight="1" x14ac:dyDescent="0.25">
      <c r="A500" s="78">
        <f>IF(B500="","",COUNTA($B$7:B499))</f>
        <v>493</v>
      </c>
      <c r="B500" s="85">
        <v>46146</v>
      </c>
      <c r="C500" s="77" t="s">
        <v>115</v>
      </c>
      <c r="D500" s="77" t="s">
        <v>1081</v>
      </c>
      <c r="E500" s="77" t="s">
        <v>1082</v>
      </c>
      <c r="F500" s="77" t="s">
        <v>118</v>
      </c>
      <c r="G500" s="77">
        <v>490118</v>
      </c>
      <c r="H500" s="131" t="s">
        <v>118</v>
      </c>
      <c r="I500" s="86" t="str">
        <f t="shared" si="14"/>
        <v>LENC</v>
      </c>
      <c r="J500" s="86" t="str">
        <f t="shared" si="15"/>
        <v>26</v>
      </c>
      <c r="K500" s="77" t="s">
        <v>1083</v>
      </c>
      <c r="L500" s="77">
        <v>1</v>
      </c>
      <c r="M500" s="77" t="s">
        <v>1084</v>
      </c>
      <c r="N500" s="88" t="s">
        <v>711</v>
      </c>
      <c r="O500" s="77" t="s">
        <v>172</v>
      </c>
      <c r="P500" s="77"/>
      <c r="Q500" s="31"/>
      <c r="R500" s="63"/>
    </row>
    <row r="501" spans="1:18" ht="39.75" hidden="1" customHeight="1" x14ac:dyDescent="0.25">
      <c r="A501" s="78">
        <f>IF(B501="","",COUNTA($B$7:B500))</f>
        <v>494</v>
      </c>
      <c r="B501" s="85">
        <v>46146</v>
      </c>
      <c r="C501" s="77" t="s">
        <v>138</v>
      </c>
      <c r="D501" s="77" t="s">
        <v>1085</v>
      </c>
      <c r="E501" s="77" t="s">
        <v>1086</v>
      </c>
      <c r="F501" s="77" t="s">
        <v>118</v>
      </c>
      <c r="G501" s="77" t="s">
        <v>1087</v>
      </c>
      <c r="H501" s="131" t="s">
        <v>118</v>
      </c>
      <c r="I501" s="86" t="str">
        <f t="shared" si="14"/>
        <v>LENC</v>
      </c>
      <c r="J501" s="86" t="str">
        <f t="shared" si="15"/>
        <v>26</v>
      </c>
      <c r="K501" s="77" t="s">
        <v>1088</v>
      </c>
      <c r="L501" s="77">
        <v>1</v>
      </c>
      <c r="M501" s="77" t="s">
        <v>1089</v>
      </c>
      <c r="N501" s="88"/>
      <c r="O501" s="77" t="s">
        <v>172</v>
      </c>
      <c r="P501" s="77"/>
      <c r="Q501" s="31"/>
      <c r="R501" s="63"/>
    </row>
    <row r="502" spans="1:18" ht="39.75" hidden="1" customHeight="1" x14ac:dyDescent="0.25">
      <c r="A502" s="78">
        <f>IF(B502="","",COUNTA($B$7:B501))</f>
        <v>495</v>
      </c>
      <c r="B502" s="85">
        <v>46146</v>
      </c>
      <c r="C502" s="77" t="s">
        <v>115</v>
      </c>
      <c r="D502" s="77" t="s">
        <v>1090</v>
      </c>
      <c r="E502" s="77" t="s">
        <v>348</v>
      </c>
      <c r="F502" s="77" t="s">
        <v>118</v>
      </c>
      <c r="G502" s="77" t="s">
        <v>69</v>
      </c>
      <c r="H502" s="131" t="s">
        <v>118</v>
      </c>
      <c r="I502" s="86" t="str">
        <f t="shared" si="14"/>
        <v>LENC</v>
      </c>
      <c r="J502" s="86" t="str">
        <f t="shared" si="15"/>
        <v>26</v>
      </c>
      <c r="K502" s="77" t="s">
        <v>1091</v>
      </c>
      <c r="L502" s="77">
        <v>1</v>
      </c>
      <c r="M502" s="77" t="s">
        <v>1092</v>
      </c>
      <c r="N502" s="88">
        <v>92</v>
      </c>
      <c r="O502" s="77" t="s">
        <v>159</v>
      </c>
      <c r="P502" s="77" t="s">
        <v>221</v>
      </c>
      <c r="Q502" s="31"/>
      <c r="R502" s="63"/>
    </row>
    <row r="503" spans="1:18" ht="39.75" hidden="1" customHeight="1" x14ac:dyDescent="0.25">
      <c r="A503" s="78">
        <f>IF(B503="","",COUNTA($B$7:B502))</f>
        <v>496</v>
      </c>
      <c r="B503" s="85">
        <v>46048</v>
      </c>
      <c r="C503" s="77" t="s">
        <v>152</v>
      </c>
      <c r="D503" s="77" t="s">
        <v>1093</v>
      </c>
      <c r="E503" s="77" t="s">
        <v>152</v>
      </c>
      <c r="F503" s="77" t="s">
        <v>118</v>
      </c>
      <c r="G503" s="77">
        <v>18850</v>
      </c>
      <c r="H503" s="131" t="s">
        <v>118</v>
      </c>
      <c r="I503" s="86" t="str">
        <f t="shared" si="14"/>
        <v>LENC</v>
      </c>
      <c r="J503" s="86" t="str">
        <f t="shared" si="15"/>
        <v>26</v>
      </c>
      <c r="K503" s="77" t="s">
        <v>1094</v>
      </c>
      <c r="L503" s="77">
        <v>1</v>
      </c>
      <c r="M503" s="77" t="s">
        <v>69</v>
      </c>
      <c r="N503" s="88">
        <v>64</v>
      </c>
      <c r="O503" s="77" t="s">
        <v>159</v>
      </c>
      <c r="P503" s="77" t="s">
        <v>1095</v>
      </c>
      <c r="Q503" s="31"/>
      <c r="R503" s="63"/>
    </row>
    <row r="504" spans="1:18" ht="39.75" hidden="1" customHeight="1" x14ac:dyDescent="0.25">
      <c r="A504" s="78">
        <f>IF(B504="","",COUNTA($B$7:B503))</f>
        <v>497</v>
      </c>
      <c r="B504" s="85">
        <v>46147</v>
      </c>
      <c r="C504" s="77" t="s">
        <v>208</v>
      </c>
      <c r="D504" s="77" t="s">
        <v>1096</v>
      </c>
      <c r="E504" s="77" t="s">
        <v>1022</v>
      </c>
      <c r="F504" s="77" t="s">
        <v>118</v>
      </c>
      <c r="G504" s="110" t="s">
        <v>1097</v>
      </c>
      <c r="H504" s="131" t="s">
        <v>118</v>
      </c>
      <c r="I504" s="86" t="str">
        <f t="shared" si="14"/>
        <v>LENC</v>
      </c>
      <c r="J504" s="86" t="str">
        <f t="shared" si="15"/>
        <v>26</v>
      </c>
      <c r="K504" s="77" t="s">
        <v>1098</v>
      </c>
      <c r="L504" s="77">
        <v>1</v>
      </c>
      <c r="M504" s="77" t="s">
        <v>1099</v>
      </c>
      <c r="N504" s="88" t="s">
        <v>143</v>
      </c>
      <c r="O504" s="77" t="s">
        <v>126</v>
      </c>
      <c r="P504" s="77"/>
      <c r="Q504" s="31"/>
      <c r="R504" s="63"/>
    </row>
    <row r="505" spans="1:18" ht="39.75" hidden="1" customHeight="1" x14ac:dyDescent="0.25">
      <c r="A505" s="78">
        <f>IF(B505="","",COUNTA($B$7:B504))</f>
        <v>498</v>
      </c>
      <c r="B505" s="128">
        <v>46147</v>
      </c>
      <c r="C505" s="77" t="s">
        <v>208</v>
      </c>
      <c r="D505" s="77" t="s">
        <v>1100</v>
      </c>
      <c r="E505" s="77" t="s">
        <v>1022</v>
      </c>
      <c r="F505" s="77" t="s">
        <v>118</v>
      </c>
      <c r="G505" s="110" t="s">
        <v>1101</v>
      </c>
      <c r="H505" s="131" t="s">
        <v>118</v>
      </c>
      <c r="I505" s="86" t="str">
        <f t="shared" si="14"/>
        <v>LENC</v>
      </c>
      <c r="J505" s="86" t="str">
        <f t="shared" si="15"/>
        <v>26</v>
      </c>
      <c r="K505" s="77" t="s">
        <v>1098</v>
      </c>
      <c r="L505" s="77">
        <v>1</v>
      </c>
      <c r="M505" s="77" t="s">
        <v>1099</v>
      </c>
      <c r="N505" s="88">
        <v>86</v>
      </c>
      <c r="O505" s="77" t="s">
        <v>159</v>
      </c>
      <c r="P505" s="77" t="s">
        <v>1102</v>
      </c>
      <c r="Q505" s="31"/>
      <c r="R505" s="63"/>
    </row>
    <row r="506" spans="1:18" ht="39.75" hidden="1" customHeight="1" x14ac:dyDescent="0.25">
      <c r="A506" s="78">
        <f>IF(B506="","",COUNTA($B$7:B505))</f>
        <v>499</v>
      </c>
      <c r="B506" s="128">
        <v>46147</v>
      </c>
      <c r="C506" s="77" t="s">
        <v>208</v>
      </c>
      <c r="D506" s="77" t="s">
        <v>1103</v>
      </c>
      <c r="E506" s="77" t="s">
        <v>69</v>
      </c>
      <c r="F506" s="77" t="s">
        <v>118</v>
      </c>
      <c r="G506" s="110" t="s">
        <v>1104</v>
      </c>
      <c r="H506" s="131" t="s">
        <v>118</v>
      </c>
      <c r="I506" s="86" t="str">
        <f t="shared" si="14"/>
        <v>LENC</v>
      </c>
      <c r="J506" s="86" t="str">
        <f t="shared" si="15"/>
        <v>26</v>
      </c>
      <c r="K506" s="77" t="s">
        <v>1105</v>
      </c>
      <c r="L506" s="77">
        <v>1</v>
      </c>
      <c r="M506" s="77" t="s">
        <v>1106</v>
      </c>
      <c r="N506" s="88" t="s">
        <v>711</v>
      </c>
      <c r="O506" s="77" t="s">
        <v>172</v>
      </c>
      <c r="P506" s="77"/>
      <c r="Q506" s="31"/>
      <c r="R506" s="63"/>
    </row>
    <row r="507" spans="1:18" ht="39.75" hidden="1" customHeight="1" x14ac:dyDescent="0.25">
      <c r="A507" s="78">
        <f>IF(B507="","",COUNTA($B$7:B506))</f>
        <v>500</v>
      </c>
      <c r="B507" s="128">
        <v>45804</v>
      </c>
      <c r="C507" s="77" t="s">
        <v>1107</v>
      </c>
      <c r="D507" s="77" t="s">
        <v>1108</v>
      </c>
      <c r="E507" s="129" t="s">
        <v>1109</v>
      </c>
      <c r="F507" s="77" t="s">
        <v>118</v>
      </c>
      <c r="G507" s="77" t="s">
        <v>1110</v>
      </c>
      <c r="H507" s="131" t="s">
        <v>118</v>
      </c>
      <c r="I507" s="86" t="str">
        <f t="shared" si="14"/>
        <v>LENC</v>
      </c>
      <c r="J507" s="86" t="str">
        <f t="shared" si="15"/>
        <v>25</v>
      </c>
      <c r="K507" s="86" t="s">
        <v>1111</v>
      </c>
      <c r="L507" s="77">
        <v>2</v>
      </c>
      <c r="M507" s="86" t="s">
        <v>1112</v>
      </c>
      <c r="N507" s="88">
        <v>65</v>
      </c>
      <c r="O507" s="77" t="s">
        <v>159</v>
      </c>
      <c r="P507" s="77"/>
      <c r="Q507" s="31"/>
      <c r="R507" s="63"/>
    </row>
    <row r="508" spans="1:18" ht="39.75" hidden="1" customHeight="1" x14ac:dyDescent="0.25">
      <c r="A508" s="78">
        <f>IF(B508="","",COUNTA($B$7:B507))</f>
        <v>501</v>
      </c>
      <c r="B508" s="128">
        <v>45804</v>
      </c>
      <c r="C508" s="77" t="s">
        <v>1107</v>
      </c>
      <c r="D508" s="77" t="s">
        <v>1113</v>
      </c>
      <c r="E508" s="129" t="s">
        <v>1109</v>
      </c>
      <c r="F508" s="77" t="s">
        <v>118</v>
      </c>
      <c r="G508" s="77" t="s">
        <v>1114</v>
      </c>
      <c r="H508" s="131" t="s">
        <v>118</v>
      </c>
      <c r="I508" s="86" t="str">
        <f t="shared" si="14"/>
        <v>LENC</v>
      </c>
      <c r="J508" s="86" t="str">
        <f t="shared" si="15"/>
        <v>25</v>
      </c>
      <c r="K508" s="86" t="s">
        <v>1111</v>
      </c>
      <c r="L508" s="77">
        <v>2</v>
      </c>
      <c r="M508" s="86" t="s">
        <v>1112</v>
      </c>
      <c r="N508" s="88">
        <v>65</v>
      </c>
      <c r="O508" s="77" t="s">
        <v>159</v>
      </c>
      <c r="P508" s="77"/>
      <c r="Q508" s="31"/>
      <c r="R508" s="63"/>
    </row>
    <row r="509" spans="1:18" ht="39.75" hidden="1" customHeight="1" x14ac:dyDescent="0.25">
      <c r="A509" s="78">
        <f>IF(B509="","",COUNTA($B$7:B508))</f>
        <v>502</v>
      </c>
      <c r="B509" s="128">
        <v>46148</v>
      </c>
      <c r="C509" s="77" t="s">
        <v>138</v>
      </c>
      <c r="D509" s="77" t="s">
        <v>1115</v>
      </c>
      <c r="E509" s="77" t="s">
        <v>69</v>
      </c>
      <c r="F509" s="77" t="s">
        <v>118</v>
      </c>
      <c r="G509" s="77" t="s">
        <v>1116</v>
      </c>
      <c r="H509" s="131" t="s">
        <v>118</v>
      </c>
      <c r="I509" s="86" t="str">
        <f t="shared" si="14"/>
        <v>LENC</v>
      </c>
      <c r="J509" s="86" t="str">
        <f t="shared" si="15"/>
        <v>26</v>
      </c>
      <c r="K509" s="86" t="s">
        <v>1117</v>
      </c>
      <c r="L509" s="77">
        <v>1</v>
      </c>
      <c r="M509" s="86" t="s">
        <v>1118</v>
      </c>
      <c r="N509" s="88" t="s">
        <v>711</v>
      </c>
      <c r="O509" s="77"/>
      <c r="P509" s="77"/>
      <c r="Q509" s="31"/>
      <c r="R509" s="63"/>
    </row>
    <row r="510" spans="1:18" ht="39.75" hidden="1" customHeight="1" x14ac:dyDescent="0.25">
      <c r="A510" s="78">
        <f>IF(B510="","",COUNTA($B$7:B509))</f>
        <v>503</v>
      </c>
      <c r="B510" s="128">
        <v>46139</v>
      </c>
      <c r="C510" s="77" t="s">
        <v>208</v>
      </c>
      <c r="D510" s="77" t="s">
        <v>1119</v>
      </c>
      <c r="E510" s="110" t="s">
        <v>1120</v>
      </c>
      <c r="F510" s="77" t="s">
        <v>118</v>
      </c>
      <c r="G510" s="110" t="s">
        <v>1121</v>
      </c>
      <c r="H510" s="131" t="s">
        <v>118</v>
      </c>
      <c r="I510" s="86" t="str">
        <f t="shared" si="14"/>
        <v>LENC</v>
      </c>
      <c r="J510" s="86" t="str">
        <f t="shared" si="15"/>
        <v>26</v>
      </c>
      <c r="K510" s="77" t="s">
        <v>1122</v>
      </c>
      <c r="L510" s="77">
        <v>1</v>
      </c>
      <c r="M510" s="77" t="s">
        <v>1123</v>
      </c>
      <c r="N510" s="88">
        <v>107</v>
      </c>
      <c r="O510" s="77" t="s">
        <v>159</v>
      </c>
      <c r="P510" s="77"/>
      <c r="Q510" s="31"/>
      <c r="R510" s="63"/>
    </row>
    <row r="511" spans="1:18" ht="39.75" hidden="1" customHeight="1" x14ac:dyDescent="0.25">
      <c r="A511" s="78">
        <f>IF(B511="","",COUNTA($B$7:B510))</f>
        <v>504</v>
      </c>
      <c r="B511" s="128">
        <v>46139</v>
      </c>
      <c r="C511" s="77" t="s">
        <v>208</v>
      </c>
      <c r="D511" s="77" t="s">
        <v>1124</v>
      </c>
      <c r="E511" s="110" t="s">
        <v>1120</v>
      </c>
      <c r="F511" s="77" t="s">
        <v>118</v>
      </c>
      <c r="G511" s="110" t="s">
        <v>1125</v>
      </c>
      <c r="H511" s="131" t="s">
        <v>118</v>
      </c>
      <c r="I511" s="86" t="str">
        <f t="shared" si="14"/>
        <v>LENC</v>
      </c>
      <c r="J511" s="86" t="str">
        <f t="shared" si="15"/>
        <v>26</v>
      </c>
      <c r="K511" s="77" t="s">
        <v>1122</v>
      </c>
      <c r="L511" s="77">
        <v>1</v>
      </c>
      <c r="M511" s="77" t="s">
        <v>1123</v>
      </c>
      <c r="N511" s="88">
        <v>107</v>
      </c>
      <c r="O511" s="77" t="s">
        <v>159</v>
      </c>
      <c r="P511" s="77"/>
      <c r="Q511" s="31"/>
      <c r="R511" s="63"/>
    </row>
    <row r="512" spans="1:18" ht="39.75" hidden="1" customHeight="1" x14ac:dyDescent="0.25">
      <c r="A512" s="78">
        <f>IF(B512="","",COUNTA($B$7:B511))</f>
        <v>505</v>
      </c>
      <c r="B512" s="128">
        <v>46139</v>
      </c>
      <c r="C512" s="77" t="s">
        <v>208</v>
      </c>
      <c r="D512" s="77" t="s">
        <v>1126</v>
      </c>
      <c r="E512" s="110" t="s">
        <v>1120</v>
      </c>
      <c r="F512" s="77" t="s">
        <v>118</v>
      </c>
      <c r="G512" s="110" t="s">
        <v>1127</v>
      </c>
      <c r="H512" s="131" t="s">
        <v>118</v>
      </c>
      <c r="I512" s="86" t="str">
        <f t="shared" si="14"/>
        <v>LENC</v>
      </c>
      <c r="J512" s="86" t="str">
        <f t="shared" si="15"/>
        <v>26</v>
      </c>
      <c r="K512" s="77" t="s">
        <v>1122</v>
      </c>
      <c r="L512" s="77">
        <v>1</v>
      </c>
      <c r="M512" s="77" t="s">
        <v>1123</v>
      </c>
      <c r="N512" s="88">
        <v>107</v>
      </c>
      <c r="O512" s="77" t="s">
        <v>159</v>
      </c>
      <c r="P512" s="77"/>
      <c r="Q512" s="31"/>
      <c r="R512" s="63"/>
    </row>
    <row r="513" spans="1:18" ht="39.75" hidden="1" customHeight="1" x14ac:dyDescent="0.25">
      <c r="A513" s="78">
        <f>IF(B513="","",COUNTA($B$7:B512))</f>
        <v>506</v>
      </c>
      <c r="B513" s="85">
        <v>46149</v>
      </c>
      <c r="C513" s="77" t="s">
        <v>680</v>
      </c>
      <c r="D513" s="77" t="s">
        <v>1128</v>
      </c>
      <c r="E513" s="77" t="s">
        <v>69</v>
      </c>
      <c r="F513" s="77" t="s">
        <v>118</v>
      </c>
      <c r="G513" s="77" t="s">
        <v>69</v>
      </c>
      <c r="H513" s="131" t="s">
        <v>118</v>
      </c>
      <c r="I513" s="86" t="str">
        <f t="shared" si="14"/>
        <v>LENC</v>
      </c>
      <c r="J513" s="86" t="str">
        <f t="shared" si="15"/>
        <v>26</v>
      </c>
      <c r="K513" s="77" t="s">
        <v>69</v>
      </c>
      <c r="L513" s="77">
        <v>1</v>
      </c>
      <c r="M513" s="77" t="s">
        <v>69</v>
      </c>
      <c r="N513" s="88" t="s">
        <v>203</v>
      </c>
      <c r="O513" s="77" t="s">
        <v>121</v>
      </c>
      <c r="P513" s="77"/>
      <c r="Q513" s="31"/>
      <c r="R513" s="63"/>
    </row>
    <row r="514" spans="1:18" ht="39.75" hidden="1" customHeight="1" x14ac:dyDescent="0.25">
      <c r="A514" s="78">
        <f>IF(B514="","",COUNTA($B$7:B513))</f>
        <v>507</v>
      </c>
      <c r="B514" s="85">
        <v>46149</v>
      </c>
      <c r="C514" s="77" t="s">
        <v>632</v>
      </c>
      <c r="D514" s="77" t="s">
        <v>1129</v>
      </c>
      <c r="E514" s="77" t="s">
        <v>632</v>
      </c>
      <c r="F514" s="77" t="s">
        <v>118</v>
      </c>
      <c r="G514" s="77" t="s">
        <v>69</v>
      </c>
      <c r="H514" s="131" t="s">
        <v>118</v>
      </c>
      <c r="I514" s="86" t="str">
        <f t="shared" si="14"/>
        <v>LENC</v>
      </c>
      <c r="J514" s="86" t="str">
        <f t="shared" si="15"/>
        <v>26</v>
      </c>
      <c r="K514" s="77" t="s">
        <v>69</v>
      </c>
      <c r="L514" s="77">
        <v>1</v>
      </c>
      <c r="M514" s="77" t="s">
        <v>69</v>
      </c>
      <c r="N514" s="88" t="s">
        <v>166</v>
      </c>
      <c r="O514" s="77" t="s">
        <v>121</v>
      </c>
      <c r="P514" s="77"/>
      <c r="Q514" s="31"/>
      <c r="R514" s="63"/>
    </row>
    <row r="515" spans="1:18" ht="39.75" hidden="1" customHeight="1" x14ac:dyDescent="0.25">
      <c r="A515" s="78">
        <f>IF(B515="","",COUNTA($B$7:B514))</f>
        <v>508</v>
      </c>
      <c r="B515" s="85">
        <v>46149</v>
      </c>
      <c r="C515" s="77" t="s">
        <v>208</v>
      </c>
      <c r="D515" s="77" t="s">
        <v>1130</v>
      </c>
      <c r="E515" s="77" t="s">
        <v>69</v>
      </c>
      <c r="F515" s="77" t="s">
        <v>118</v>
      </c>
      <c r="G515" s="110" t="s">
        <v>1131</v>
      </c>
      <c r="H515" s="131" t="s">
        <v>118</v>
      </c>
      <c r="I515" s="86" t="str">
        <f t="shared" si="14"/>
        <v>LENC</v>
      </c>
      <c r="J515" s="86" t="str">
        <f t="shared" si="15"/>
        <v>26</v>
      </c>
      <c r="K515" s="77" t="s">
        <v>1132</v>
      </c>
      <c r="L515" s="77">
        <v>1</v>
      </c>
      <c r="M515" s="77" t="s">
        <v>1133</v>
      </c>
      <c r="N515" s="88" t="s">
        <v>432</v>
      </c>
      <c r="O515" s="77" t="s">
        <v>172</v>
      </c>
      <c r="P515" s="77"/>
      <c r="Q515" s="31"/>
      <c r="R515" s="63"/>
    </row>
    <row r="516" spans="1:18" ht="39.75" hidden="1" customHeight="1" x14ac:dyDescent="0.25">
      <c r="A516" s="78">
        <f>IF(B516="","",COUNTA($B$7:B515))</f>
        <v>509</v>
      </c>
      <c r="B516" s="85">
        <v>46149</v>
      </c>
      <c r="C516" s="77" t="s">
        <v>115</v>
      </c>
      <c r="D516" s="77" t="s">
        <v>1134</v>
      </c>
      <c r="E516" s="77" t="s">
        <v>839</v>
      </c>
      <c r="F516" s="77" t="s">
        <v>118</v>
      </c>
      <c r="G516" s="77">
        <v>2</v>
      </c>
      <c r="H516" s="131" t="s">
        <v>118</v>
      </c>
      <c r="I516" s="86" t="str">
        <f t="shared" si="14"/>
        <v>LENC</v>
      </c>
      <c r="J516" s="86" t="str">
        <f t="shared" si="15"/>
        <v>26</v>
      </c>
      <c r="K516" s="77" t="s">
        <v>851</v>
      </c>
      <c r="L516" s="77">
        <v>1</v>
      </c>
      <c r="M516" s="77" t="s">
        <v>852</v>
      </c>
      <c r="N516" s="88">
        <v>67</v>
      </c>
      <c r="O516" s="77" t="s">
        <v>159</v>
      </c>
      <c r="P516" s="77" t="s">
        <v>1135</v>
      </c>
      <c r="Q516" s="31"/>
      <c r="R516" s="63"/>
    </row>
    <row r="517" spans="1:18" ht="39.75" hidden="1" customHeight="1" x14ac:dyDescent="0.25">
      <c r="A517" s="78">
        <f>IF(B517="","",COUNTA($B$7:B516))</f>
        <v>510</v>
      </c>
      <c r="B517" s="85">
        <v>46149</v>
      </c>
      <c r="C517" s="77" t="s">
        <v>122</v>
      </c>
      <c r="D517" s="77" t="s">
        <v>248</v>
      </c>
      <c r="E517" s="77" t="s">
        <v>1136</v>
      </c>
      <c r="F517" s="77" t="s">
        <v>118</v>
      </c>
      <c r="G517" s="77">
        <v>20636</v>
      </c>
      <c r="H517" s="131" t="s">
        <v>118</v>
      </c>
      <c r="I517" s="86" t="str">
        <f t="shared" si="14"/>
        <v>LENC</v>
      </c>
      <c r="J517" s="86" t="str">
        <f t="shared" si="15"/>
        <v>26</v>
      </c>
      <c r="K517" s="77" t="s">
        <v>1137</v>
      </c>
      <c r="L517" s="77">
        <v>1</v>
      </c>
      <c r="M517" s="77" t="s">
        <v>1138</v>
      </c>
      <c r="N517" s="88" t="s">
        <v>137</v>
      </c>
      <c r="O517" s="77" t="s">
        <v>121</v>
      </c>
      <c r="P517" s="77"/>
      <c r="Q517" s="31"/>
      <c r="R517" s="63"/>
    </row>
    <row r="518" spans="1:18" ht="39.75" hidden="1" customHeight="1" x14ac:dyDescent="0.25">
      <c r="A518" s="78">
        <f>IF(B518="","",COUNTA($B$7:B517))</f>
        <v>511</v>
      </c>
      <c r="B518" s="85">
        <v>46149</v>
      </c>
      <c r="C518" s="77" t="s">
        <v>122</v>
      </c>
      <c r="D518" s="77" t="s">
        <v>1139</v>
      </c>
      <c r="E518" s="77" t="s">
        <v>1136</v>
      </c>
      <c r="F518" s="77" t="s">
        <v>118</v>
      </c>
      <c r="G518" s="77">
        <v>20631</v>
      </c>
      <c r="H518" s="131" t="s">
        <v>118</v>
      </c>
      <c r="I518" s="86" t="str">
        <f t="shared" si="14"/>
        <v>LENC</v>
      </c>
      <c r="J518" s="86" t="str">
        <f t="shared" si="15"/>
        <v>26</v>
      </c>
      <c r="K518" s="77" t="s">
        <v>1137</v>
      </c>
      <c r="L518" s="77">
        <v>1</v>
      </c>
      <c r="M518" s="77" t="s">
        <v>1138</v>
      </c>
      <c r="N518" s="88" t="s">
        <v>137</v>
      </c>
      <c r="O518" s="77" t="s">
        <v>121</v>
      </c>
      <c r="P518" s="77"/>
      <c r="Q518" s="31"/>
      <c r="R518" s="63"/>
    </row>
    <row r="519" spans="1:18" ht="39.75" hidden="1" customHeight="1" x14ac:dyDescent="0.25">
      <c r="A519" s="78">
        <f>IF(B519="","",COUNTA($B$7:B518))</f>
        <v>512</v>
      </c>
      <c r="B519" s="85">
        <v>46149</v>
      </c>
      <c r="C519" s="77" t="s">
        <v>122</v>
      </c>
      <c r="D519" s="77" t="s">
        <v>1140</v>
      </c>
      <c r="E519" s="77" t="s">
        <v>1136</v>
      </c>
      <c r="F519" s="77" t="s">
        <v>118</v>
      </c>
      <c r="G519" s="77">
        <v>20625</v>
      </c>
      <c r="H519" s="131" t="s">
        <v>118</v>
      </c>
      <c r="I519" s="86" t="str">
        <f t="shared" si="14"/>
        <v>LENC</v>
      </c>
      <c r="J519" s="86" t="str">
        <f t="shared" si="15"/>
        <v>26</v>
      </c>
      <c r="K519" s="77" t="s">
        <v>1137</v>
      </c>
      <c r="L519" s="77">
        <v>1</v>
      </c>
      <c r="M519" s="77" t="s">
        <v>1138</v>
      </c>
      <c r="N519" s="88" t="s">
        <v>137</v>
      </c>
      <c r="O519" s="77" t="s">
        <v>121</v>
      </c>
      <c r="P519" s="77"/>
      <c r="Q519" s="31"/>
      <c r="R519" s="63"/>
    </row>
    <row r="520" spans="1:18" ht="39.75" hidden="1" customHeight="1" x14ac:dyDescent="0.25">
      <c r="A520" s="78">
        <f>IF(B520="","",COUNTA($B$7:B519))</f>
        <v>513</v>
      </c>
      <c r="B520" s="85">
        <v>46149</v>
      </c>
      <c r="C520" s="77" t="s">
        <v>122</v>
      </c>
      <c r="D520" s="77" t="s">
        <v>1141</v>
      </c>
      <c r="E520" s="77" t="s">
        <v>1136</v>
      </c>
      <c r="F520" s="77" t="s">
        <v>118</v>
      </c>
      <c r="G520" s="77">
        <v>20628</v>
      </c>
      <c r="H520" s="131" t="s">
        <v>118</v>
      </c>
      <c r="I520" s="86" t="str">
        <f t="shared" si="14"/>
        <v>LENC</v>
      </c>
      <c r="J520" s="86" t="str">
        <f t="shared" si="15"/>
        <v>26</v>
      </c>
      <c r="K520" s="77" t="s">
        <v>1137</v>
      </c>
      <c r="L520" s="77">
        <v>1</v>
      </c>
      <c r="M520" s="77" t="s">
        <v>1138</v>
      </c>
      <c r="N520" s="88" t="s">
        <v>137</v>
      </c>
      <c r="O520" s="77" t="s">
        <v>121</v>
      </c>
      <c r="P520" s="77"/>
      <c r="Q520" s="31"/>
      <c r="R520" s="63"/>
    </row>
    <row r="521" spans="1:18" ht="39.75" hidden="1" customHeight="1" x14ac:dyDescent="0.25">
      <c r="A521" s="78">
        <f>IF(B521="","",COUNTA($B$7:B520))</f>
        <v>514</v>
      </c>
      <c r="B521" s="85">
        <v>46150</v>
      </c>
      <c r="C521" s="77" t="s">
        <v>338</v>
      </c>
      <c r="D521" s="77" t="s">
        <v>1142</v>
      </c>
      <c r="E521" s="77" t="s">
        <v>1143</v>
      </c>
      <c r="F521" s="77" t="s">
        <v>118</v>
      </c>
      <c r="G521" s="110" t="s">
        <v>69</v>
      </c>
      <c r="H521" s="131" t="s">
        <v>118</v>
      </c>
      <c r="I521" s="86" t="str">
        <f t="shared" ref="I521:I584" si="16">IF(B521="","","LENC")</f>
        <v>LENC</v>
      </c>
      <c r="J521" s="86" t="str">
        <f t="shared" ref="J521:J584" si="17">IF(B521="","",TEXT(B521,"yy"))</f>
        <v>26</v>
      </c>
      <c r="K521" s="77" t="s">
        <v>1144</v>
      </c>
      <c r="L521" s="77">
        <v>1</v>
      </c>
      <c r="M521" s="77" t="s">
        <v>1145</v>
      </c>
      <c r="N521" s="88">
        <v>88</v>
      </c>
      <c r="O521" s="77" t="s">
        <v>159</v>
      </c>
      <c r="P521" s="77"/>
      <c r="Q521" s="31"/>
      <c r="R521" s="63"/>
    </row>
    <row r="522" spans="1:18" ht="39.75" hidden="1" customHeight="1" x14ac:dyDescent="0.25">
      <c r="A522" s="78">
        <f>IF(B522="","",COUNTA($B$7:B521))</f>
        <v>515</v>
      </c>
      <c r="B522" s="85">
        <v>46150</v>
      </c>
      <c r="C522" s="77" t="s">
        <v>338</v>
      </c>
      <c r="D522" s="77" t="s">
        <v>1146</v>
      </c>
      <c r="E522" s="77" t="s">
        <v>923</v>
      </c>
      <c r="F522" s="77" t="s">
        <v>118</v>
      </c>
      <c r="G522" s="110" t="s">
        <v>1147</v>
      </c>
      <c r="H522" s="131" t="s">
        <v>118</v>
      </c>
      <c r="I522" s="86" t="str">
        <f t="shared" si="16"/>
        <v>LENC</v>
      </c>
      <c r="J522" s="86" t="str">
        <f t="shared" si="17"/>
        <v>26</v>
      </c>
      <c r="K522" s="77" t="s">
        <v>1148</v>
      </c>
      <c r="L522" s="77">
        <v>1</v>
      </c>
      <c r="M522" s="77" t="s">
        <v>1149</v>
      </c>
      <c r="N522" s="88">
        <v>88</v>
      </c>
      <c r="O522" s="77" t="s">
        <v>159</v>
      </c>
      <c r="P522" s="77"/>
      <c r="Q522" s="31"/>
      <c r="R522" s="63"/>
    </row>
    <row r="523" spans="1:18" ht="39.75" hidden="1" customHeight="1" x14ac:dyDescent="0.25">
      <c r="A523" s="78">
        <f>IF(B523="","",COUNTA($B$7:B522))</f>
        <v>516</v>
      </c>
      <c r="B523" s="85">
        <v>46150</v>
      </c>
      <c r="C523" s="77" t="s">
        <v>122</v>
      </c>
      <c r="D523" s="77" t="s">
        <v>1150</v>
      </c>
      <c r="E523" s="77" t="s">
        <v>1151</v>
      </c>
      <c r="F523" s="77" t="s">
        <v>118</v>
      </c>
      <c r="G523" s="77">
        <v>20676</v>
      </c>
      <c r="H523" s="131" t="s">
        <v>118</v>
      </c>
      <c r="I523" s="86" t="str">
        <f t="shared" si="16"/>
        <v>LENC</v>
      </c>
      <c r="J523" s="86" t="str">
        <f t="shared" si="17"/>
        <v>26</v>
      </c>
      <c r="K523" s="77" t="s">
        <v>1152</v>
      </c>
      <c r="L523" s="77">
        <v>1</v>
      </c>
      <c r="M523" s="77" t="s">
        <v>1153</v>
      </c>
      <c r="N523" s="88" t="s">
        <v>132</v>
      </c>
      <c r="O523" s="77" t="s">
        <v>126</v>
      </c>
      <c r="P523" s="77"/>
      <c r="Q523" s="31"/>
      <c r="R523" s="63"/>
    </row>
    <row r="524" spans="1:18" ht="39.75" hidden="1" customHeight="1" x14ac:dyDescent="0.25">
      <c r="A524" s="78">
        <f>IF(B524="","",COUNTA($B$7:B523))</f>
        <v>517</v>
      </c>
      <c r="B524" s="85">
        <v>46153</v>
      </c>
      <c r="C524" s="77" t="s">
        <v>138</v>
      </c>
      <c r="D524" s="77" t="s">
        <v>1154</v>
      </c>
      <c r="E524" s="77" t="s">
        <v>1155</v>
      </c>
      <c r="F524" s="77" t="s">
        <v>118</v>
      </c>
      <c r="G524" s="77" t="s">
        <v>1156</v>
      </c>
      <c r="H524" s="131" t="s">
        <v>118</v>
      </c>
      <c r="I524" s="86" t="str">
        <f t="shared" si="16"/>
        <v>LENC</v>
      </c>
      <c r="J524" s="86" t="str">
        <f t="shared" si="17"/>
        <v>26</v>
      </c>
      <c r="K524" s="77" t="s">
        <v>1157</v>
      </c>
      <c r="L524" s="77">
        <v>1</v>
      </c>
      <c r="M524" s="77" t="s">
        <v>1158</v>
      </c>
      <c r="N524" s="88" t="s">
        <v>559</v>
      </c>
      <c r="O524" s="77" t="s">
        <v>126</v>
      </c>
      <c r="P524" s="77"/>
      <c r="Q524" s="31"/>
      <c r="R524" s="63"/>
    </row>
    <row r="525" spans="1:18" ht="39.75" hidden="1" customHeight="1" x14ac:dyDescent="0.25">
      <c r="A525" s="78">
        <f>IF(B525="","",COUNTA($B$7:B524))</f>
        <v>518</v>
      </c>
      <c r="B525" s="85">
        <v>46153</v>
      </c>
      <c r="C525" s="77" t="s">
        <v>138</v>
      </c>
      <c r="D525" s="77" t="s">
        <v>1159</v>
      </c>
      <c r="E525" s="77" t="s">
        <v>1155</v>
      </c>
      <c r="F525" s="77" t="s">
        <v>118</v>
      </c>
      <c r="G525" s="77" t="s">
        <v>1160</v>
      </c>
      <c r="H525" s="131" t="s">
        <v>118</v>
      </c>
      <c r="I525" s="86" t="str">
        <f t="shared" si="16"/>
        <v>LENC</v>
      </c>
      <c r="J525" s="86" t="str">
        <f t="shared" si="17"/>
        <v>26</v>
      </c>
      <c r="K525" s="77" t="s">
        <v>1157</v>
      </c>
      <c r="L525" s="77">
        <v>1</v>
      </c>
      <c r="M525" s="77" t="s">
        <v>1161</v>
      </c>
      <c r="N525" s="88" t="s">
        <v>270</v>
      </c>
      <c r="O525" s="77" t="s">
        <v>126</v>
      </c>
      <c r="P525" s="77"/>
      <c r="Q525" s="31"/>
      <c r="R525" s="63"/>
    </row>
    <row r="526" spans="1:18" ht="39.75" hidden="1" customHeight="1" x14ac:dyDescent="0.25">
      <c r="A526" s="78">
        <f>IF(B526="","",COUNTA($B$7:B525))</f>
        <v>519</v>
      </c>
      <c r="B526" s="85">
        <v>46153</v>
      </c>
      <c r="C526" s="77" t="s">
        <v>138</v>
      </c>
      <c r="D526" s="77" t="s">
        <v>1159</v>
      </c>
      <c r="E526" s="77" t="s">
        <v>1155</v>
      </c>
      <c r="F526" s="77" t="s">
        <v>118</v>
      </c>
      <c r="G526" s="77" t="s">
        <v>1162</v>
      </c>
      <c r="H526" s="131" t="s">
        <v>118</v>
      </c>
      <c r="I526" s="86" t="str">
        <f t="shared" si="16"/>
        <v>LENC</v>
      </c>
      <c r="J526" s="86" t="str">
        <f t="shared" si="17"/>
        <v>26</v>
      </c>
      <c r="K526" s="77" t="s">
        <v>1157</v>
      </c>
      <c r="L526" s="77">
        <v>1</v>
      </c>
      <c r="M526" s="77" t="s">
        <v>1161</v>
      </c>
      <c r="N526" s="88" t="s">
        <v>270</v>
      </c>
      <c r="O526" s="77" t="s">
        <v>126</v>
      </c>
      <c r="P526" s="77"/>
      <c r="Q526" s="31"/>
      <c r="R526" s="63"/>
    </row>
    <row r="527" spans="1:18" ht="39.75" hidden="1" customHeight="1" x14ac:dyDescent="0.25">
      <c r="A527" s="78">
        <f>IF(B527="","",COUNTA($B$7:B526))</f>
        <v>520</v>
      </c>
      <c r="B527" s="85">
        <v>46153</v>
      </c>
      <c r="C527" s="77" t="s">
        <v>138</v>
      </c>
      <c r="D527" s="77" t="s">
        <v>1163</v>
      </c>
      <c r="E527" s="77" t="s">
        <v>1155</v>
      </c>
      <c r="F527" s="77" t="s">
        <v>118</v>
      </c>
      <c r="G527" s="77" t="s">
        <v>1164</v>
      </c>
      <c r="H527" s="131" t="s">
        <v>118</v>
      </c>
      <c r="I527" s="86" t="str">
        <f t="shared" si="16"/>
        <v>LENC</v>
      </c>
      <c r="J527" s="86" t="str">
        <f t="shared" si="17"/>
        <v>26</v>
      </c>
      <c r="K527" s="77" t="s">
        <v>1157</v>
      </c>
      <c r="L527" s="77">
        <v>1</v>
      </c>
      <c r="M527" s="77" t="s">
        <v>1161</v>
      </c>
      <c r="N527" s="88" t="s">
        <v>137</v>
      </c>
      <c r="O527" s="77" t="s">
        <v>121</v>
      </c>
      <c r="P527" s="77"/>
      <c r="Q527" s="31"/>
      <c r="R527" s="63"/>
    </row>
    <row r="528" spans="1:18" ht="39.75" hidden="1" customHeight="1" x14ac:dyDescent="0.25">
      <c r="A528" s="78">
        <f>IF(B528="","",COUNTA($B$7:B527))</f>
        <v>521</v>
      </c>
      <c r="B528" s="85">
        <v>46153</v>
      </c>
      <c r="C528" s="77" t="s">
        <v>1165</v>
      </c>
      <c r="D528" s="77" t="s">
        <v>1166</v>
      </c>
      <c r="E528" s="77" t="s">
        <v>1167</v>
      </c>
      <c r="F528" s="77" t="s">
        <v>118</v>
      </c>
      <c r="G528" s="110" t="s">
        <v>1168</v>
      </c>
      <c r="H528" s="131" t="s">
        <v>118</v>
      </c>
      <c r="I528" s="86" t="str">
        <f t="shared" si="16"/>
        <v>LENC</v>
      </c>
      <c r="J528" s="86" t="str">
        <f t="shared" si="17"/>
        <v>26</v>
      </c>
      <c r="K528" s="77" t="s">
        <v>303</v>
      </c>
      <c r="L528" s="77">
        <v>1</v>
      </c>
      <c r="M528" s="77" t="s">
        <v>1169</v>
      </c>
      <c r="N528" s="88" t="s">
        <v>166</v>
      </c>
      <c r="O528" s="77" t="s">
        <v>121</v>
      </c>
      <c r="P528" s="77"/>
      <c r="Q528" s="31"/>
      <c r="R528" s="63"/>
    </row>
    <row r="529" spans="1:18" ht="39.75" hidden="1" customHeight="1" x14ac:dyDescent="0.25">
      <c r="A529" s="78">
        <f>IF(B529="","",COUNTA($B$7:B528))</f>
        <v>522</v>
      </c>
      <c r="B529" s="85">
        <v>46153</v>
      </c>
      <c r="C529" s="77" t="s">
        <v>1165</v>
      </c>
      <c r="D529" s="77" t="s">
        <v>1166</v>
      </c>
      <c r="E529" s="77" t="s">
        <v>1167</v>
      </c>
      <c r="F529" s="77" t="s">
        <v>118</v>
      </c>
      <c r="G529" s="110" t="s">
        <v>1170</v>
      </c>
      <c r="H529" s="131" t="s">
        <v>118</v>
      </c>
      <c r="I529" s="86" t="str">
        <f t="shared" si="16"/>
        <v>LENC</v>
      </c>
      <c r="J529" s="86" t="str">
        <f t="shared" si="17"/>
        <v>26</v>
      </c>
      <c r="K529" s="77" t="s">
        <v>303</v>
      </c>
      <c r="L529" s="77">
        <v>1</v>
      </c>
      <c r="M529" s="77" t="s">
        <v>1169</v>
      </c>
      <c r="N529" s="88" t="s">
        <v>166</v>
      </c>
      <c r="O529" s="77" t="s">
        <v>121</v>
      </c>
      <c r="P529" s="77"/>
      <c r="Q529" s="31"/>
      <c r="R529" s="63"/>
    </row>
    <row r="530" spans="1:18" ht="39.75" hidden="1" customHeight="1" x14ac:dyDescent="0.25">
      <c r="A530" s="78">
        <f>IF(B530="","",COUNTA($B$7:B529))</f>
        <v>523</v>
      </c>
      <c r="B530" s="85">
        <v>46153</v>
      </c>
      <c r="C530" s="77" t="s">
        <v>1165</v>
      </c>
      <c r="D530" s="77" t="s">
        <v>1166</v>
      </c>
      <c r="E530" s="77" t="s">
        <v>1167</v>
      </c>
      <c r="F530" s="77" t="s">
        <v>118</v>
      </c>
      <c r="G530" s="110" t="s">
        <v>1171</v>
      </c>
      <c r="H530" s="131" t="s">
        <v>118</v>
      </c>
      <c r="I530" s="86" t="str">
        <f t="shared" si="16"/>
        <v>LENC</v>
      </c>
      <c r="J530" s="86" t="str">
        <f t="shared" si="17"/>
        <v>26</v>
      </c>
      <c r="K530" s="77" t="s">
        <v>303</v>
      </c>
      <c r="L530" s="77">
        <v>1</v>
      </c>
      <c r="M530" s="77" t="s">
        <v>1169</v>
      </c>
      <c r="N530" s="88" t="s">
        <v>166</v>
      </c>
      <c r="O530" s="77" t="s">
        <v>121</v>
      </c>
      <c r="P530" s="77"/>
      <c r="Q530" s="31"/>
      <c r="R530" s="63"/>
    </row>
    <row r="531" spans="1:18" ht="39.75" hidden="1" customHeight="1" x14ac:dyDescent="0.25">
      <c r="A531" s="78">
        <f>IF(B531="","",COUNTA($B$7:B530))</f>
        <v>524</v>
      </c>
      <c r="B531" s="85">
        <v>46154</v>
      </c>
      <c r="C531" s="77" t="s">
        <v>115</v>
      </c>
      <c r="D531" s="77" t="s">
        <v>1172</v>
      </c>
      <c r="E531" s="77" t="s">
        <v>839</v>
      </c>
      <c r="F531" s="77" t="s">
        <v>118</v>
      </c>
      <c r="G531" s="77">
        <v>2</v>
      </c>
      <c r="H531" s="131" t="s">
        <v>118</v>
      </c>
      <c r="I531" s="86" t="str">
        <f t="shared" si="16"/>
        <v>LENC</v>
      </c>
      <c r="J531" s="86" t="str">
        <f t="shared" si="17"/>
        <v>26</v>
      </c>
      <c r="K531" s="77" t="s">
        <v>851</v>
      </c>
      <c r="L531" s="77">
        <v>1</v>
      </c>
      <c r="M531" s="77" t="s">
        <v>852</v>
      </c>
      <c r="N531" s="88">
        <v>70</v>
      </c>
      <c r="O531" s="77" t="s">
        <v>159</v>
      </c>
      <c r="P531" s="77"/>
      <c r="Q531" s="31"/>
      <c r="R531" s="63"/>
    </row>
    <row r="532" spans="1:18" ht="39.75" hidden="1" customHeight="1" x14ac:dyDescent="0.25">
      <c r="A532" s="78">
        <f>IF(B532="","",COUNTA($B$7:B531))</f>
        <v>525</v>
      </c>
      <c r="B532" s="85">
        <v>46154</v>
      </c>
      <c r="C532" s="77" t="s">
        <v>204</v>
      </c>
      <c r="D532" s="77" t="s">
        <v>1173</v>
      </c>
      <c r="E532" s="77" t="s">
        <v>1174</v>
      </c>
      <c r="F532" s="77" t="s">
        <v>118</v>
      </c>
      <c r="G532" s="77" t="s">
        <v>1175</v>
      </c>
      <c r="H532" s="131" t="s">
        <v>118</v>
      </c>
      <c r="I532" s="86" t="str">
        <f t="shared" si="16"/>
        <v>LENC</v>
      </c>
      <c r="J532" s="86" t="str">
        <f t="shared" si="17"/>
        <v>26</v>
      </c>
      <c r="K532" s="77" t="s">
        <v>1176</v>
      </c>
      <c r="L532" s="77">
        <v>2</v>
      </c>
      <c r="M532" s="77" t="s">
        <v>1177</v>
      </c>
      <c r="N532" s="88" t="s">
        <v>270</v>
      </c>
      <c r="O532" s="77" t="s">
        <v>126</v>
      </c>
      <c r="P532" s="77"/>
      <c r="Q532" s="31"/>
      <c r="R532" s="63"/>
    </row>
    <row r="533" spans="1:18" ht="39.75" hidden="1" customHeight="1" x14ac:dyDescent="0.25">
      <c r="A533" s="78">
        <f>IF(B533="","",COUNTA($B$7:B532))</f>
        <v>526</v>
      </c>
      <c r="B533" s="85">
        <v>46154</v>
      </c>
      <c r="C533" s="77" t="s">
        <v>632</v>
      </c>
      <c r="D533" s="77" t="s">
        <v>1178</v>
      </c>
      <c r="E533" s="77" t="s">
        <v>633</v>
      </c>
      <c r="F533" s="77" t="s">
        <v>118</v>
      </c>
      <c r="G533" s="77">
        <v>21502</v>
      </c>
      <c r="H533" s="131" t="s">
        <v>118</v>
      </c>
      <c r="I533" s="86" t="str">
        <f t="shared" si="16"/>
        <v>LENC</v>
      </c>
      <c r="J533" s="86" t="str">
        <f t="shared" si="17"/>
        <v>26</v>
      </c>
      <c r="K533" s="77" t="s">
        <v>69</v>
      </c>
      <c r="L533" s="77">
        <v>1</v>
      </c>
      <c r="M533" s="77" t="s">
        <v>69</v>
      </c>
      <c r="N533" s="88" t="s">
        <v>1179</v>
      </c>
      <c r="O533" s="77" t="s">
        <v>126</v>
      </c>
      <c r="P533" s="77" t="s">
        <v>1180</v>
      </c>
      <c r="Q533" s="31"/>
      <c r="R533" s="63"/>
    </row>
    <row r="534" spans="1:18" ht="39.75" hidden="1" customHeight="1" x14ac:dyDescent="0.25">
      <c r="A534" s="78">
        <f>IF(B534="","",COUNTA($B$7:B533))</f>
        <v>527</v>
      </c>
      <c r="B534" s="85">
        <v>46154</v>
      </c>
      <c r="C534" s="77" t="s">
        <v>632</v>
      </c>
      <c r="D534" s="77" t="s">
        <v>1181</v>
      </c>
      <c r="E534" s="77" t="s">
        <v>633</v>
      </c>
      <c r="F534" s="77" t="s">
        <v>118</v>
      </c>
      <c r="G534" s="77">
        <v>21501</v>
      </c>
      <c r="H534" s="131" t="s">
        <v>118</v>
      </c>
      <c r="I534" s="86" t="str">
        <f t="shared" si="16"/>
        <v>LENC</v>
      </c>
      <c r="J534" s="86" t="str">
        <f t="shared" si="17"/>
        <v>26</v>
      </c>
      <c r="K534" s="77" t="s">
        <v>69</v>
      </c>
      <c r="L534" s="77">
        <v>1</v>
      </c>
      <c r="M534" s="77" t="s">
        <v>69</v>
      </c>
      <c r="N534" s="88">
        <v>78</v>
      </c>
      <c r="O534" s="77" t="s">
        <v>235</v>
      </c>
      <c r="P534" s="77" t="s">
        <v>1180</v>
      </c>
      <c r="Q534" s="31"/>
      <c r="R534" s="63"/>
    </row>
    <row r="535" spans="1:18" ht="39.75" hidden="1" customHeight="1" x14ac:dyDescent="0.25">
      <c r="A535" s="78">
        <f>IF(B535="","",COUNTA($B$7:B534))</f>
        <v>528</v>
      </c>
      <c r="B535" s="85">
        <v>46154</v>
      </c>
      <c r="C535" s="77" t="s">
        <v>632</v>
      </c>
      <c r="D535" s="77" t="s">
        <v>1182</v>
      </c>
      <c r="E535" s="77" t="s">
        <v>633</v>
      </c>
      <c r="F535" s="77" t="s">
        <v>118</v>
      </c>
      <c r="G535" s="77">
        <v>21499</v>
      </c>
      <c r="H535" s="131" t="s">
        <v>118</v>
      </c>
      <c r="I535" s="86" t="str">
        <f t="shared" si="16"/>
        <v>LENC</v>
      </c>
      <c r="J535" s="86" t="str">
        <f t="shared" si="17"/>
        <v>26</v>
      </c>
      <c r="K535" s="77" t="s">
        <v>69</v>
      </c>
      <c r="L535" s="77">
        <v>1</v>
      </c>
      <c r="M535" s="77" t="s">
        <v>69</v>
      </c>
      <c r="N535" s="88" t="s">
        <v>1179</v>
      </c>
      <c r="O535" s="77" t="s">
        <v>126</v>
      </c>
      <c r="P535" s="77"/>
      <c r="Q535" s="31"/>
      <c r="R535" s="63"/>
    </row>
    <row r="536" spans="1:18" ht="39.75" hidden="1" customHeight="1" x14ac:dyDescent="0.25">
      <c r="A536" s="78">
        <f>IF(B536="","",COUNTA($B$7:B535))</f>
        <v>529</v>
      </c>
      <c r="B536" s="85">
        <v>46154</v>
      </c>
      <c r="C536" s="77" t="s">
        <v>632</v>
      </c>
      <c r="D536" s="77" t="s">
        <v>1182</v>
      </c>
      <c r="E536" s="77" t="s">
        <v>633</v>
      </c>
      <c r="F536" s="77" t="s">
        <v>118</v>
      </c>
      <c r="G536" s="77">
        <v>21500</v>
      </c>
      <c r="H536" s="131" t="s">
        <v>118</v>
      </c>
      <c r="I536" s="86" t="str">
        <f t="shared" si="16"/>
        <v>LENC</v>
      </c>
      <c r="J536" s="86" t="str">
        <f t="shared" si="17"/>
        <v>26</v>
      </c>
      <c r="K536" s="77" t="s">
        <v>69</v>
      </c>
      <c r="L536" s="77">
        <v>1</v>
      </c>
      <c r="M536" s="77" t="s">
        <v>69</v>
      </c>
      <c r="N536" s="88"/>
      <c r="O536" s="77"/>
      <c r="P536" s="77"/>
      <c r="Q536" s="31"/>
      <c r="R536" s="63"/>
    </row>
    <row r="537" spans="1:18" ht="39.75" hidden="1" customHeight="1" x14ac:dyDescent="0.25">
      <c r="A537" s="78">
        <f>IF(B537="","",COUNTA($B$7:B536))</f>
        <v>530</v>
      </c>
      <c r="B537" s="85">
        <v>46153</v>
      </c>
      <c r="C537" s="77" t="s">
        <v>1011</v>
      </c>
      <c r="D537" s="77" t="s">
        <v>1183</v>
      </c>
      <c r="E537" s="77" t="s">
        <v>69</v>
      </c>
      <c r="F537" s="77" t="s">
        <v>118</v>
      </c>
      <c r="G537" s="77" t="s">
        <v>69</v>
      </c>
      <c r="H537" s="131" t="s">
        <v>118</v>
      </c>
      <c r="I537" s="86" t="str">
        <f t="shared" si="16"/>
        <v>LENC</v>
      </c>
      <c r="J537" s="86" t="str">
        <f t="shared" si="17"/>
        <v>26</v>
      </c>
      <c r="K537" s="77" t="s">
        <v>1184</v>
      </c>
      <c r="L537" s="77">
        <v>1</v>
      </c>
      <c r="M537" s="77" t="s">
        <v>69</v>
      </c>
      <c r="N537" s="88">
        <v>71</v>
      </c>
      <c r="O537" s="77" t="s">
        <v>159</v>
      </c>
      <c r="P537" s="77"/>
      <c r="Q537" s="31"/>
      <c r="R537" s="63"/>
    </row>
    <row r="538" spans="1:18" ht="39.75" hidden="1" customHeight="1" x14ac:dyDescent="0.25">
      <c r="A538" s="78">
        <f>IF(B538="","",COUNTA($B$7:B537))</f>
        <v>531</v>
      </c>
      <c r="B538" s="85">
        <v>46154</v>
      </c>
      <c r="C538" s="77" t="s">
        <v>115</v>
      </c>
      <c r="D538" s="77" t="s">
        <v>1185</v>
      </c>
      <c r="E538" s="77" t="s">
        <v>1186</v>
      </c>
      <c r="F538" s="77" t="s">
        <v>118</v>
      </c>
      <c r="G538" s="77" t="s">
        <v>1187</v>
      </c>
      <c r="H538" s="131" t="s">
        <v>118</v>
      </c>
      <c r="I538" s="86" t="str">
        <f t="shared" si="16"/>
        <v>LENC</v>
      </c>
      <c r="J538" s="86" t="str">
        <f t="shared" si="17"/>
        <v>26</v>
      </c>
      <c r="K538" s="77" t="s">
        <v>1188</v>
      </c>
      <c r="L538" s="77">
        <v>1</v>
      </c>
      <c r="M538" s="77" t="s">
        <v>1189</v>
      </c>
      <c r="N538" s="88">
        <v>93</v>
      </c>
      <c r="O538" s="77" t="s">
        <v>159</v>
      </c>
      <c r="P538" s="77"/>
      <c r="Q538" s="31"/>
      <c r="R538" s="63"/>
    </row>
    <row r="539" spans="1:18" ht="39.75" hidden="1" customHeight="1" x14ac:dyDescent="0.25">
      <c r="A539" s="78">
        <f>IF(B539="","",COUNTA($B$7:B538))</f>
        <v>532</v>
      </c>
      <c r="B539" s="85">
        <v>46154</v>
      </c>
      <c r="C539" s="77" t="s">
        <v>115</v>
      </c>
      <c r="D539" s="77" t="s">
        <v>1190</v>
      </c>
      <c r="E539" s="77" t="s">
        <v>1186</v>
      </c>
      <c r="F539" s="77" t="s">
        <v>118</v>
      </c>
      <c r="G539" s="77" t="s">
        <v>1191</v>
      </c>
      <c r="H539" s="131" t="s">
        <v>118</v>
      </c>
      <c r="I539" s="86" t="str">
        <f t="shared" si="16"/>
        <v>LENC</v>
      </c>
      <c r="J539" s="86" t="str">
        <f t="shared" si="17"/>
        <v>26</v>
      </c>
      <c r="K539" s="77" t="s">
        <v>1188</v>
      </c>
      <c r="L539" s="77">
        <v>1</v>
      </c>
      <c r="M539" s="77" t="s">
        <v>1189</v>
      </c>
      <c r="N539" s="88">
        <v>93</v>
      </c>
      <c r="O539" s="77" t="s">
        <v>159</v>
      </c>
      <c r="P539" s="77"/>
      <c r="Q539" s="31"/>
      <c r="R539" s="63"/>
    </row>
    <row r="540" spans="1:18" ht="39.75" hidden="1" customHeight="1" x14ac:dyDescent="0.25">
      <c r="A540" s="78">
        <f>IF(B540="","",COUNTA($B$7:B539))</f>
        <v>533</v>
      </c>
      <c r="B540" s="85">
        <v>46154</v>
      </c>
      <c r="C540" s="77" t="s">
        <v>115</v>
      </c>
      <c r="D540" s="77" t="s">
        <v>1049</v>
      </c>
      <c r="E540" s="77" t="s">
        <v>1186</v>
      </c>
      <c r="F540" s="77" t="s">
        <v>118</v>
      </c>
      <c r="G540" s="77" t="s">
        <v>1192</v>
      </c>
      <c r="H540" s="131" t="s">
        <v>118</v>
      </c>
      <c r="I540" s="86" t="str">
        <f t="shared" si="16"/>
        <v>LENC</v>
      </c>
      <c r="J540" s="86" t="str">
        <f t="shared" si="17"/>
        <v>26</v>
      </c>
      <c r="K540" s="77" t="s">
        <v>1188</v>
      </c>
      <c r="L540" s="77">
        <v>1</v>
      </c>
      <c r="M540" s="77" t="s">
        <v>1189</v>
      </c>
      <c r="N540" s="88">
        <v>93</v>
      </c>
      <c r="O540" s="77" t="s">
        <v>159</v>
      </c>
      <c r="P540" s="77"/>
      <c r="Q540" s="31"/>
      <c r="R540" s="63"/>
    </row>
    <row r="541" spans="1:18" ht="39.75" hidden="1" customHeight="1" x14ac:dyDescent="0.25">
      <c r="A541" s="78">
        <f>IF(B541="","",COUNTA($B$7:B540))</f>
        <v>534</v>
      </c>
      <c r="B541" s="85">
        <v>46154</v>
      </c>
      <c r="C541" s="77" t="s">
        <v>115</v>
      </c>
      <c r="D541" s="77" t="s">
        <v>1193</v>
      </c>
      <c r="E541" s="77" t="s">
        <v>1186</v>
      </c>
      <c r="F541" s="77" t="s">
        <v>118</v>
      </c>
      <c r="G541" s="77" t="s">
        <v>1194</v>
      </c>
      <c r="H541" s="131" t="s">
        <v>118</v>
      </c>
      <c r="I541" s="86" t="str">
        <f t="shared" si="16"/>
        <v>LENC</v>
      </c>
      <c r="J541" s="86" t="str">
        <f t="shared" si="17"/>
        <v>26</v>
      </c>
      <c r="K541" s="77" t="s">
        <v>1188</v>
      </c>
      <c r="L541" s="77">
        <v>1</v>
      </c>
      <c r="M541" s="77" t="s">
        <v>1189</v>
      </c>
      <c r="N541" s="88">
        <v>93</v>
      </c>
      <c r="O541" s="77" t="s">
        <v>159</v>
      </c>
      <c r="P541" s="77"/>
      <c r="Q541" s="31"/>
      <c r="R541" s="63"/>
    </row>
    <row r="542" spans="1:18" ht="39.75" hidden="1" customHeight="1" x14ac:dyDescent="0.25">
      <c r="A542" s="78">
        <f>IF(B542="","",COUNTA($B$7:B541))</f>
        <v>535</v>
      </c>
      <c r="B542" s="85">
        <v>46154</v>
      </c>
      <c r="C542" s="77" t="s">
        <v>115</v>
      </c>
      <c r="D542" s="77" t="s">
        <v>1195</v>
      </c>
      <c r="E542" s="77" t="s">
        <v>1186</v>
      </c>
      <c r="F542" s="77" t="s">
        <v>118</v>
      </c>
      <c r="G542" s="77" t="s">
        <v>1196</v>
      </c>
      <c r="H542" s="131" t="s">
        <v>118</v>
      </c>
      <c r="I542" s="86" t="str">
        <f t="shared" si="16"/>
        <v>LENC</v>
      </c>
      <c r="J542" s="86" t="str">
        <f t="shared" si="17"/>
        <v>26</v>
      </c>
      <c r="K542" s="77" t="s">
        <v>1188</v>
      </c>
      <c r="L542" s="77">
        <v>1</v>
      </c>
      <c r="M542" s="77" t="s">
        <v>1189</v>
      </c>
      <c r="N542" s="88">
        <v>93</v>
      </c>
      <c r="O542" s="77" t="s">
        <v>159</v>
      </c>
      <c r="P542" s="77"/>
      <c r="Q542" s="31"/>
      <c r="R542" s="63"/>
    </row>
    <row r="543" spans="1:18" ht="39.75" hidden="1" customHeight="1" x14ac:dyDescent="0.25">
      <c r="A543" s="78">
        <f>IF(B543="","",COUNTA($B$7:B542))</f>
        <v>536</v>
      </c>
      <c r="B543" s="85">
        <v>46154</v>
      </c>
      <c r="C543" s="77" t="s">
        <v>115</v>
      </c>
      <c r="D543" s="77" t="s">
        <v>1197</v>
      </c>
      <c r="E543" s="77" t="s">
        <v>1186</v>
      </c>
      <c r="F543" s="77" t="s">
        <v>118</v>
      </c>
      <c r="G543" s="77" t="s">
        <v>1198</v>
      </c>
      <c r="H543" s="131" t="s">
        <v>118</v>
      </c>
      <c r="I543" s="86" t="str">
        <f t="shared" si="16"/>
        <v>LENC</v>
      </c>
      <c r="J543" s="86" t="str">
        <f t="shared" si="17"/>
        <v>26</v>
      </c>
      <c r="K543" s="77" t="s">
        <v>1188</v>
      </c>
      <c r="L543" s="77">
        <v>1</v>
      </c>
      <c r="M543" s="77" t="s">
        <v>1189</v>
      </c>
      <c r="N543" s="88">
        <v>93</v>
      </c>
      <c r="O543" s="77" t="s">
        <v>159</v>
      </c>
      <c r="P543" s="77"/>
      <c r="Q543" s="31"/>
      <c r="R543" s="63"/>
    </row>
    <row r="544" spans="1:18" ht="39.75" hidden="1" customHeight="1" x14ac:dyDescent="0.25">
      <c r="A544" s="78">
        <f>IF(B544="","",COUNTA($B$7:B543))</f>
        <v>537</v>
      </c>
      <c r="B544" s="85">
        <v>46156</v>
      </c>
      <c r="C544" s="77" t="s">
        <v>122</v>
      </c>
      <c r="D544" s="77" t="s">
        <v>1199</v>
      </c>
      <c r="E544" s="77" t="s">
        <v>1200</v>
      </c>
      <c r="F544" s="77" t="s">
        <v>118</v>
      </c>
      <c r="G544" s="77">
        <v>20684</v>
      </c>
      <c r="H544" s="131" t="s">
        <v>118</v>
      </c>
      <c r="I544" s="86" t="str">
        <f t="shared" si="16"/>
        <v>LENC</v>
      </c>
      <c r="J544" s="86" t="str">
        <f t="shared" si="17"/>
        <v>26</v>
      </c>
      <c r="K544" s="77" t="s">
        <v>1201</v>
      </c>
      <c r="L544" s="77">
        <v>1</v>
      </c>
      <c r="M544" s="77" t="s">
        <v>1202</v>
      </c>
      <c r="N544" s="88" t="s">
        <v>432</v>
      </c>
      <c r="O544" s="77" t="s">
        <v>172</v>
      </c>
      <c r="P544" s="77"/>
      <c r="Q544" s="31"/>
      <c r="R544" s="63"/>
    </row>
    <row r="545" spans="1:18" ht="39.75" hidden="1" customHeight="1" x14ac:dyDescent="0.25">
      <c r="A545" s="78">
        <f>IF(B545="","",COUNTA($B$7:B544))</f>
        <v>538</v>
      </c>
      <c r="B545" s="85">
        <v>46156</v>
      </c>
      <c r="C545" s="77" t="s">
        <v>122</v>
      </c>
      <c r="D545" s="77" t="s">
        <v>1203</v>
      </c>
      <c r="E545" s="77" t="s">
        <v>69</v>
      </c>
      <c r="F545" s="77" t="s">
        <v>118</v>
      </c>
      <c r="G545" s="110" t="s">
        <v>1204</v>
      </c>
      <c r="H545" s="131" t="s">
        <v>118</v>
      </c>
      <c r="I545" s="86" t="str">
        <f t="shared" si="16"/>
        <v>LENC</v>
      </c>
      <c r="J545" s="86" t="str">
        <f t="shared" si="17"/>
        <v>26</v>
      </c>
      <c r="K545" s="77" t="s">
        <v>1205</v>
      </c>
      <c r="L545" s="77">
        <v>1</v>
      </c>
      <c r="M545" s="77" t="s">
        <v>1206</v>
      </c>
      <c r="N545" s="88" t="s">
        <v>711</v>
      </c>
      <c r="O545" s="77" t="s">
        <v>121</v>
      </c>
      <c r="P545" s="77"/>
      <c r="Q545" s="31"/>
      <c r="R545" s="63"/>
    </row>
    <row r="546" spans="1:18" ht="39.75" hidden="1" customHeight="1" x14ac:dyDescent="0.25">
      <c r="A546" s="78">
        <f>IF(B546="","",COUNTA($B$7:B545))</f>
        <v>539</v>
      </c>
      <c r="B546" s="85">
        <v>46156</v>
      </c>
      <c r="C546" s="77" t="s">
        <v>122</v>
      </c>
      <c r="D546" s="77" t="s">
        <v>1207</v>
      </c>
      <c r="E546" s="77" t="s">
        <v>69</v>
      </c>
      <c r="F546" s="77" t="s">
        <v>118</v>
      </c>
      <c r="G546" s="110" t="s">
        <v>1208</v>
      </c>
      <c r="H546" s="131" t="s">
        <v>118</v>
      </c>
      <c r="I546" s="86" t="str">
        <f t="shared" si="16"/>
        <v>LENC</v>
      </c>
      <c r="J546" s="86" t="str">
        <f t="shared" si="17"/>
        <v>26</v>
      </c>
      <c r="K546" s="77" t="s">
        <v>1205</v>
      </c>
      <c r="L546" s="77">
        <v>1</v>
      </c>
      <c r="M546" s="77" t="s">
        <v>1206</v>
      </c>
      <c r="N546" s="88" t="s">
        <v>711</v>
      </c>
      <c r="O546" s="77" t="s">
        <v>121</v>
      </c>
      <c r="P546" s="77"/>
      <c r="Q546" s="31"/>
      <c r="R546" s="63"/>
    </row>
    <row r="547" spans="1:18" ht="39.75" hidden="1" customHeight="1" x14ac:dyDescent="0.25">
      <c r="A547" s="78">
        <f>IF(B547="","",COUNTA($B$7:B546))</f>
        <v>540</v>
      </c>
      <c r="B547" s="85">
        <v>46156</v>
      </c>
      <c r="C547" s="77" t="s">
        <v>122</v>
      </c>
      <c r="D547" s="77" t="s">
        <v>1209</v>
      </c>
      <c r="E547" s="77" t="s">
        <v>1210</v>
      </c>
      <c r="F547" s="77" t="s">
        <v>118</v>
      </c>
      <c r="G547" s="110" t="s">
        <v>1211</v>
      </c>
      <c r="H547" s="131" t="s">
        <v>118</v>
      </c>
      <c r="I547" s="86" t="str">
        <f t="shared" si="16"/>
        <v>LENC</v>
      </c>
      <c r="J547" s="86" t="str">
        <f t="shared" si="17"/>
        <v>26</v>
      </c>
      <c r="K547" s="77" t="s">
        <v>1205</v>
      </c>
      <c r="L547" s="77">
        <v>1</v>
      </c>
      <c r="M547" s="77" t="s">
        <v>1206</v>
      </c>
      <c r="N547" s="88" t="s">
        <v>711</v>
      </c>
      <c r="O547" s="77" t="s">
        <v>121</v>
      </c>
      <c r="P547" s="77"/>
      <c r="Q547" s="31"/>
      <c r="R547" s="63"/>
    </row>
    <row r="548" spans="1:18" ht="39.75" hidden="1" customHeight="1" x14ac:dyDescent="0.25">
      <c r="A548" s="78">
        <f>IF(B548="","",COUNTA($B$7:B547))</f>
        <v>541</v>
      </c>
      <c r="B548" s="85">
        <v>46156</v>
      </c>
      <c r="C548" s="77" t="s">
        <v>122</v>
      </c>
      <c r="D548" s="77" t="s">
        <v>1212</v>
      </c>
      <c r="E548" s="77" t="s">
        <v>69</v>
      </c>
      <c r="F548" s="77" t="s">
        <v>118</v>
      </c>
      <c r="G548" s="110" t="s">
        <v>1213</v>
      </c>
      <c r="H548" s="131" t="s">
        <v>118</v>
      </c>
      <c r="I548" s="86" t="str">
        <f t="shared" si="16"/>
        <v>LENC</v>
      </c>
      <c r="J548" s="86" t="str">
        <f t="shared" si="17"/>
        <v>26</v>
      </c>
      <c r="K548" s="77" t="s">
        <v>1205</v>
      </c>
      <c r="L548" s="77">
        <v>1</v>
      </c>
      <c r="M548" s="77" t="s">
        <v>1206</v>
      </c>
      <c r="N548" s="88" t="s">
        <v>711</v>
      </c>
      <c r="O548" s="77" t="s">
        <v>121</v>
      </c>
      <c r="P548" s="77"/>
      <c r="Q548" s="31"/>
      <c r="R548" s="63"/>
    </row>
    <row r="549" spans="1:18" ht="39.75" hidden="1" customHeight="1" x14ac:dyDescent="0.25">
      <c r="A549" s="78">
        <f>IF(B549="","",COUNTA($B$7:B548))</f>
        <v>542</v>
      </c>
      <c r="B549" s="85">
        <v>46156</v>
      </c>
      <c r="C549" s="77" t="s">
        <v>459</v>
      </c>
      <c r="D549" s="77" t="s">
        <v>1214</v>
      </c>
      <c r="E549" s="77" t="s">
        <v>1215</v>
      </c>
      <c r="F549" s="77" t="s">
        <v>118</v>
      </c>
      <c r="G549" s="77">
        <v>21333</v>
      </c>
      <c r="H549" s="131" t="s">
        <v>118</v>
      </c>
      <c r="I549" s="86" t="str">
        <f t="shared" si="16"/>
        <v>LENC</v>
      </c>
      <c r="J549" s="86" t="str">
        <f t="shared" si="17"/>
        <v>26</v>
      </c>
      <c r="K549" s="77" t="s">
        <v>1216</v>
      </c>
      <c r="L549" s="77">
        <v>1</v>
      </c>
      <c r="M549" s="77" t="s">
        <v>1217</v>
      </c>
      <c r="N549" s="88" t="s">
        <v>198</v>
      </c>
      <c r="O549" s="77" t="s">
        <v>172</v>
      </c>
      <c r="P549" s="77"/>
      <c r="Q549" s="31"/>
      <c r="R549" s="63"/>
    </row>
    <row r="550" spans="1:18" ht="39.75" hidden="1" customHeight="1" x14ac:dyDescent="0.25">
      <c r="A550" s="78">
        <f>IF(B550="","",COUNTA($B$7:B549))</f>
        <v>543</v>
      </c>
      <c r="B550" s="85">
        <v>46157</v>
      </c>
      <c r="C550" s="77" t="s">
        <v>578</v>
      </c>
      <c r="D550" s="77" t="s">
        <v>1218</v>
      </c>
      <c r="E550" s="77" t="s">
        <v>69</v>
      </c>
      <c r="F550" s="77" t="s">
        <v>118</v>
      </c>
      <c r="G550" s="77" t="s">
        <v>1219</v>
      </c>
      <c r="H550" s="131" t="s">
        <v>118</v>
      </c>
      <c r="I550" s="86" t="str">
        <f t="shared" si="16"/>
        <v>LENC</v>
      </c>
      <c r="J550" s="86" t="str">
        <f t="shared" si="17"/>
        <v>26</v>
      </c>
      <c r="K550" s="77" t="s">
        <v>1220</v>
      </c>
      <c r="L550" s="77">
        <v>1</v>
      </c>
      <c r="M550" s="77" t="s">
        <v>1221</v>
      </c>
      <c r="N550" s="88" t="s">
        <v>198</v>
      </c>
      <c r="O550" s="77" t="s">
        <v>172</v>
      </c>
      <c r="P550" s="77"/>
      <c r="Q550" s="31"/>
      <c r="R550" s="63"/>
    </row>
    <row r="551" spans="1:18" ht="39.75" hidden="1" customHeight="1" x14ac:dyDescent="0.25">
      <c r="A551" s="78">
        <f>IF(B551="","",COUNTA($B$7:B550))</f>
        <v>544</v>
      </c>
      <c r="B551" s="85">
        <v>46161</v>
      </c>
      <c r="C551" s="77" t="s">
        <v>1222</v>
      </c>
      <c r="D551" s="77" t="s">
        <v>1223</v>
      </c>
      <c r="E551" s="77" t="s">
        <v>1224</v>
      </c>
      <c r="F551" s="77" t="s">
        <v>118</v>
      </c>
      <c r="G551" s="114">
        <v>998429</v>
      </c>
      <c r="H551" s="131" t="s">
        <v>118</v>
      </c>
      <c r="I551" s="86" t="str">
        <f t="shared" si="16"/>
        <v>LENC</v>
      </c>
      <c r="J551" s="86" t="str">
        <f t="shared" si="17"/>
        <v>26</v>
      </c>
      <c r="K551" s="77" t="s">
        <v>1144</v>
      </c>
      <c r="L551" s="77">
        <v>3</v>
      </c>
      <c r="M551" s="77" t="s">
        <v>1225</v>
      </c>
      <c r="N551" s="88" t="s">
        <v>308</v>
      </c>
      <c r="O551" s="77" t="s">
        <v>121</v>
      </c>
      <c r="P551" s="77"/>
      <c r="Q551" s="31"/>
      <c r="R551" s="63"/>
    </row>
    <row r="552" spans="1:18" ht="39.75" hidden="1" customHeight="1" x14ac:dyDescent="0.25">
      <c r="A552" s="78">
        <f>IF(B552="","",COUNTA($B$7:B551))</f>
        <v>545</v>
      </c>
      <c r="B552" s="85">
        <v>46161</v>
      </c>
      <c r="C552" s="77" t="s">
        <v>1222</v>
      </c>
      <c r="D552" s="77" t="s">
        <v>1223</v>
      </c>
      <c r="E552" s="77" t="s">
        <v>1224</v>
      </c>
      <c r="F552" s="77" t="s">
        <v>118</v>
      </c>
      <c r="G552" s="114">
        <v>1004602</v>
      </c>
      <c r="H552" s="131" t="s">
        <v>118</v>
      </c>
      <c r="I552" s="86" t="str">
        <f t="shared" si="16"/>
        <v>LENC</v>
      </c>
      <c r="J552" s="86" t="str">
        <f t="shared" si="17"/>
        <v>26</v>
      </c>
      <c r="K552" s="77" t="s">
        <v>1226</v>
      </c>
      <c r="L552" s="77">
        <v>7</v>
      </c>
      <c r="M552" s="77" t="s">
        <v>1225</v>
      </c>
      <c r="N552" s="88" t="s">
        <v>1227</v>
      </c>
      <c r="O552" s="77" t="s">
        <v>126</v>
      </c>
      <c r="P552" s="77"/>
      <c r="Q552" s="31"/>
      <c r="R552" s="63"/>
    </row>
    <row r="553" spans="1:18" ht="39.75" hidden="1" customHeight="1" x14ac:dyDescent="0.25">
      <c r="A553" s="78">
        <f>IF(B553="","",COUNTA($B$7:B552))</f>
        <v>546</v>
      </c>
      <c r="B553" s="85">
        <v>46161</v>
      </c>
      <c r="C553" s="77" t="s">
        <v>1228</v>
      </c>
      <c r="D553" s="77" t="s">
        <v>1229</v>
      </c>
      <c r="E553" s="77" t="s">
        <v>69</v>
      </c>
      <c r="F553" s="77" t="s">
        <v>118</v>
      </c>
      <c r="G553" s="114">
        <v>1004560</v>
      </c>
      <c r="H553" s="131" t="s">
        <v>118</v>
      </c>
      <c r="I553" s="86" t="str">
        <f t="shared" si="16"/>
        <v>LENC</v>
      </c>
      <c r="J553" s="86" t="str">
        <f t="shared" si="17"/>
        <v>26</v>
      </c>
      <c r="K553" s="77" t="s">
        <v>1230</v>
      </c>
      <c r="L553" s="77">
        <v>1</v>
      </c>
      <c r="M553" s="77" t="s">
        <v>1031</v>
      </c>
      <c r="N553" s="88" t="s">
        <v>308</v>
      </c>
      <c r="O553" s="77" t="s">
        <v>121</v>
      </c>
      <c r="P553" s="77"/>
      <c r="Q553" s="31"/>
      <c r="R553" s="63"/>
    </row>
    <row r="554" spans="1:18" ht="39.75" hidden="1" customHeight="1" x14ac:dyDescent="0.25">
      <c r="A554" s="78">
        <f>IF(B554="","",COUNTA($B$7:B553))</f>
        <v>547</v>
      </c>
      <c r="B554" s="85">
        <v>46161</v>
      </c>
      <c r="C554" s="77" t="s">
        <v>1228</v>
      </c>
      <c r="D554" s="77" t="s">
        <v>1229</v>
      </c>
      <c r="E554" s="77" t="s">
        <v>69</v>
      </c>
      <c r="F554" s="77" t="s">
        <v>118</v>
      </c>
      <c r="G554" s="114">
        <v>1004563</v>
      </c>
      <c r="H554" s="131" t="s">
        <v>118</v>
      </c>
      <c r="I554" s="86" t="str">
        <f t="shared" si="16"/>
        <v>LENC</v>
      </c>
      <c r="J554" s="86" t="str">
        <f t="shared" si="17"/>
        <v>26</v>
      </c>
      <c r="K554" s="77" t="s">
        <v>1230</v>
      </c>
      <c r="L554" s="77">
        <v>1</v>
      </c>
      <c r="M554" s="77" t="s">
        <v>1031</v>
      </c>
      <c r="N554" s="88" t="s">
        <v>308</v>
      </c>
      <c r="O554" s="77" t="s">
        <v>121</v>
      </c>
      <c r="P554" s="77"/>
      <c r="Q554" s="31"/>
      <c r="R554" s="63"/>
    </row>
    <row r="555" spans="1:18" ht="39.75" hidden="1" customHeight="1" x14ac:dyDescent="0.25">
      <c r="A555" s="78">
        <f>IF(B555="","",COUNTA($B$7:B554))</f>
        <v>548</v>
      </c>
      <c r="B555" s="85">
        <v>46161</v>
      </c>
      <c r="C555" s="77" t="s">
        <v>1228</v>
      </c>
      <c r="D555" s="77" t="s">
        <v>1229</v>
      </c>
      <c r="E555" s="77" t="s">
        <v>69</v>
      </c>
      <c r="F555" s="77" t="s">
        <v>118</v>
      </c>
      <c r="G555" s="114">
        <v>990604</v>
      </c>
      <c r="H555" s="131" t="s">
        <v>118</v>
      </c>
      <c r="I555" s="86" t="str">
        <f t="shared" si="16"/>
        <v>LENC</v>
      </c>
      <c r="J555" s="86" t="str">
        <f t="shared" si="17"/>
        <v>26</v>
      </c>
      <c r="K555" s="77" t="s">
        <v>1230</v>
      </c>
      <c r="L555" s="77">
        <v>1</v>
      </c>
      <c r="M555" s="77" t="s">
        <v>1031</v>
      </c>
      <c r="N555" s="88" t="s">
        <v>308</v>
      </c>
      <c r="O555" s="77" t="s">
        <v>121</v>
      </c>
      <c r="P555" s="77"/>
      <c r="Q555" s="31"/>
      <c r="R555" s="63"/>
    </row>
    <row r="556" spans="1:18" ht="39.75" hidden="1" customHeight="1" x14ac:dyDescent="0.25">
      <c r="A556" s="78">
        <f>IF(B556="","",COUNTA($B$7:B555))</f>
        <v>549</v>
      </c>
      <c r="B556" s="85">
        <v>46161</v>
      </c>
      <c r="C556" s="77" t="s">
        <v>1228</v>
      </c>
      <c r="D556" s="77" t="s">
        <v>1229</v>
      </c>
      <c r="E556" s="77" t="s">
        <v>69</v>
      </c>
      <c r="F556" s="77" t="s">
        <v>118</v>
      </c>
      <c r="G556" s="114">
        <v>990903</v>
      </c>
      <c r="H556" s="131" t="s">
        <v>118</v>
      </c>
      <c r="I556" s="86" t="str">
        <f t="shared" si="16"/>
        <v>LENC</v>
      </c>
      <c r="J556" s="86" t="str">
        <f t="shared" si="17"/>
        <v>26</v>
      </c>
      <c r="K556" s="77" t="s">
        <v>1230</v>
      </c>
      <c r="L556" s="77">
        <v>1</v>
      </c>
      <c r="M556" s="77" t="s">
        <v>1031</v>
      </c>
      <c r="N556" s="88" t="s">
        <v>308</v>
      </c>
      <c r="O556" s="77" t="s">
        <v>121</v>
      </c>
      <c r="P556" s="77"/>
      <c r="Q556" s="31"/>
      <c r="R556" s="63"/>
    </row>
    <row r="557" spans="1:18" ht="39.75" hidden="1" customHeight="1" x14ac:dyDescent="0.25">
      <c r="A557" s="78">
        <f>IF(B557="","",COUNTA($B$7:B556))</f>
        <v>550</v>
      </c>
      <c r="B557" s="85">
        <v>46162</v>
      </c>
      <c r="C557" s="77" t="s">
        <v>138</v>
      </c>
      <c r="D557" s="77" t="s">
        <v>1231</v>
      </c>
      <c r="E557" s="77" t="s">
        <v>69</v>
      </c>
      <c r="F557" s="77" t="s">
        <v>118</v>
      </c>
      <c r="G557" s="77" t="s">
        <v>1232</v>
      </c>
      <c r="H557" s="131" t="s">
        <v>118</v>
      </c>
      <c r="I557" s="86" t="str">
        <f t="shared" si="16"/>
        <v>LENC</v>
      </c>
      <c r="J557" s="86" t="str">
        <f t="shared" si="17"/>
        <v>26</v>
      </c>
      <c r="K557" s="77" t="s">
        <v>1233</v>
      </c>
      <c r="L557" s="77">
        <v>2</v>
      </c>
      <c r="M557" s="77" t="s">
        <v>1234</v>
      </c>
      <c r="N557" s="88">
        <v>97</v>
      </c>
      <c r="O557" s="77" t="s">
        <v>159</v>
      </c>
      <c r="P557" s="77"/>
      <c r="Q557" s="31"/>
      <c r="R557" s="63"/>
    </row>
    <row r="558" spans="1:18" ht="39.75" hidden="1" customHeight="1" x14ac:dyDescent="0.25">
      <c r="A558" s="78">
        <f>IF(B558="","",COUNTA($B$7:B557))</f>
        <v>551</v>
      </c>
      <c r="B558" s="85">
        <v>46161</v>
      </c>
      <c r="C558" s="77" t="s">
        <v>305</v>
      </c>
      <c r="D558" s="77" t="s">
        <v>188</v>
      </c>
      <c r="E558" s="77" t="s">
        <v>1235</v>
      </c>
      <c r="F558" s="77" t="s">
        <v>118</v>
      </c>
      <c r="G558" s="77" t="s">
        <v>1236</v>
      </c>
      <c r="H558" s="131" t="s">
        <v>118</v>
      </c>
      <c r="I558" s="86" t="str">
        <f t="shared" si="16"/>
        <v>LENC</v>
      </c>
      <c r="J558" s="86" t="str">
        <f t="shared" si="17"/>
        <v>26</v>
      </c>
      <c r="K558" s="77" t="s">
        <v>1237</v>
      </c>
      <c r="L558" s="77">
        <v>1</v>
      </c>
      <c r="M558" s="77" t="s">
        <v>1238</v>
      </c>
      <c r="N558" s="88" t="s">
        <v>711</v>
      </c>
      <c r="O558" s="77" t="s">
        <v>121</v>
      </c>
      <c r="P558" s="77"/>
      <c r="Q558" s="31"/>
      <c r="R558" s="63"/>
    </row>
    <row r="559" spans="1:18" ht="39.75" hidden="1" customHeight="1" x14ac:dyDescent="0.25">
      <c r="A559" s="78">
        <f>IF(B559="","",COUNTA($B$7:B558))</f>
        <v>552</v>
      </c>
      <c r="B559" s="85">
        <v>46161</v>
      </c>
      <c r="C559" s="77" t="s">
        <v>305</v>
      </c>
      <c r="D559" s="77" t="s">
        <v>188</v>
      </c>
      <c r="E559" s="77" t="s">
        <v>1235</v>
      </c>
      <c r="F559" s="77" t="s">
        <v>118</v>
      </c>
      <c r="G559" s="77" t="s">
        <v>1239</v>
      </c>
      <c r="H559" s="131" t="s">
        <v>118</v>
      </c>
      <c r="I559" s="86" t="str">
        <f t="shared" si="16"/>
        <v>LENC</v>
      </c>
      <c r="J559" s="86" t="str">
        <f t="shared" si="17"/>
        <v>26</v>
      </c>
      <c r="K559" s="77" t="s">
        <v>1237</v>
      </c>
      <c r="L559" s="77">
        <v>1</v>
      </c>
      <c r="M559" s="77" t="s">
        <v>1238</v>
      </c>
      <c r="N559" s="88" t="s">
        <v>711</v>
      </c>
      <c r="O559" s="77" t="s">
        <v>121</v>
      </c>
      <c r="P559" s="77"/>
      <c r="Q559" s="31"/>
      <c r="R559" s="63"/>
    </row>
    <row r="560" spans="1:18" ht="39.75" hidden="1" customHeight="1" x14ac:dyDescent="0.25">
      <c r="A560" s="78">
        <f>IF(B560="","",COUNTA($B$7:B559))</f>
        <v>553</v>
      </c>
      <c r="B560" s="85">
        <v>46161</v>
      </c>
      <c r="C560" s="77" t="s">
        <v>305</v>
      </c>
      <c r="D560" s="77" t="s">
        <v>188</v>
      </c>
      <c r="E560" s="77" t="s">
        <v>1235</v>
      </c>
      <c r="F560" s="77" t="s">
        <v>118</v>
      </c>
      <c r="G560" s="77" t="s">
        <v>1240</v>
      </c>
      <c r="H560" s="131" t="s">
        <v>118</v>
      </c>
      <c r="I560" s="86" t="str">
        <f t="shared" si="16"/>
        <v>LENC</v>
      </c>
      <c r="J560" s="86" t="str">
        <f t="shared" si="17"/>
        <v>26</v>
      </c>
      <c r="K560" s="77" t="s">
        <v>1237</v>
      </c>
      <c r="L560" s="77">
        <v>1</v>
      </c>
      <c r="M560" s="77" t="s">
        <v>1238</v>
      </c>
      <c r="N560" s="88" t="s">
        <v>711</v>
      </c>
      <c r="O560" s="77" t="s">
        <v>121</v>
      </c>
      <c r="P560" s="77"/>
      <c r="Q560" s="31"/>
      <c r="R560" s="63"/>
    </row>
    <row r="561" spans="1:18" ht="39.75" hidden="1" customHeight="1" x14ac:dyDescent="0.25">
      <c r="A561" s="78">
        <f>IF(B561="","",COUNTA($B$7:B560))</f>
        <v>554</v>
      </c>
      <c r="B561" s="85">
        <v>46161</v>
      </c>
      <c r="C561" s="77" t="s">
        <v>305</v>
      </c>
      <c r="D561" s="77" t="s">
        <v>1055</v>
      </c>
      <c r="E561" s="77" t="s">
        <v>1235</v>
      </c>
      <c r="F561" s="77" t="s">
        <v>118</v>
      </c>
      <c r="G561" s="77" t="s">
        <v>1241</v>
      </c>
      <c r="H561" s="131" t="s">
        <v>118</v>
      </c>
      <c r="I561" s="86" t="str">
        <f t="shared" si="16"/>
        <v>LENC</v>
      </c>
      <c r="J561" s="86" t="str">
        <f t="shared" si="17"/>
        <v>26</v>
      </c>
      <c r="K561" s="77" t="s">
        <v>1237</v>
      </c>
      <c r="L561" s="77">
        <v>1</v>
      </c>
      <c r="M561" s="77" t="s">
        <v>1238</v>
      </c>
      <c r="N561" s="88" t="s">
        <v>711</v>
      </c>
      <c r="O561" s="77" t="s">
        <v>121</v>
      </c>
      <c r="P561" s="77"/>
      <c r="Q561" s="31"/>
      <c r="R561" s="63"/>
    </row>
    <row r="562" spans="1:18" ht="39.75" hidden="1" customHeight="1" x14ac:dyDescent="0.25">
      <c r="A562" s="78">
        <f>IF(B562="","",COUNTA($B$7:B561))</f>
        <v>555</v>
      </c>
      <c r="B562" s="85">
        <v>46163</v>
      </c>
      <c r="C562" s="77" t="s">
        <v>150</v>
      </c>
      <c r="D562" s="77" t="s">
        <v>1242</v>
      </c>
      <c r="E562" s="77" t="s">
        <v>1243</v>
      </c>
      <c r="F562" s="77" t="s">
        <v>118</v>
      </c>
      <c r="G562" s="77">
        <v>21689</v>
      </c>
      <c r="H562" s="131" t="s">
        <v>118</v>
      </c>
      <c r="I562" s="86" t="str">
        <f t="shared" si="16"/>
        <v>LENC</v>
      </c>
      <c r="J562" s="86" t="str">
        <f t="shared" si="17"/>
        <v>26</v>
      </c>
      <c r="K562" s="77" t="s">
        <v>1244</v>
      </c>
      <c r="L562" s="77">
        <v>1</v>
      </c>
      <c r="M562" s="77" t="s">
        <v>1245</v>
      </c>
      <c r="N562" s="88" t="s">
        <v>198</v>
      </c>
      <c r="O562" s="77" t="s">
        <v>172</v>
      </c>
      <c r="P562" s="77"/>
      <c r="Q562" s="31"/>
      <c r="R562" s="63"/>
    </row>
    <row r="563" spans="1:18" ht="39.75" hidden="1" customHeight="1" x14ac:dyDescent="0.25">
      <c r="A563" s="78">
        <f>IF(B563="","",COUNTA($B$7:B562))</f>
        <v>556</v>
      </c>
      <c r="B563" s="85">
        <v>46163</v>
      </c>
      <c r="C563" s="77" t="s">
        <v>150</v>
      </c>
      <c r="D563" s="77" t="s">
        <v>1242</v>
      </c>
      <c r="E563" s="77" t="s">
        <v>1243</v>
      </c>
      <c r="F563" s="77" t="s">
        <v>118</v>
      </c>
      <c r="G563" s="77">
        <v>21690</v>
      </c>
      <c r="H563" s="131" t="s">
        <v>118</v>
      </c>
      <c r="I563" s="86" t="str">
        <f t="shared" si="16"/>
        <v>LENC</v>
      </c>
      <c r="J563" s="86" t="str">
        <f t="shared" si="17"/>
        <v>26</v>
      </c>
      <c r="K563" s="77" t="s">
        <v>1244</v>
      </c>
      <c r="L563" s="77">
        <v>1</v>
      </c>
      <c r="M563" s="77" t="s">
        <v>1245</v>
      </c>
      <c r="N563" s="88" t="s">
        <v>198</v>
      </c>
      <c r="O563" s="77" t="s">
        <v>172</v>
      </c>
      <c r="P563" s="77"/>
      <c r="Q563" s="31"/>
      <c r="R563" s="63"/>
    </row>
    <row r="564" spans="1:18" ht="39.75" hidden="1" customHeight="1" x14ac:dyDescent="0.25">
      <c r="A564" s="78">
        <f>IF(B564="","",COUNTA($B$7:B563))</f>
        <v>557</v>
      </c>
      <c r="B564" s="85">
        <v>46163</v>
      </c>
      <c r="C564" s="77" t="s">
        <v>150</v>
      </c>
      <c r="D564" s="77" t="s">
        <v>1246</v>
      </c>
      <c r="E564" s="77" t="s">
        <v>1243</v>
      </c>
      <c r="F564" s="77" t="s">
        <v>118</v>
      </c>
      <c r="G564" s="77">
        <v>21691</v>
      </c>
      <c r="H564" s="131" t="s">
        <v>118</v>
      </c>
      <c r="I564" s="86" t="str">
        <f t="shared" si="16"/>
        <v>LENC</v>
      </c>
      <c r="J564" s="86" t="str">
        <f t="shared" si="17"/>
        <v>26</v>
      </c>
      <c r="K564" s="77" t="s">
        <v>1244</v>
      </c>
      <c r="L564" s="77">
        <v>1</v>
      </c>
      <c r="M564" s="77" t="s">
        <v>1245</v>
      </c>
      <c r="N564" s="88" t="s">
        <v>198</v>
      </c>
      <c r="O564" s="77" t="s">
        <v>172</v>
      </c>
      <c r="P564" s="77"/>
      <c r="Q564" s="31"/>
      <c r="R564" s="63"/>
    </row>
    <row r="565" spans="1:18" ht="39.75" hidden="1" customHeight="1" x14ac:dyDescent="0.25">
      <c r="A565" s="78">
        <f>IF(B565="","",COUNTA($B$7:B564))</f>
        <v>558</v>
      </c>
      <c r="B565" s="85">
        <v>46162</v>
      </c>
      <c r="C565" s="77" t="s">
        <v>305</v>
      </c>
      <c r="D565" s="77" t="s">
        <v>1247</v>
      </c>
      <c r="E565" s="77" t="s">
        <v>1248</v>
      </c>
      <c r="F565" s="77" t="s">
        <v>118</v>
      </c>
      <c r="G565" s="77" t="s">
        <v>1249</v>
      </c>
      <c r="H565" s="131" t="s">
        <v>118</v>
      </c>
      <c r="I565" s="86" t="str">
        <f t="shared" si="16"/>
        <v>LENC</v>
      </c>
      <c r="J565" s="86" t="str">
        <f t="shared" si="17"/>
        <v>26</v>
      </c>
      <c r="K565" s="77" t="s">
        <v>1250</v>
      </c>
      <c r="L565" s="77">
        <v>1</v>
      </c>
      <c r="M565" s="77" t="s">
        <v>1251</v>
      </c>
      <c r="N565" s="88">
        <v>96</v>
      </c>
      <c r="O565" s="77" t="s">
        <v>159</v>
      </c>
      <c r="P565" s="77" t="s">
        <v>221</v>
      </c>
      <c r="Q565" s="31"/>
      <c r="R565" s="63"/>
    </row>
    <row r="566" spans="1:18" ht="39.75" hidden="1" customHeight="1" x14ac:dyDescent="0.25">
      <c r="A566" s="78">
        <f>IF(B566="","",COUNTA($B$7:B565))</f>
        <v>559</v>
      </c>
      <c r="B566" s="85">
        <v>46163</v>
      </c>
      <c r="C566" s="77" t="s">
        <v>1252</v>
      </c>
      <c r="D566" s="77" t="s">
        <v>1253</v>
      </c>
      <c r="E566" s="77" t="s">
        <v>1254</v>
      </c>
      <c r="F566" s="77" t="s">
        <v>118</v>
      </c>
      <c r="G566" s="77">
        <v>21692</v>
      </c>
      <c r="H566" s="131" t="s">
        <v>118</v>
      </c>
      <c r="I566" s="86" t="str">
        <f t="shared" si="16"/>
        <v>LENC</v>
      </c>
      <c r="J566" s="86" t="str">
        <f t="shared" si="17"/>
        <v>26</v>
      </c>
      <c r="K566" s="77" t="s">
        <v>1255</v>
      </c>
      <c r="L566" s="77">
        <v>1</v>
      </c>
      <c r="M566" s="77" t="s">
        <v>1256</v>
      </c>
      <c r="N566" s="88" t="s">
        <v>1257</v>
      </c>
      <c r="O566" s="77" t="s">
        <v>126</v>
      </c>
      <c r="P566" s="77"/>
      <c r="Q566" s="31"/>
      <c r="R566" s="63"/>
    </row>
    <row r="567" spans="1:18" ht="39.75" hidden="1" customHeight="1" x14ac:dyDescent="0.25">
      <c r="A567" s="78">
        <f>IF(B567="","",COUNTA($B$7:B566))</f>
        <v>560</v>
      </c>
      <c r="B567" s="85">
        <v>46163</v>
      </c>
      <c r="C567" s="77" t="s">
        <v>1252</v>
      </c>
      <c r="D567" s="77" t="s">
        <v>1253</v>
      </c>
      <c r="E567" s="77" t="s">
        <v>1254</v>
      </c>
      <c r="F567" s="77" t="s">
        <v>118</v>
      </c>
      <c r="G567" s="77">
        <v>21693</v>
      </c>
      <c r="H567" s="131" t="s">
        <v>118</v>
      </c>
      <c r="I567" s="86" t="str">
        <f t="shared" si="16"/>
        <v>LENC</v>
      </c>
      <c r="J567" s="86" t="str">
        <f t="shared" si="17"/>
        <v>26</v>
      </c>
      <c r="K567" s="77" t="s">
        <v>1255</v>
      </c>
      <c r="L567" s="77">
        <v>1</v>
      </c>
      <c r="M567" s="77" t="s">
        <v>1256</v>
      </c>
      <c r="N567" s="88" t="s">
        <v>1257</v>
      </c>
      <c r="O567" s="77" t="s">
        <v>126</v>
      </c>
      <c r="P567" s="77"/>
      <c r="Q567" s="31"/>
      <c r="R567" s="63"/>
    </row>
    <row r="568" spans="1:18" ht="39.75" hidden="1" customHeight="1" x14ac:dyDescent="0.25">
      <c r="A568" s="78">
        <f>IF(B568="","",COUNTA($B$7:B567))</f>
        <v>561</v>
      </c>
      <c r="B568" s="85">
        <v>46163</v>
      </c>
      <c r="C568" s="77" t="s">
        <v>360</v>
      </c>
      <c r="D568" s="77" t="s">
        <v>1040</v>
      </c>
      <c r="E568" s="77" t="s">
        <v>360</v>
      </c>
      <c r="F568" s="77" t="s">
        <v>118</v>
      </c>
      <c r="G568" s="77">
        <v>21673</v>
      </c>
      <c r="H568" s="131" t="s">
        <v>118</v>
      </c>
      <c r="I568" s="86" t="str">
        <f t="shared" si="16"/>
        <v>LENC</v>
      </c>
      <c r="J568" s="86" t="str">
        <f t="shared" si="17"/>
        <v>26</v>
      </c>
      <c r="K568" s="77" t="s">
        <v>366</v>
      </c>
      <c r="L568" s="77">
        <v>1</v>
      </c>
      <c r="M568" s="77" t="s">
        <v>367</v>
      </c>
      <c r="N568" s="88" t="s">
        <v>419</v>
      </c>
      <c r="O568" s="77" t="s">
        <v>172</v>
      </c>
      <c r="P568" s="77"/>
      <c r="Q568" s="31"/>
      <c r="R568" s="63"/>
    </row>
    <row r="569" spans="1:18" ht="39.75" hidden="1" customHeight="1" x14ac:dyDescent="0.25">
      <c r="A569" s="78">
        <f>IF(B569="","",COUNTA($B$7:B568))</f>
        <v>562</v>
      </c>
      <c r="B569" s="85">
        <v>46163</v>
      </c>
      <c r="C569" s="77" t="s">
        <v>360</v>
      </c>
      <c r="D569" s="77" t="s">
        <v>1040</v>
      </c>
      <c r="E569" s="77" t="s">
        <v>360</v>
      </c>
      <c r="F569" s="77" t="s">
        <v>118</v>
      </c>
      <c r="G569" s="77">
        <v>21670</v>
      </c>
      <c r="H569" s="131" t="s">
        <v>118</v>
      </c>
      <c r="I569" s="86" t="str">
        <f t="shared" si="16"/>
        <v>LENC</v>
      </c>
      <c r="J569" s="86" t="str">
        <f t="shared" si="17"/>
        <v>26</v>
      </c>
      <c r="K569" s="77" t="s">
        <v>1258</v>
      </c>
      <c r="L569" s="77">
        <v>1</v>
      </c>
      <c r="M569" s="77" t="s">
        <v>1259</v>
      </c>
      <c r="N569" s="88" t="s">
        <v>137</v>
      </c>
      <c r="O569" s="77" t="s">
        <v>121</v>
      </c>
      <c r="P569" s="77"/>
      <c r="Q569" s="31"/>
      <c r="R569" s="63"/>
    </row>
    <row r="570" spans="1:18" ht="39.75" hidden="1" customHeight="1" x14ac:dyDescent="0.25">
      <c r="A570" s="78">
        <f>IF(B570="","",COUNTA($B$7:B569))</f>
        <v>563</v>
      </c>
      <c r="B570" s="85">
        <v>46163</v>
      </c>
      <c r="C570" s="77" t="s">
        <v>360</v>
      </c>
      <c r="D570" s="77" t="s">
        <v>1260</v>
      </c>
      <c r="E570" s="77" t="s">
        <v>360</v>
      </c>
      <c r="F570" s="77" t="s">
        <v>118</v>
      </c>
      <c r="G570" s="77">
        <v>21672</v>
      </c>
      <c r="H570" s="131" t="s">
        <v>118</v>
      </c>
      <c r="I570" s="86" t="str">
        <f t="shared" si="16"/>
        <v>LENC</v>
      </c>
      <c r="J570" s="86" t="str">
        <f t="shared" si="17"/>
        <v>26</v>
      </c>
      <c r="K570" s="77" t="s">
        <v>366</v>
      </c>
      <c r="L570" s="77">
        <v>1</v>
      </c>
      <c r="M570" s="77" t="s">
        <v>367</v>
      </c>
      <c r="N570" s="88" t="s">
        <v>419</v>
      </c>
      <c r="O570" s="77" t="s">
        <v>172</v>
      </c>
      <c r="P570" s="77"/>
      <c r="Q570" s="31"/>
      <c r="R570" s="63"/>
    </row>
    <row r="571" spans="1:18" ht="39.75" hidden="1" customHeight="1" x14ac:dyDescent="0.25">
      <c r="A571" s="78">
        <f>IF(B571="","",COUNTA($B$7:B570))</f>
        <v>564</v>
      </c>
      <c r="B571" s="85">
        <v>46163</v>
      </c>
      <c r="C571" s="77" t="s">
        <v>360</v>
      </c>
      <c r="D571" s="77" t="s">
        <v>1261</v>
      </c>
      <c r="E571" s="77" t="s">
        <v>360</v>
      </c>
      <c r="F571" s="77" t="s">
        <v>118</v>
      </c>
      <c r="G571" s="77">
        <v>21671</v>
      </c>
      <c r="H571" s="131" t="s">
        <v>118</v>
      </c>
      <c r="I571" s="86" t="str">
        <f t="shared" si="16"/>
        <v>LENC</v>
      </c>
      <c r="J571" s="86" t="str">
        <f t="shared" si="17"/>
        <v>26</v>
      </c>
      <c r="K571" s="77" t="s">
        <v>69</v>
      </c>
      <c r="L571" s="77">
        <v>1</v>
      </c>
      <c r="M571" s="77" t="s">
        <v>69</v>
      </c>
      <c r="N571" s="88" t="s">
        <v>137</v>
      </c>
      <c r="O571" s="77" t="s">
        <v>121</v>
      </c>
      <c r="P571" s="77"/>
      <c r="Q571" s="31"/>
      <c r="R571" s="63"/>
    </row>
    <row r="572" spans="1:18" ht="39.75" hidden="1" customHeight="1" x14ac:dyDescent="0.25">
      <c r="A572" s="78">
        <f>IF(B572="","",COUNTA($B$7:B571))</f>
        <v>565</v>
      </c>
      <c r="B572" s="85">
        <v>46163</v>
      </c>
      <c r="C572" s="77" t="s">
        <v>360</v>
      </c>
      <c r="D572" s="77" t="s">
        <v>1262</v>
      </c>
      <c r="E572" s="77" t="s">
        <v>360</v>
      </c>
      <c r="F572" s="77" t="s">
        <v>118</v>
      </c>
      <c r="G572" s="77">
        <v>21669</v>
      </c>
      <c r="H572" s="131" t="s">
        <v>118</v>
      </c>
      <c r="I572" s="86" t="str">
        <f t="shared" si="16"/>
        <v>LENC</v>
      </c>
      <c r="J572" s="86" t="str">
        <f t="shared" si="17"/>
        <v>26</v>
      </c>
      <c r="K572" s="77" t="s">
        <v>1263</v>
      </c>
      <c r="L572" s="77">
        <v>1</v>
      </c>
      <c r="M572" s="77" t="s">
        <v>1264</v>
      </c>
      <c r="N572" s="88" t="s">
        <v>137</v>
      </c>
      <c r="O572" s="77" t="s">
        <v>121</v>
      </c>
      <c r="P572" s="77"/>
      <c r="Q572" s="31"/>
      <c r="R572" s="63"/>
    </row>
    <row r="573" spans="1:18" ht="39.75" hidden="1" customHeight="1" x14ac:dyDescent="0.25">
      <c r="A573" s="78">
        <f>IF(B573="","",COUNTA($B$7:B572))</f>
        <v>566</v>
      </c>
      <c r="B573" s="85">
        <v>46164</v>
      </c>
      <c r="C573" s="77" t="s">
        <v>1265</v>
      </c>
      <c r="D573" s="77" t="s">
        <v>1266</v>
      </c>
      <c r="E573" s="77" t="s">
        <v>1267</v>
      </c>
      <c r="F573" s="77" t="s">
        <v>118</v>
      </c>
      <c r="G573" s="77" t="s">
        <v>69</v>
      </c>
      <c r="H573" s="131" t="s">
        <v>118</v>
      </c>
      <c r="I573" s="86" t="str">
        <f t="shared" si="16"/>
        <v>LENC</v>
      </c>
      <c r="J573" s="86" t="str">
        <f t="shared" si="17"/>
        <v>26</v>
      </c>
      <c r="K573" s="77" t="s">
        <v>1268</v>
      </c>
      <c r="L573" s="77">
        <v>1</v>
      </c>
      <c r="M573" s="77" t="s">
        <v>1269</v>
      </c>
      <c r="N573" s="88">
        <v>94</v>
      </c>
      <c r="O573" s="77" t="s">
        <v>159</v>
      </c>
      <c r="P573" s="77"/>
      <c r="Q573" s="31"/>
      <c r="R573" s="63"/>
    </row>
    <row r="574" spans="1:18" ht="39.75" hidden="1" customHeight="1" x14ac:dyDescent="0.25">
      <c r="A574" s="78">
        <f>IF(B574="","",COUNTA($B$7:B573))</f>
        <v>567</v>
      </c>
      <c r="B574" s="85">
        <v>46164</v>
      </c>
      <c r="C574" s="77" t="s">
        <v>181</v>
      </c>
      <c r="D574" s="77" t="s">
        <v>1270</v>
      </c>
      <c r="E574" s="77" t="s">
        <v>181</v>
      </c>
      <c r="F574" s="77" t="s">
        <v>118</v>
      </c>
      <c r="G574" s="77" t="s">
        <v>69</v>
      </c>
      <c r="H574" s="131" t="s">
        <v>118</v>
      </c>
      <c r="I574" s="86" t="str">
        <f t="shared" si="16"/>
        <v>LENC</v>
      </c>
      <c r="J574" s="86" t="str">
        <f t="shared" si="17"/>
        <v>26</v>
      </c>
      <c r="K574" s="77" t="s">
        <v>1271</v>
      </c>
      <c r="L574" s="77">
        <v>3</v>
      </c>
      <c r="M574" s="77" t="s">
        <v>1272</v>
      </c>
      <c r="N574" s="88" t="s">
        <v>203</v>
      </c>
      <c r="O574" s="77" t="s">
        <v>121</v>
      </c>
      <c r="P574" s="77"/>
      <c r="Q574" s="31"/>
      <c r="R574" s="63"/>
    </row>
    <row r="575" spans="1:18" ht="39.75" hidden="1" customHeight="1" x14ac:dyDescent="0.25">
      <c r="A575" s="78">
        <f>IF(B575="","",COUNTA($B$7:B574))</f>
        <v>568</v>
      </c>
      <c r="B575" s="85">
        <v>46164</v>
      </c>
      <c r="C575" s="77" t="s">
        <v>181</v>
      </c>
      <c r="D575" s="77" t="s">
        <v>182</v>
      </c>
      <c r="E575" s="77" t="s">
        <v>1273</v>
      </c>
      <c r="F575" s="77" t="s">
        <v>118</v>
      </c>
      <c r="G575" s="77" t="s">
        <v>69</v>
      </c>
      <c r="H575" s="131" t="s">
        <v>118</v>
      </c>
      <c r="I575" s="86" t="str">
        <f t="shared" si="16"/>
        <v>LENC</v>
      </c>
      <c r="J575" s="86" t="str">
        <f t="shared" si="17"/>
        <v>26</v>
      </c>
      <c r="K575" s="77" t="s">
        <v>1274</v>
      </c>
      <c r="L575" s="77">
        <v>3</v>
      </c>
      <c r="M575" s="77" t="s">
        <v>1275</v>
      </c>
      <c r="N575" s="88" t="s">
        <v>203</v>
      </c>
      <c r="O575" s="77" t="s">
        <v>121</v>
      </c>
      <c r="P575" s="77"/>
      <c r="Q575" s="31"/>
      <c r="R575" s="63"/>
    </row>
    <row r="576" spans="1:18" ht="39.75" hidden="1" customHeight="1" x14ac:dyDescent="0.25">
      <c r="A576" s="78">
        <f>IF(B576="","",COUNTA($B$7:B575))</f>
        <v>569</v>
      </c>
      <c r="B576" s="85">
        <v>46167</v>
      </c>
      <c r="C576" s="77" t="s">
        <v>122</v>
      </c>
      <c r="D576" s="77" t="s">
        <v>1276</v>
      </c>
      <c r="E576" s="77" t="s">
        <v>1277</v>
      </c>
      <c r="F576" s="77" t="s">
        <v>118</v>
      </c>
      <c r="G576" s="77" t="s">
        <v>1278</v>
      </c>
      <c r="H576" s="131" t="s">
        <v>118</v>
      </c>
      <c r="I576" s="86" t="str">
        <f t="shared" si="16"/>
        <v>LENC</v>
      </c>
      <c r="J576" s="86" t="str">
        <f t="shared" si="17"/>
        <v>26</v>
      </c>
      <c r="K576" s="77" t="s">
        <v>1279</v>
      </c>
      <c r="L576" s="77">
        <v>2</v>
      </c>
      <c r="M576" s="77" t="s">
        <v>1280</v>
      </c>
      <c r="N576" s="88" t="s">
        <v>166</v>
      </c>
      <c r="O576" s="77" t="s">
        <v>121</v>
      </c>
      <c r="P576" s="77"/>
      <c r="Q576" s="31"/>
      <c r="R576" s="63"/>
    </row>
    <row r="577" spans="1:18" ht="39.75" hidden="1" customHeight="1" x14ac:dyDescent="0.25">
      <c r="A577" s="78">
        <f>IF(B577="","",COUNTA($B$7:B576))</f>
        <v>570</v>
      </c>
      <c r="B577" s="85">
        <v>46167</v>
      </c>
      <c r="C577" s="77" t="s">
        <v>122</v>
      </c>
      <c r="D577" s="77" t="s">
        <v>1281</v>
      </c>
      <c r="E577" s="77" t="s">
        <v>1282</v>
      </c>
      <c r="F577" s="77" t="s">
        <v>118</v>
      </c>
      <c r="G577" s="77" t="s">
        <v>1283</v>
      </c>
      <c r="H577" s="131" t="s">
        <v>118</v>
      </c>
      <c r="I577" s="86" t="str">
        <f t="shared" si="16"/>
        <v>LENC</v>
      </c>
      <c r="J577" s="86" t="str">
        <f t="shared" si="17"/>
        <v>26</v>
      </c>
      <c r="K577" s="77" t="s">
        <v>1279</v>
      </c>
      <c r="L577" s="77">
        <v>2</v>
      </c>
      <c r="M577" s="77" t="s">
        <v>1280</v>
      </c>
      <c r="N577" s="88" t="s">
        <v>166</v>
      </c>
      <c r="O577" s="77" t="s">
        <v>121</v>
      </c>
      <c r="P577" s="77"/>
      <c r="Q577" s="31"/>
      <c r="R577" s="63"/>
    </row>
    <row r="578" spans="1:18" ht="39.75" hidden="1" customHeight="1" x14ac:dyDescent="0.25">
      <c r="A578" s="78">
        <f>IF(B578="","",COUNTA($B$7:B577))</f>
        <v>571</v>
      </c>
      <c r="B578" s="85">
        <v>46164</v>
      </c>
      <c r="C578" s="77" t="s">
        <v>611</v>
      </c>
      <c r="D578" s="77" t="s">
        <v>1284</v>
      </c>
      <c r="E578" s="77" t="s">
        <v>69</v>
      </c>
      <c r="F578" s="77" t="s">
        <v>118</v>
      </c>
      <c r="G578" s="77" t="s">
        <v>69</v>
      </c>
      <c r="H578" s="131" t="s">
        <v>118</v>
      </c>
      <c r="I578" s="86" t="str">
        <f t="shared" si="16"/>
        <v>LENC</v>
      </c>
      <c r="J578" s="86" t="str">
        <f t="shared" si="17"/>
        <v>26</v>
      </c>
      <c r="K578" s="77" t="s">
        <v>1285</v>
      </c>
      <c r="L578" s="77">
        <v>2</v>
      </c>
      <c r="M578" s="77" t="s">
        <v>1286</v>
      </c>
      <c r="N578" s="88" t="s">
        <v>198</v>
      </c>
      <c r="O578" s="77" t="s">
        <v>121</v>
      </c>
      <c r="P578" s="77"/>
      <c r="Q578" s="31"/>
      <c r="R578" s="63"/>
    </row>
    <row r="579" spans="1:18" ht="39.75" hidden="1" customHeight="1" x14ac:dyDescent="0.25">
      <c r="A579" s="78">
        <f>IF(B579="","",COUNTA($B$7:B578))</f>
        <v>572</v>
      </c>
      <c r="B579" s="85">
        <v>46167</v>
      </c>
      <c r="C579" s="77" t="s">
        <v>1287</v>
      </c>
      <c r="D579" s="77" t="s">
        <v>1288</v>
      </c>
      <c r="E579" s="77" t="s">
        <v>1289</v>
      </c>
      <c r="F579" s="77" t="s">
        <v>118</v>
      </c>
      <c r="G579" s="77" t="s">
        <v>69</v>
      </c>
      <c r="H579" s="131" t="s">
        <v>118</v>
      </c>
      <c r="I579" s="86" t="str">
        <f t="shared" si="16"/>
        <v>LENC</v>
      </c>
      <c r="J579" s="86" t="str">
        <f t="shared" si="17"/>
        <v>26</v>
      </c>
      <c r="K579" s="77" t="s">
        <v>1290</v>
      </c>
      <c r="L579" s="77">
        <v>2</v>
      </c>
      <c r="M579" s="77" t="s">
        <v>1291</v>
      </c>
      <c r="N579" s="88" t="s">
        <v>198</v>
      </c>
      <c r="O579" s="77" t="s">
        <v>172</v>
      </c>
      <c r="P579" s="77"/>
      <c r="Q579" s="31"/>
      <c r="R579" s="63"/>
    </row>
    <row r="580" spans="1:18" ht="39.75" hidden="1" customHeight="1" x14ac:dyDescent="0.25">
      <c r="A580" s="78">
        <f>IF(B580="","",COUNTA($B$7:B579))</f>
        <v>573</v>
      </c>
      <c r="B580" s="85">
        <v>46167</v>
      </c>
      <c r="C580" s="77" t="s">
        <v>1287</v>
      </c>
      <c r="D580" s="77" t="s">
        <v>1292</v>
      </c>
      <c r="E580" s="77" t="s">
        <v>1289</v>
      </c>
      <c r="F580" s="77" t="s">
        <v>118</v>
      </c>
      <c r="G580" s="77" t="s">
        <v>69</v>
      </c>
      <c r="H580" s="131" t="s">
        <v>118</v>
      </c>
      <c r="I580" s="86" t="str">
        <f t="shared" si="16"/>
        <v>LENC</v>
      </c>
      <c r="J580" s="86" t="str">
        <f t="shared" si="17"/>
        <v>26</v>
      </c>
      <c r="K580" s="77" t="s">
        <v>1290</v>
      </c>
      <c r="L580" s="77">
        <v>2</v>
      </c>
      <c r="M580" s="77" t="s">
        <v>1291</v>
      </c>
      <c r="N580" s="88" t="s">
        <v>198</v>
      </c>
      <c r="O580" s="77" t="s">
        <v>172</v>
      </c>
      <c r="P580" s="77"/>
      <c r="Q580" s="31"/>
      <c r="R580" s="63"/>
    </row>
    <row r="581" spans="1:18" ht="39.75" hidden="1" customHeight="1" x14ac:dyDescent="0.25">
      <c r="A581" s="78">
        <f>IF(B581="","",COUNTA($B$7:B580))</f>
        <v>574</v>
      </c>
      <c r="B581" s="85">
        <v>46167</v>
      </c>
      <c r="C581" s="77" t="s">
        <v>1287</v>
      </c>
      <c r="D581" s="77" t="s">
        <v>1293</v>
      </c>
      <c r="E581" s="77" t="s">
        <v>1289</v>
      </c>
      <c r="F581" s="77" t="s">
        <v>118</v>
      </c>
      <c r="G581" s="77" t="s">
        <v>69</v>
      </c>
      <c r="H581" s="131" t="s">
        <v>118</v>
      </c>
      <c r="I581" s="86" t="str">
        <f t="shared" si="16"/>
        <v>LENC</v>
      </c>
      <c r="J581" s="86" t="str">
        <f t="shared" si="17"/>
        <v>26</v>
      </c>
      <c r="K581" s="77" t="s">
        <v>1290</v>
      </c>
      <c r="L581" s="77">
        <v>2</v>
      </c>
      <c r="M581" s="77" t="s">
        <v>1291</v>
      </c>
      <c r="N581" s="88" t="s">
        <v>198</v>
      </c>
      <c r="O581" s="77" t="s">
        <v>172</v>
      </c>
      <c r="P581" s="77"/>
      <c r="Q581" s="31"/>
      <c r="R581" s="63"/>
    </row>
    <row r="582" spans="1:18" ht="39.75" hidden="1" customHeight="1" x14ac:dyDescent="0.25">
      <c r="A582" s="78">
        <f>IF(B582="","",COUNTA($B$7:B581))</f>
        <v>575</v>
      </c>
      <c r="B582" s="85">
        <v>46167</v>
      </c>
      <c r="C582" s="77" t="s">
        <v>138</v>
      </c>
      <c r="D582" s="77" t="s">
        <v>1294</v>
      </c>
      <c r="E582" s="77" t="s">
        <v>69</v>
      </c>
      <c r="F582" s="77" t="s">
        <v>118</v>
      </c>
      <c r="G582" s="77" t="s">
        <v>1295</v>
      </c>
      <c r="H582" s="131" t="s">
        <v>118</v>
      </c>
      <c r="I582" s="86" t="str">
        <f t="shared" si="16"/>
        <v>LENC</v>
      </c>
      <c r="J582" s="86" t="str">
        <f t="shared" si="17"/>
        <v>26</v>
      </c>
      <c r="K582" s="77" t="s">
        <v>1296</v>
      </c>
      <c r="L582" s="77">
        <v>2</v>
      </c>
      <c r="M582" s="77" t="s">
        <v>1297</v>
      </c>
      <c r="N582" s="88" t="s">
        <v>711</v>
      </c>
      <c r="O582" s="77" t="s">
        <v>172</v>
      </c>
      <c r="P582" s="77"/>
      <c r="Q582" s="31"/>
      <c r="R582" s="63"/>
    </row>
    <row r="583" spans="1:18" ht="39.75" hidden="1" customHeight="1" x14ac:dyDescent="0.25">
      <c r="A583" s="78">
        <f>IF(B583="","",COUNTA($B$7:B582))</f>
        <v>576</v>
      </c>
      <c r="B583" s="85">
        <v>46168</v>
      </c>
      <c r="C583" s="77" t="s">
        <v>208</v>
      </c>
      <c r="D583" s="77" t="s">
        <v>1115</v>
      </c>
      <c r="E583" s="77" t="s">
        <v>69</v>
      </c>
      <c r="F583" s="77" t="s">
        <v>118</v>
      </c>
      <c r="G583" s="110" t="s">
        <v>1298</v>
      </c>
      <c r="H583" s="131" t="s">
        <v>118</v>
      </c>
      <c r="I583" s="86" t="str">
        <f t="shared" si="16"/>
        <v>LENC</v>
      </c>
      <c r="J583" s="86" t="str">
        <f t="shared" si="17"/>
        <v>26</v>
      </c>
      <c r="K583" s="77" t="s">
        <v>1299</v>
      </c>
      <c r="L583" s="77">
        <v>1</v>
      </c>
      <c r="M583" s="77" t="s">
        <v>1300</v>
      </c>
      <c r="N583" s="88" t="s">
        <v>711</v>
      </c>
      <c r="O583" s="77" t="s">
        <v>172</v>
      </c>
      <c r="P583" s="77"/>
      <c r="Q583" s="31"/>
      <c r="R583" s="63"/>
    </row>
    <row r="584" spans="1:18" ht="39.75" hidden="1" customHeight="1" x14ac:dyDescent="0.25">
      <c r="A584" s="78">
        <f>IF(B584="","",COUNTA($B$7:B583))</f>
        <v>577</v>
      </c>
      <c r="B584" s="85">
        <v>46168</v>
      </c>
      <c r="C584" s="77" t="s">
        <v>305</v>
      </c>
      <c r="D584" s="77" t="s">
        <v>1301</v>
      </c>
      <c r="E584" s="77" t="s">
        <v>1302</v>
      </c>
      <c r="F584" s="77" t="s">
        <v>118</v>
      </c>
      <c r="G584" s="110" t="s">
        <v>1303</v>
      </c>
      <c r="H584" s="131" t="s">
        <v>118</v>
      </c>
      <c r="I584" s="86" t="str">
        <f t="shared" si="16"/>
        <v>LENC</v>
      </c>
      <c r="J584" s="86" t="str">
        <f t="shared" si="17"/>
        <v>26</v>
      </c>
      <c r="K584" s="77" t="s">
        <v>69</v>
      </c>
      <c r="L584" s="77">
        <v>1</v>
      </c>
      <c r="M584" s="77" t="s">
        <v>69</v>
      </c>
      <c r="N584" s="88" t="s">
        <v>137</v>
      </c>
      <c r="O584" s="77" t="s">
        <v>121</v>
      </c>
      <c r="P584" s="77"/>
      <c r="Q584" s="31"/>
      <c r="R584" s="63"/>
    </row>
    <row r="585" spans="1:18" ht="39.75" hidden="1" customHeight="1" x14ac:dyDescent="0.25">
      <c r="A585" s="78">
        <f>IF(B585="","",COUNTA($B$7:B584))</f>
        <v>578</v>
      </c>
      <c r="B585" s="85">
        <v>46168</v>
      </c>
      <c r="C585" s="77" t="s">
        <v>208</v>
      </c>
      <c r="D585" s="77" t="s">
        <v>188</v>
      </c>
      <c r="E585" s="77" t="s">
        <v>1304</v>
      </c>
      <c r="F585" s="77" t="s">
        <v>118</v>
      </c>
      <c r="G585" s="110" t="s">
        <v>1305</v>
      </c>
      <c r="H585" s="131" t="s">
        <v>118</v>
      </c>
      <c r="I585" s="86" t="str">
        <f t="shared" ref="I585:I649" si="18">IF(B585="","","LENC")</f>
        <v>LENC</v>
      </c>
      <c r="J585" s="86" t="str">
        <f t="shared" ref="J585:J649" si="19">IF(B585="","",TEXT(B585,"yy"))</f>
        <v>26</v>
      </c>
      <c r="K585" s="77" t="s">
        <v>1306</v>
      </c>
      <c r="L585" s="77">
        <v>1</v>
      </c>
      <c r="M585" s="77" t="s">
        <v>1307</v>
      </c>
      <c r="N585" s="88" t="s">
        <v>711</v>
      </c>
      <c r="O585" s="77" t="s">
        <v>172</v>
      </c>
      <c r="P585" s="77"/>
      <c r="Q585" s="31"/>
      <c r="R585" s="63"/>
    </row>
    <row r="586" spans="1:18" ht="39.75" hidden="1" customHeight="1" x14ac:dyDescent="0.25">
      <c r="A586" s="78">
        <f>IF(B586="","",COUNTA($B$7:B585))</f>
        <v>579</v>
      </c>
      <c r="B586" s="85">
        <v>46167</v>
      </c>
      <c r="C586" s="77" t="s">
        <v>115</v>
      </c>
      <c r="D586" s="77" t="s">
        <v>310</v>
      </c>
      <c r="E586" s="77" t="s">
        <v>69</v>
      </c>
      <c r="F586" s="77" t="s">
        <v>118</v>
      </c>
      <c r="G586" s="77" t="s">
        <v>1308</v>
      </c>
      <c r="H586" s="131" t="s">
        <v>118</v>
      </c>
      <c r="I586" s="86" t="str">
        <f t="shared" si="18"/>
        <v>LENC</v>
      </c>
      <c r="J586" s="86" t="str">
        <f t="shared" si="19"/>
        <v>26</v>
      </c>
      <c r="K586" s="77" t="s">
        <v>1309</v>
      </c>
      <c r="L586" s="77">
        <v>5</v>
      </c>
      <c r="M586" s="77" t="s">
        <v>1310</v>
      </c>
      <c r="N586" s="88" t="s">
        <v>711</v>
      </c>
      <c r="O586" s="77" t="s">
        <v>172</v>
      </c>
      <c r="P586" s="77"/>
      <c r="Q586" s="31"/>
      <c r="R586" s="63"/>
    </row>
    <row r="587" spans="1:18" ht="39.75" hidden="1" customHeight="1" x14ac:dyDescent="0.25">
      <c r="A587" s="78">
        <f>IF(B587="","",COUNTA($B$7:B586))</f>
        <v>580</v>
      </c>
      <c r="B587" s="85">
        <v>46170</v>
      </c>
      <c r="C587" s="77" t="s">
        <v>115</v>
      </c>
      <c r="D587" s="77" t="s">
        <v>1311</v>
      </c>
      <c r="E587" s="77" t="s">
        <v>69</v>
      </c>
      <c r="F587" s="77" t="s">
        <v>118</v>
      </c>
      <c r="G587" s="77" t="s">
        <v>1312</v>
      </c>
      <c r="H587" s="131" t="s">
        <v>118</v>
      </c>
      <c r="I587" s="86" t="str">
        <f t="shared" si="18"/>
        <v>LENC</v>
      </c>
      <c r="J587" s="86" t="str">
        <f t="shared" si="19"/>
        <v>26</v>
      </c>
      <c r="K587" s="77" t="s">
        <v>1309</v>
      </c>
      <c r="L587" s="77"/>
      <c r="M587" s="77" t="s">
        <v>1310</v>
      </c>
      <c r="N587" s="88" t="s">
        <v>711</v>
      </c>
      <c r="O587" s="77" t="s">
        <v>172</v>
      </c>
      <c r="P587" s="77"/>
      <c r="Q587" s="31"/>
      <c r="R587" s="63"/>
    </row>
    <row r="588" spans="1:18" ht="39.75" hidden="1" customHeight="1" x14ac:dyDescent="0.25">
      <c r="A588" s="78">
        <f>IF(B588="","",COUNTA($B$7:B587))</f>
        <v>581</v>
      </c>
      <c r="B588" s="85">
        <v>46171</v>
      </c>
      <c r="C588" s="77" t="s">
        <v>611</v>
      </c>
      <c r="D588" s="77" t="s">
        <v>1313</v>
      </c>
      <c r="E588" s="77" t="s">
        <v>69</v>
      </c>
      <c r="F588" s="77" t="s">
        <v>118</v>
      </c>
      <c r="G588" s="77" t="s">
        <v>69</v>
      </c>
      <c r="H588" s="131" t="s">
        <v>118</v>
      </c>
      <c r="I588" s="86" t="str">
        <f t="shared" si="18"/>
        <v>LENC</v>
      </c>
      <c r="J588" s="86" t="str">
        <f t="shared" si="19"/>
        <v>26</v>
      </c>
      <c r="K588" s="77" t="s">
        <v>69</v>
      </c>
      <c r="L588" s="77">
        <v>1</v>
      </c>
      <c r="M588" s="77" t="s">
        <v>69</v>
      </c>
      <c r="N588" s="88" t="s">
        <v>203</v>
      </c>
      <c r="O588" s="77" t="s">
        <v>121</v>
      </c>
      <c r="P588" s="77"/>
      <c r="Q588" s="31"/>
      <c r="R588" s="63"/>
    </row>
    <row r="589" spans="1:18" ht="39.75" hidden="1" customHeight="1" x14ac:dyDescent="0.25">
      <c r="A589" s="78">
        <f>IF(B589="","",COUNTA($B$7:B588))</f>
        <v>582</v>
      </c>
      <c r="B589" s="85">
        <v>46171</v>
      </c>
      <c r="C589" s="77" t="s">
        <v>305</v>
      </c>
      <c r="D589" s="77" t="s">
        <v>1314</v>
      </c>
      <c r="E589" s="77" t="s">
        <v>622</v>
      </c>
      <c r="F589" s="77" t="s">
        <v>118</v>
      </c>
      <c r="G589" s="77" t="s">
        <v>623</v>
      </c>
      <c r="H589" s="131" t="s">
        <v>118</v>
      </c>
      <c r="I589" s="86" t="str">
        <f t="shared" si="18"/>
        <v>LENC</v>
      </c>
      <c r="J589" s="86" t="str">
        <f t="shared" si="19"/>
        <v>26</v>
      </c>
      <c r="K589" s="77" t="s">
        <v>1315</v>
      </c>
      <c r="L589" s="77">
        <v>1</v>
      </c>
      <c r="M589" s="77" t="s">
        <v>1316</v>
      </c>
      <c r="N589" s="88" t="s">
        <v>137</v>
      </c>
      <c r="O589" s="77" t="s">
        <v>121</v>
      </c>
      <c r="P589" s="77"/>
      <c r="Q589" s="31"/>
      <c r="R589" s="63"/>
    </row>
    <row r="590" spans="1:18" ht="39.75" hidden="1" customHeight="1" x14ac:dyDescent="0.25">
      <c r="A590" s="78">
        <f>IF(B590="","",COUNTA($B$7:B589))</f>
        <v>583</v>
      </c>
      <c r="B590" s="85">
        <v>46171</v>
      </c>
      <c r="C590" s="77" t="s">
        <v>305</v>
      </c>
      <c r="D590" s="77" t="s">
        <v>1314</v>
      </c>
      <c r="E590" s="77" t="s">
        <v>622</v>
      </c>
      <c r="F590" s="77" t="s">
        <v>118</v>
      </c>
      <c r="G590" s="77" t="s">
        <v>1317</v>
      </c>
      <c r="H590" s="131" t="s">
        <v>118</v>
      </c>
      <c r="I590" s="86" t="str">
        <f t="shared" si="18"/>
        <v>LENC</v>
      </c>
      <c r="J590" s="86" t="str">
        <f t="shared" si="19"/>
        <v>26</v>
      </c>
      <c r="K590" s="77" t="s">
        <v>1315</v>
      </c>
      <c r="L590" s="77">
        <v>1</v>
      </c>
      <c r="M590" s="77" t="s">
        <v>1316</v>
      </c>
      <c r="N590" s="88" t="s">
        <v>137</v>
      </c>
      <c r="O590" s="77" t="s">
        <v>121</v>
      </c>
      <c r="P590" s="77"/>
      <c r="Q590" s="31"/>
      <c r="R590" s="63"/>
    </row>
    <row r="591" spans="1:18" ht="39.75" hidden="1" customHeight="1" x14ac:dyDescent="0.25">
      <c r="A591" s="78">
        <f>IF(B591="","",COUNTA($B$7:B590))</f>
        <v>584</v>
      </c>
      <c r="B591" s="85">
        <v>46174</v>
      </c>
      <c r="C591" s="77" t="s">
        <v>1318</v>
      </c>
      <c r="D591" s="77" t="s">
        <v>308</v>
      </c>
      <c r="E591" s="77" t="s">
        <v>69</v>
      </c>
      <c r="F591" s="77" t="s">
        <v>118</v>
      </c>
      <c r="G591" s="114">
        <v>1000198</v>
      </c>
      <c r="H591" s="131" t="s">
        <v>118</v>
      </c>
      <c r="I591" s="86" t="str">
        <f t="shared" si="18"/>
        <v>LENC</v>
      </c>
      <c r="J591" s="86" t="str">
        <f t="shared" si="19"/>
        <v>26</v>
      </c>
      <c r="K591" s="77" t="s">
        <v>1319</v>
      </c>
      <c r="L591" s="77">
        <v>1</v>
      </c>
      <c r="M591" s="77" t="s">
        <v>1320</v>
      </c>
      <c r="N591" s="88" t="s">
        <v>711</v>
      </c>
      <c r="O591" s="77" t="s">
        <v>172</v>
      </c>
      <c r="P591" s="77"/>
      <c r="Q591" s="31"/>
      <c r="R591" s="63"/>
    </row>
    <row r="592" spans="1:18" ht="39.75" hidden="1" customHeight="1" x14ac:dyDescent="0.25">
      <c r="A592" s="78">
        <f>IF(B592="","",COUNTA($B$7:B591))</f>
        <v>585</v>
      </c>
      <c r="B592" s="85">
        <v>46174</v>
      </c>
      <c r="C592" s="77" t="s">
        <v>1318</v>
      </c>
      <c r="D592" s="77" t="s">
        <v>308</v>
      </c>
      <c r="E592" s="77" t="s">
        <v>69</v>
      </c>
      <c r="F592" s="77" t="s">
        <v>118</v>
      </c>
      <c r="G592" s="114">
        <v>1000197</v>
      </c>
      <c r="H592" s="131" t="s">
        <v>118</v>
      </c>
      <c r="I592" s="86" t="str">
        <f t="shared" si="18"/>
        <v>LENC</v>
      </c>
      <c r="J592" s="86" t="str">
        <f t="shared" si="19"/>
        <v>26</v>
      </c>
      <c r="K592" s="77" t="s">
        <v>1319</v>
      </c>
      <c r="L592" s="77">
        <v>1</v>
      </c>
      <c r="M592" s="77" t="s">
        <v>1320</v>
      </c>
      <c r="N592" s="88" t="s">
        <v>711</v>
      </c>
      <c r="O592" s="77" t="s">
        <v>172</v>
      </c>
      <c r="P592" s="77"/>
      <c r="Q592" s="31"/>
      <c r="R592" s="63"/>
    </row>
    <row r="593" spans="1:18" ht="39.75" hidden="1" customHeight="1" x14ac:dyDescent="0.25">
      <c r="A593" s="78">
        <f>IF(B593="","",COUNTA($B$7:B592))</f>
        <v>586</v>
      </c>
      <c r="B593" s="85">
        <v>46174</v>
      </c>
      <c r="C593" s="77" t="s">
        <v>122</v>
      </c>
      <c r="D593" s="77" t="s">
        <v>1166</v>
      </c>
      <c r="E593" s="77" t="s">
        <v>1321</v>
      </c>
      <c r="F593" s="77" t="s">
        <v>118</v>
      </c>
      <c r="G593" s="77" t="s">
        <v>1322</v>
      </c>
      <c r="H593" s="131" t="s">
        <v>118</v>
      </c>
      <c r="I593" s="86" t="str">
        <f t="shared" si="18"/>
        <v>LENC</v>
      </c>
      <c r="J593" s="86" t="str">
        <f t="shared" si="19"/>
        <v>26</v>
      </c>
      <c r="K593" s="77" t="s">
        <v>1323</v>
      </c>
      <c r="L593" s="77">
        <v>2</v>
      </c>
      <c r="M593" s="77" t="s">
        <v>1324</v>
      </c>
      <c r="N593" s="88" t="s">
        <v>711</v>
      </c>
      <c r="O593" s="77" t="s">
        <v>172</v>
      </c>
      <c r="P593" s="77"/>
      <c r="Q593" s="31"/>
      <c r="R593" s="63"/>
    </row>
    <row r="594" spans="1:18" ht="39.75" hidden="1" customHeight="1" x14ac:dyDescent="0.25">
      <c r="A594" s="78">
        <f>IF(B594="","",COUNTA($B$7:B593))</f>
        <v>587</v>
      </c>
      <c r="B594" s="85">
        <v>46175</v>
      </c>
      <c r="C594" s="77" t="s">
        <v>1325</v>
      </c>
      <c r="D594" s="77" t="s">
        <v>1326</v>
      </c>
      <c r="E594" s="77" t="s">
        <v>1327</v>
      </c>
      <c r="F594" s="77" t="s">
        <v>118</v>
      </c>
      <c r="G594" s="77" t="s">
        <v>69</v>
      </c>
      <c r="H594" s="131" t="s">
        <v>118</v>
      </c>
      <c r="I594" s="86" t="str">
        <f t="shared" si="18"/>
        <v>LENC</v>
      </c>
      <c r="J594" s="86" t="str">
        <f t="shared" si="19"/>
        <v>26</v>
      </c>
      <c r="K594" s="77" t="s">
        <v>1328</v>
      </c>
      <c r="L594" s="77">
        <v>1</v>
      </c>
      <c r="M594" s="77" t="s">
        <v>1112</v>
      </c>
      <c r="N594" s="88" t="s">
        <v>137</v>
      </c>
      <c r="O594" s="77" t="s">
        <v>121</v>
      </c>
      <c r="P594" s="77"/>
      <c r="Q594" s="31"/>
      <c r="R594" s="63"/>
    </row>
    <row r="595" spans="1:18" ht="39.75" hidden="1" customHeight="1" x14ac:dyDescent="0.25">
      <c r="A595" s="78">
        <f>IF(B595="","",COUNTA($B$7:B594))</f>
        <v>588</v>
      </c>
      <c r="B595" s="85">
        <v>46175</v>
      </c>
      <c r="C595" s="77" t="s">
        <v>1325</v>
      </c>
      <c r="D595" s="77" t="s">
        <v>1329</v>
      </c>
      <c r="E595" s="77" t="s">
        <v>1327</v>
      </c>
      <c r="F595" s="77" t="s">
        <v>118</v>
      </c>
      <c r="G595" s="77" t="s">
        <v>69</v>
      </c>
      <c r="H595" s="131" t="s">
        <v>118</v>
      </c>
      <c r="I595" s="86" t="str">
        <f t="shared" si="18"/>
        <v>LENC</v>
      </c>
      <c r="J595" s="86" t="str">
        <f t="shared" si="19"/>
        <v>26</v>
      </c>
      <c r="K595" s="77" t="s">
        <v>1328</v>
      </c>
      <c r="L595" s="77">
        <v>1</v>
      </c>
      <c r="M595" s="77" t="s">
        <v>1112</v>
      </c>
      <c r="N595" s="88" t="s">
        <v>137</v>
      </c>
      <c r="O595" s="77" t="s">
        <v>121</v>
      </c>
      <c r="P595" s="77"/>
      <c r="Q595" s="31"/>
      <c r="R595" s="63"/>
    </row>
    <row r="596" spans="1:18" ht="39.75" hidden="1" customHeight="1" x14ac:dyDescent="0.25">
      <c r="A596" s="78">
        <f>IF(B596="","",COUNTA($B$7:B595))</f>
        <v>589</v>
      </c>
      <c r="B596" s="85">
        <v>46175</v>
      </c>
      <c r="C596" s="77" t="s">
        <v>1325</v>
      </c>
      <c r="D596" s="77" t="s">
        <v>1330</v>
      </c>
      <c r="E596" s="77" t="s">
        <v>1327</v>
      </c>
      <c r="F596" s="77" t="s">
        <v>118</v>
      </c>
      <c r="G596" s="77" t="s">
        <v>69</v>
      </c>
      <c r="H596" s="131" t="s">
        <v>118</v>
      </c>
      <c r="I596" s="86" t="str">
        <f t="shared" si="18"/>
        <v>LENC</v>
      </c>
      <c r="J596" s="86" t="str">
        <f t="shared" si="19"/>
        <v>26</v>
      </c>
      <c r="K596" s="77" t="s">
        <v>1328</v>
      </c>
      <c r="L596" s="77">
        <v>1</v>
      </c>
      <c r="M596" s="77" t="s">
        <v>1112</v>
      </c>
      <c r="N596" s="88" t="s">
        <v>137</v>
      </c>
      <c r="O596" s="77" t="s">
        <v>121</v>
      </c>
      <c r="P596" s="77"/>
      <c r="Q596" s="31"/>
      <c r="R596" s="63"/>
    </row>
    <row r="597" spans="1:18" ht="39.75" hidden="1" customHeight="1" x14ac:dyDescent="0.25">
      <c r="A597" s="78">
        <f>IF(B597="","",COUNTA($B$7:B596))</f>
        <v>590</v>
      </c>
      <c r="B597" s="85">
        <v>46175</v>
      </c>
      <c r="C597" s="77" t="s">
        <v>1325</v>
      </c>
      <c r="D597" s="77" t="s">
        <v>1331</v>
      </c>
      <c r="E597" s="77" t="s">
        <v>1327</v>
      </c>
      <c r="F597" s="77" t="s">
        <v>118</v>
      </c>
      <c r="G597" s="77" t="s">
        <v>69</v>
      </c>
      <c r="H597" s="131" t="s">
        <v>118</v>
      </c>
      <c r="I597" s="86" t="str">
        <f t="shared" si="18"/>
        <v>LENC</v>
      </c>
      <c r="J597" s="86" t="str">
        <f t="shared" si="19"/>
        <v>26</v>
      </c>
      <c r="K597" s="77" t="s">
        <v>1328</v>
      </c>
      <c r="L597" s="77">
        <v>1</v>
      </c>
      <c r="M597" s="77" t="s">
        <v>1112</v>
      </c>
      <c r="N597" s="88" t="s">
        <v>137</v>
      </c>
      <c r="O597" s="77" t="s">
        <v>121</v>
      </c>
      <c r="P597" s="77"/>
      <c r="Q597" s="31"/>
      <c r="R597" s="63"/>
    </row>
    <row r="598" spans="1:18" ht="39.75" hidden="1" customHeight="1" x14ac:dyDescent="0.25">
      <c r="A598" s="78">
        <f>IF(B598="","",COUNTA($B$7:B597))</f>
        <v>591</v>
      </c>
      <c r="B598" s="85">
        <v>46175</v>
      </c>
      <c r="C598" s="77" t="s">
        <v>1325</v>
      </c>
      <c r="D598" s="77" t="s">
        <v>1332</v>
      </c>
      <c r="E598" s="77" t="s">
        <v>1327</v>
      </c>
      <c r="F598" s="77" t="s">
        <v>118</v>
      </c>
      <c r="G598" s="77" t="s">
        <v>69</v>
      </c>
      <c r="H598" s="131" t="s">
        <v>118</v>
      </c>
      <c r="I598" s="86" t="str">
        <f t="shared" si="18"/>
        <v>LENC</v>
      </c>
      <c r="J598" s="86" t="str">
        <f t="shared" si="19"/>
        <v>26</v>
      </c>
      <c r="K598" s="77" t="s">
        <v>1328</v>
      </c>
      <c r="L598" s="77">
        <v>1</v>
      </c>
      <c r="M598" s="77" t="s">
        <v>1112</v>
      </c>
      <c r="N598" s="88" t="s">
        <v>137</v>
      </c>
      <c r="O598" s="77" t="s">
        <v>121</v>
      </c>
      <c r="P598" s="77"/>
      <c r="Q598" s="31"/>
      <c r="R598" s="63"/>
    </row>
    <row r="599" spans="1:18" ht="39.75" hidden="1" customHeight="1" x14ac:dyDescent="0.25">
      <c r="A599" s="78">
        <f>IF(B599="","",COUNTA($B$7:B598))</f>
        <v>592</v>
      </c>
      <c r="B599" s="85">
        <v>46175</v>
      </c>
      <c r="C599" s="77" t="s">
        <v>1333</v>
      </c>
      <c r="D599" s="77" t="s">
        <v>1334</v>
      </c>
      <c r="E599" s="77" t="s">
        <v>1333</v>
      </c>
      <c r="F599" s="77" t="s">
        <v>118</v>
      </c>
      <c r="G599" s="77" t="s">
        <v>69</v>
      </c>
      <c r="H599" s="131" t="s">
        <v>118</v>
      </c>
      <c r="I599" s="86" t="str">
        <f t="shared" si="18"/>
        <v>LENC</v>
      </c>
      <c r="J599" s="86" t="str">
        <f t="shared" si="19"/>
        <v>26</v>
      </c>
      <c r="K599" s="77" t="s">
        <v>1335</v>
      </c>
      <c r="L599" s="77">
        <v>2</v>
      </c>
      <c r="M599" s="77" t="s">
        <v>1336</v>
      </c>
      <c r="N599" s="88" t="s">
        <v>137</v>
      </c>
      <c r="O599" s="77" t="s">
        <v>121</v>
      </c>
      <c r="P599" s="77"/>
      <c r="Q599" s="31"/>
      <c r="R599" s="63"/>
    </row>
    <row r="600" spans="1:18" ht="39.75" hidden="1" customHeight="1" x14ac:dyDescent="0.25">
      <c r="A600" s="78">
        <f>IF(B600="","",COUNTA($B$7:B599))</f>
        <v>593</v>
      </c>
      <c r="B600" s="85">
        <v>46175</v>
      </c>
      <c r="C600" s="77" t="s">
        <v>942</v>
      </c>
      <c r="D600" s="77" t="s">
        <v>1334</v>
      </c>
      <c r="E600" s="77" t="s">
        <v>1337</v>
      </c>
      <c r="F600" s="77" t="s">
        <v>118</v>
      </c>
      <c r="G600" s="77" t="s">
        <v>1338</v>
      </c>
      <c r="H600" s="131" t="s">
        <v>118</v>
      </c>
      <c r="I600" s="86" t="str">
        <f t="shared" si="18"/>
        <v>LENC</v>
      </c>
      <c r="J600" s="86" t="str">
        <f t="shared" si="19"/>
        <v>26</v>
      </c>
      <c r="K600" s="77" t="s">
        <v>1339</v>
      </c>
      <c r="L600" s="77">
        <v>2</v>
      </c>
      <c r="M600" s="77" t="s">
        <v>1340</v>
      </c>
      <c r="N600" s="88" t="s">
        <v>137</v>
      </c>
      <c r="O600" s="77" t="s">
        <v>121</v>
      </c>
      <c r="P600" s="77"/>
      <c r="Q600" s="31"/>
      <c r="R600" s="63"/>
    </row>
    <row r="601" spans="1:18" ht="39.75" hidden="1" customHeight="1" x14ac:dyDescent="0.25">
      <c r="A601" s="78">
        <f>IF(B601="","",COUNTA($B$7:B600))</f>
        <v>594</v>
      </c>
      <c r="B601" s="85">
        <v>46170</v>
      </c>
      <c r="C601" s="77" t="s">
        <v>204</v>
      </c>
      <c r="D601" s="77" t="s">
        <v>1341</v>
      </c>
      <c r="E601" s="77" t="s">
        <v>1342</v>
      </c>
      <c r="F601" s="77" t="s">
        <v>118</v>
      </c>
      <c r="G601" s="77" t="s">
        <v>1343</v>
      </c>
      <c r="H601" s="131" t="s">
        <v>118</v>
      </c>
      <c r="I601" s="86" t="str">
        <f t="shared" si="18"/>
        <v>LENC</v>
      </c>
      <c r="J601" s="86" t="str">
        <f t="shared" si="19"/>
        <v>26</v>
      </c>
      <c r="K601" s="77" t="s">
        <v>69</v>
      </c>
      <c r="L601" s="77">
        <v>3</v>
      </c>
      <c r="M601" s="77" t="s">
        <v>69</v>
      </c>
      <c r="N601" s="88" t="s">
        <v>137</v>
      </c>
      <c r="O601" s="77" t="s">
        <v>121</v>
      </c>
      <c r="P601" s="77"/>
      <c r="Q601" s="31"/>
      <c r="R601" s="63"/>
    </row>
    <row r="602" spans="1:18" ht="39.75" hidden="1" customHeight="1" x14ac:dyDescent="0.25">
      <c r="A602" s="78">
        <f>IF(B602="","",COUNTA($B$7:B601))</f>
        <v>595</v>
      </c>
      <c r="B602" s="85">
        <v>46170</v>
      </c>
      <c r="C602" s="77" t="s">
        <v>204</v>
      </c>
      <c r="D602" s="77" t="s">
        <v>1344</v>
      </c>
      <c r="E602" s="77" t="s">
        <v>1342</v>
      </c>
      <c r="F602" s="77" t="s">
        <v>118</v>
      </c>
      <c r="G602" s="77" t="s">
        <v>1345</v>
      </c>
      <c r="H602" s="131" t="s">
        <v>118</v>
      </c>
      <c r="I602" s="86" t="str">
        <f t="shared" si="18"/>
        <v>LENC</v>
      </c>
      <c r="J602" s="86" t="str">
        <f t="shared" si="19"/>
        <v>26</v>
      </c>
      <c r="K602" s="77" t="s">
        <v>69</v>
      </c>
      <c r="L602" s="77">
        <v>3</v>
      </c>
      <c r="M602" s="77" t="s">
        <v>69</v>
      </c>
      <c r="N602" s="88" t="s">
        <v>137</v>
      </c>
      <c r="O602" s="77" t="s">
        <v>121</v>
      </c>
      <c r="P602" s="77"/>
      <c r="Q602" s="31"/>
      <c r="R602" s="63"/>
    </row>
    <row r="603" spans="1:18" ht="39.75" hidden="1" customHeight="1" x14ac:dyDescent="0.25">
      <c r="A603" s="78">
        <f>IF(B603="","",COUNTA($B$7:B602))</f>
        <v>596</v>
      </c>
      <c r="B603" s="85">
        <v>46171</v>
      </c>
      <c r="C603" s="77" t="s">
        <v>208</v>
      </c>
      <c r="D603" s="77" t="s">
        <v>1346</v>
      </c>
      <c r="E603" s="77" t="s">
        <v>69</v>
      </c>
      <c r="F603" s="77" t="s">
        <v>118</v>
      </c>
      <c r="G603" s="77" t="s">
        <v>1347</v>
      </c>
      <c r="H603" s="131" t="s">
        <v>118</v>
      </c>
      <c r="I603" s="86" t="str">
        <f t="shared" si="18"/>
        <v>LENC</v>
      </c>
      <c r="J603" s="86" t="str">
        <f t="shared" si="19"/>
        <v>26</v>
      </c>
      <c r="K603" s="77" t="s">
        <v>1348</v>
      </c>
      <c r="L603" s="77">
        <v>3</v>
      </c>
      <c r="M603" s="77" t="s">
        <v>1349</v>
      </c>
      <c r="N603" s="88" t="s">
        <v>198</v>
      </c>
      <c r="O603" s="77" t="s">
        <v>172</v>
      </c>
      <c r="P603" s="77"/>
      <c r="Q603" s="31"/>
      <c r="R603" s="63"/>
    </row>
    <row r="604" spans="1:18" ht="39.75" hidden="1" customHeight="1" x14ac:dyDescent="0.25">
      <c r="A604" s="78">
        <f>IF(B604="","",COUNTA($B$7:B603))</f>
        <v>597</v>
      </c>
      <c r="B604" s="85">
        <v>46170</v>
      </c>
      <c r="C604" s="77" t="s">
        <v>204</v>
      </c>
      <c r="D604" s="77" t="s">
        <v>1350</v>
      </c>
      <c r="E604" s="77" t="s">
        <v>1342</v>
      </c>
      <c r="F604" s="77" t="s">
        <v>118</v>
      </c>
      <c r="G604" s="77">
        <v>104894</v>
      </c>
      <c r="H604" s="131" t="s">
        <v>118</v>
      </c>
      <c r="I604" s="86" t="str">
        <f t="shared" si="18"/>
        <v>LENC</v>
      </c>
      <c r="J604" s="86" t="str">
        <f t="shared" si="19"/>
        <v>26</v>
      </c>
      <c r="K604" s="77" t="s">
        <v>1351</v>
      </c>
      <c r="L604" s="77"/>
      <c r="M604" s="77" t="s">
        <v>1352</v>
      </c>
      <c r="N604" s="88" t="s">
        <v>432</v>
      </c>
      <c r="O604" s="77" t="s">
        <v>172</v>
      </c>
      <c r="P604" s="77"/>
      <c r="Q604" s="31"/>
      <c r="R604" s="63"/>
    </row>
    <row r="605" spans="1:18" ht="39.75" hidden="1" customHeight="1" x14ac:dyDescent="0.25">
      <c r="A605" s="78">
        <f>IF(B605="","",COUNTA($B$7:B604))</f>
        <v>598</v>
      </c>
      <c r="B605" s="85">
        <v>46170</v>
      </c>
      <c r="C605" s="77" t="s">
        <v>204</v>
      </c>
      <c r="D605" s="77" t="s">
        <v>1353</v>
      </c>
      <c r="E605" s="77" t="s">
        <v>1342</v>
      </c>
      <c r="F605" s="77" t="s">
        <v>118</v>
      </c>
      <c r="G605" s="77" t="s">
        <v>1354</v>
      </c>
      <c r="H605" s="131" t="s">
        <v>118</v>
      </c>
      <c r="I605" s="86" t="str">
        <f t="shared" si="18"/>
        <v>LENC</v>
      </c>
      <c r="J605" s="86" t="str">
        <f t="shared" si="19"/>
        <v>26</v>
      </c>
      <c r="K605" s="77" t="s">
        <v>69</v>
      </c>
      <c r="L605" s="77"/>
      <c r="M605" s="77" t="s">
        <v>69</v>
      </c>
      <c r="N605" s="88" t="s">
        <v>137</v>
      </c>
      <c r="O605" s="77" t="s">
        <v>121</v>
      </c>
      <c r="P605" s="77"/>
      <c r="Q605" s="31"/>
      <c r="R605" s="63"/>
    </row>
    <row r="606" spans="1:18" ht="42.75" hidden="1" customHeight="1" x14ac:dyDescent="0.25">
      <c r="A606" s="78">
        <f>IF(B606="","",COUNTA($B$7:B605))</f>
        <v>599</v>
      </c>
      <c r="B606" s="85">
        <v>46170</v>
      </c>
      <c r="C606" s="77" t="s">
        <v>204</v>
      </c>
      <c r="D606" s="77" t="s">
        <v>1355</v>
      </c>
      <c r="E606" s="77" t="s">
        <v>1342</v>
      </c>
      <c r="F606" s="77" t="s">
        <v>118</v>
      </c>
      <c r="G606" s="77" t="s">
        <v>1356</v>
      </c>
      <c r="H606" s="131" t="s">
        <v>118</v>
      </c>
      <c r="I606" s="86" t="str">
        <f t="shared" si="18"/>
        <v>LENC</v>
      </c>
      <c r="J606" s="86" t="str">
        <f t="shared" si="19"/>
        <v>26</v>
      </c>
      <c r="K606" s="77" t="s">
        <v>69</v>
      </c>
      <c r="L606" s="77"/>
      <c r="M606" s="77" t="s">
        <v>69</v>
      </c>
      <c r="N606" s="88" t="s">
        <v>137</v>
      </c>
      <c r="O606" s="77" t="s">
        <v>121</v>
      </c>
      <c r="P606" s="77"/>
      <c r="Q606" s="31"/>
      <c r="R606" s="63"/>
    </row>
    <row r="607" spans="1:18" ht="39.75" hidden="1" customHeight="1" x14ac:dyDescent="0.25">
      <c r="A607" s="78">
        <f>IF(B607="","",COUNTA($B$7:B606))</f>
        <v>600</v>
      </c>
      <c r="B607" s="85">
        <v>46175</v>
      </c>
      <c r="C607" s="77" t="s">
        <v>1357</v>
      </c>
      <c r="D607" s="77" t="s">
        <v>1358</v>
      </c>
      <c r="E607" s="77" t="s">
        <v>1359</v>
      </c>
      <c r="F607" s="77" t="s">
        <v>118</v>
      </c>
      <c r="G607" s="77" t="s">
        <v>69</v>
      </c>
      <c r="H607" s="131" t="s">
        <v>118</v>
      </c>
      <c r="I607" s="86" t="str">
        <f t="shared" si="18"/>
        <v>LENC</v>
      </c>
      <c r="J607" s="86" t="str">
        <f t="shared" si="19"/>
        <v>26</v>
      </c>
      <c r="K607" s="77" t="s">
        <v>1360</v>
      </c>
      <c r="L607" s="77"/>
      <c r="M607" s="77" t="s">
        <v>1361</v>
      </c>
      <c r="N607" s="88">
        <v>102</v>
      </c>
      <c r="O607" s="77" t="s">
        <v>159</v>
      </c>
      <c r="P607" s="77" t="s">
        <v>478</v>
      </c>
      <c r="Q607" s="31"/>
      <c r="R607" s="63"/>
    </row>
    <row r="608" spans="1:18" ht="39.75" hidden="1" customHeight="1" x14ac:dyDescent="0.25">
      <c r="A608" s="78">
        <f>IF(B608="","",COUNTA($B$7:B607))</f>
        <v>601</v>
      </c>
      <c r="B608" s="85">
        <v>46175</v>
      </c>
      <c r="C608" s="77" t="s">
        <v>1357</v>
      </c>
      <c r="D608" s="77" t="s">
        <v>1362</v>
      </c>
      <c r="E608" s="77" t="s">
        <v>1359</v>
      </c>
      <c r="F608" s="77" t="s">
        <v>118</v>
      </c>
      <c r="G608" s="77" t="s">
        <v>69</v>
      </c>
      <c r="H608" s="131" t="s">
        <v>118</v>
      </c>
      <c r="I608" s="86" t="str">
        <f t="shared" si="18"/>
        <v>LENC</v>
      </c>
      <c r="J608" s="86" t="str">
        <f t="shared" si="19"/>
        <v>26</v>
      </c>
      <c r="K608" s="77" t="s">
        <v>1360</v>
      </c>
      <c r="L608" s="77"/>
      <c r="M608" s="77" t="s">
        <v>1361</v>
      </c>
      <c r="N608" s="88">
        <v>102</v>
      </c>
      <c r="O608" s="77" t="s">
        <v>159</v>
      </c>
      <c r="P608" s="77" t="s">
        <v>478</v>
      </c>
      <c r="Q608" s="31"/>
      <c r="R608" s="63"/>
    </row>
    <row r="609" spans="1:18" ht="39.75" hidden="1" customHeight="1" x14ac:dyDescent="0.25">
      <c r="A609" s="78">
        <f>IF(B609="","",COUNTA($B$7:B608))</f>
        <v>602</v>
      </c>
      <c r="B609" s="85">
        <v>46175</v>
      </c>
      <c r="C609" s="77" t="s">
        <v>1357</v>
      </c>
      <c r="D609" s="77" t="s">
        <v>1363</v>
      </c>
      <c r="E609" s="77" t="s">
        <v>1359</v>
      </c>
      <c r="F609" s="77" t="s">
        <v>118</v>
      </c>
      <c r="G609" s="77" t="s">
        <v>69</v>
      </c>
      <c r="H609" s="131" t="s">
        <v>118</v>
      </c>
      <c r="I609" s="86" t="str">
        <f t="shared" si="18"/>
        <v>LENC</v>
      </c>
      <c r="J609" s="86" t="str">
        <f t="shared" si="19"/>
        <v>26</v>
      </c>
      <c r="K609" s="77" t="s">
        <v>1360</v>
      </c>
      <c r="L609" s="77"/>
      <c r="M609" s="77" t="s">
        <v>1361</v>
      </c>
      <c r="N609" s="88">
        <v>102</v>
      </c>
      <c r="O609" s="77" t="s">
        <v>159</v>
      </c>
      <c r="P609" s="77" t="s">
        <v>478</v>
      </c>
      <c r="Q609" s="31"/>
      <c r="R609" s="63"/>
    </row>
    <row r="610" spans="1:18" ht="39.75" hidden="1" customHeight="1" x14ac:dyDescent="0.25">
      <c r="A610" s="78">
        <f>IF(B610="","",COUNTA($B$7:B609))</f>
        <v>603</v>
      </c>
      <c r="B610" s="85">
        <v>46175</v>
      </c>
      <c r="C610" s="77" t="s">
        <v>138</v>
      </c>
      <c r="D610" s="77" t="s">
        <v>1364</v>
      </c>
      <c r="E610" s="77" t="s">
        <v>1365</v>
      </c>
      <c r="F610" s="77" t="s">
        <v>118</v>
      </c>
      <c r="G610" s="77" t="s">
        <v>1366</v>
      </c>
      <c r="H610" s="131" t="s">
        <v>118</v>
      </c>
      <c r="I610" s="86" t="str">
        <f t="shared" si="18"/>
        <v>LENC</v>
      </c>
      <c r="J610" s="86" t="str">
        <f t="shared" si="19"/>
        <v>26</v>
      </c>
      <c r="K610" s="77" t="s">
        <v>1367</v>
      </c>
      <c r="L610" s="77"/>
      <c r="M610" s="77" t="s">
        <v>1368</v>
      </c>
      <c r="N610" s="88" t="s">
        <v>198</v>
      </c>
      <c r="O610" s="77" t="s">
        <v>172</v>
      </c>
      <c r="P610" s="77"/>
      <c r="Q610" s="31"/>
      <c r="R610" s="63"/>
    </row>
    <row r="611" spans="1:18" ht="39.75" hidden="1" customHeight="1" x14ac:dyDescent="0.25">
      <c r="A611" s="78">
        <f>IF(B611="","",COUNTA($B$7:B610))</f>
        <v>604</v>
      </c>
      <c r="B611" s="85">
        <v>46176</v>
      </c>
      <c r="C611" s="77" t="s">
        <v>199</v>
      </c>
      <c r="D611" s="77" t="s">
        <v>200</v>
      </c>
      <c r="E611" s="77" t="s">
        <v>199</v>
      </c>
      <c r="F611" s="77" t="s">
        <v>118</v>
      </c>
      <c r="G611" s="77" t="s">
        <v>201</v>
      </c>
      <c r="H611" s="131" t="s">
        <v>118</v>
      </c>
      <c r="I611" s="86" t="str">
        <f t="shared" si="18"/>
        <v>LENC</v>
      </c>
      <c r="J611" s="86" t="str">
        <f t="shared" si="19"/>
        <v>26</v>
      </c>
      <c r="K611" s="77" t="s">
        <v>69</v>
      </c>
      <c r="L611" s="77">
        <v>10</v>
      </c>
      <c r="M611" s="77" t="s">
        <v>69</v>
      </c>
      <c r="N611" s="88" t="s">
        <v>432</v>
      </c>
      <c r="O611" s="77" t="s">
        <v>121</v>
      </c>
      <c r="P611" s="77"/>
      <c r="Q611" s="31"/>
      <c r="R611" s="63"/>
    </row>
    <row r="612" spans="1:18" ht="39.75" hidden="1" customHeight="1" x14ac:dyDescent="0.25">
      <c r="A612" s="78">
        <f>IF(B612="","",COUNTA($B$7:B611))</f>
        <v>605</v>
      </c>
      <c r="B612" s="85">
        <v>46176</v>
      </c>
      <c r="C612" s="77" t="s">
        <v>115</v>
      </c>
      <c r="D612" s="77" t="s">
        <v>1369</v>
      </c>
      <c r="E612" s="77" t="s">
        <v>1370</v>
      </c>
      <c r="F612" s="77" t="s">
        <v>118</v>
      </c>
      <c r="G612" s="77" t="s">
        <v>1371</v>
      </c>
      <c r="H612" s="131" t="s">
        <v>118</v>
      </c>
      <c r="I612" s="86" t="str">
        <f t="shared" si="18"/>
        <v>LENC</v>
      </c>
      <c r="J612" s="86" t="str">
        <f t="shared" si="19"/>
        <v>26</v>
      </c>
      <c r="K612" s="77" t="s">
        <v>1372</v>
      </c>
      <c r="L612" s="77">
        <v>2</v>
      </c>
      <c r="M612" s="77" t="s">
        <v>1373</v>
      </c>
      <c r="N612" s="88" t="s">
        <v>198</v>
      </c>
      <c r="O612" s="77" t="s">
        <v>172</v>
      </c>
      <c r="P612" s="77"/>
      <c r="Q612" s="31"/>
      <c r="R612" s="63"/>
    </row>
    <row r="613" spans="1:18" ht="39.75" hidden="1" customHeight="1" x14ac:dyDescent="0.25">
      <c r="A613" s="78">
        <f>IF(B613="","",COUNTA($B$7:B612))</f>
        <v>606</v>
      </c>
      <c r="B613" s="85">
        <v>46176</v>
      </c>
      <c r="C613" s="77" t="s">
        <v>115</v>
      </c>
      <c r="D613" s="77" t="s">
        <v>1374</v>
      </c>
      <c r="E613" s="77" t="s">
        <v>1375</v>
      </c>
      <c r="F613" s="77" t="s">
        <v>118</v>
      </c>
      <c r="G613" s="77">
        <v>25749</v>
      </c>
      <c r="H613" s="131" t="s">
        <v>118</v>
      </c>
      <c r="I613" s="86" t="str">
        <f t="shared" si="18"/>
        <v>LENC</v>
      </c>
      <c r="J613" s="86" t="str">
        <f t="shared" si="19"/>
        <v>26</v>
      </c>
      <c r="K613" s="77" t="s">
        <v>1263</v>
      </c>
      <c r="L613" s="77">
        <v>1</v>
      </c>
      <c r="M613" s="77" t="s">
        <v>1376</v>
      </c>
      <c r="N613" s="88" t="s">
        <v>711</v>
      </c>
      <c r="O613" s="77" t="s">
        <v>172</v>
      </c>
      <c r="P613" s="77"/>
      <c r="Q613" s="31"/>
      <c r="R613" s="63"/>
    </row>
    <row r="614" spans="1:18" ht="39.75" hidden="1" customHeight="1" x14ac:dyDescent="0.25">
      <c r="A614" s="78">
        <f>IF(B614="","",COUNTA($B$7:B613))</f>
        <v>607</v>
      </c>
      <c r="B614" s="85">
        <v>46178</v>
      </c>
      <c r="C614" s="77" t="s">
        <v>1377</v>
      </c>
      <c r="D614" s="77" t="s">
        <v>1378</v>
      </c>
      <c r="E614" s="77" t="s">
        <v>1377</v>
      </c>
      <c r="F614" s="77" t="s">
        <v>118</v>
      </c>
      <c r="G614" s="77" t="s">
        <v>69</v>
      </c>
      <c r="H614" s="131" t="s">
        <v>118</v>
      </c>
      <c r="I614" s="86" t="str">
        <f t="shared" si="18"/>
        <v>LENC</v>
      </c>
      <c r="J614" s="86" t="str">
        <f t="shared" si="19"/>
        <v>26</v>
      </c>
      <c r="K614" s="77" t="s">
        <v>69</v>
      </c>
      <c r="L614" s="77">
        <v>2</v>
      </c>
      <c r="M614" s="77" t="s">
        <v>69</v>
      </c>
      <c r="N614" s="88" t="s">
        <v>137</v>
      </c>
      <c r="O614" s="77" t="s">
        <v>121</v>
      </c>
      <c r="P614" s="77"/>
      <c r="Q614" s="31"/>
      <c r="R614" s="63"/>
    </row>
    <row r="615" spans="1:18" ht="39.75" hidden="1" customHeight="1" x14ac:dyDescent="0.25">
      <c r="A615" s="78">
        <f>IF(B615="","",COUNTA($B$7:B614))</f>
        <v>608</v>
      </c>
      <c r="B615" s="85">
        <v>46178</v>
      </c>
      <c r="C615" s="77" t="s">
        <v>1377</v>
      </c>
      <c r="D615" s="77" t="s">
        <v>1379</v>
      </c>
      <c r="E615" s="77" t="s">
        <v>1377</v>
      </c>
      <c r="F615" s="77" t="s">
        <v>118</v>
      </c>
      <c r="G615" s="77" t="s">
        <v>69</v>
      </c>
      <c r="H615" s="131" t="s">
        <v>118</v>
      </c>
      <c r="I615" s="86" t="str">
        <f t="shared" si="18"/>
        <v>LENC</v>
      </c>
      <c r="J615" s="86" t="str">
        <f t="shared" si="19"/>
        <v>26</v>
      </c>
      <c r="K615" s="77" t="s">
        <v>69</v>
      </c>
      <c r="L615" s="77">
        <v>1</v>
      </c>
      <c r="M615" s="77" t="s">
        <v>69</v>
      </c>
      <c r="N615" s="88" t="s">
        <v>137</v>
      </c>
      <c r="O615" s="77" t="s">
        <v>121</v>
      </c>
      <c r="P615" s="77"/>
      <c r="Q615" s="31"/>
      <c r="R615" s="63"/>
    </row>
    <row r="616" spans="1:18" ht="39.75" hidden="1" customHeight="1" x14ac:dyDescent="0.25">
      <c r="A616" s="78">
        <f>IF(B616="","",COUNTA($B$7:B615))</f>
        <v>609</v>
      </c>
      <c r="B616" s="85">
        <v>46182</v>
      </c>
      <c r="C616" s="77" t="s">
        <v>1380</v>
      </c>
      <c r="D616" s="77" t="s">
        <v>1381</v>
      </c>
      <c r="E616" s="77" t="s">
        <v>69</v>
      </c>
      <c r="F616" s="77" t="s">
        <v>118</v>
      </c>
      <c r="G616" s="77" t="s">
        <v>1382</v>
      </c>
      <c r="H616" s="131" t="s">
        <v>118</v>
      </c>
      <c r="I616" s="86" t="str">
        <f t="shared" si="18"/>
        <v>LENC</v>
      </c>
      <c r="J616" s="86" t="str">
        <f t="shared" si="19"/>
        <v>26</v>
      </c>
      <c r="K616" s="77" t="s">
        <v>1383</v>
      </c>
      <c r="L616" s="77">
        <v>2</v>
      </c>
      <c r="M616" s="77" t="s">
        <v>1384</v>
      </c>
      <c r="N616" s="88" t="s">
        <v>308</v>
      </c>
      <c r="O616" s="77" t="s">
        <v>121</v>
      </c>
      <c r="P616" s="77"/>
      <c r="Q616" s="31"/>
      <c r="R616" s="63"/>
    </row>
    <row r="617" spans="1:18" ht="39.75" hidden="1" customHeight="1" x14ac:dyDescent="0.25">
      <c r="A617" s="78">
        <f>IF(B617="","",COUNTA($B$7:B616))</f>
        <v>610</v>
      </c>
      <c r="B617" s="85">
        <v>46182</v>
      </c>
      <c r="C617" s="77" t="s">
        <v>199</v>
      </c>
      <c r="D617" s="77" t="s">
        <v>200</v>
      </c>
      <c r="E617" s="77" t="s">
        <v>199</v>
      </c>
      <c r="F617" s="77" t="s">
        <v>118</v>
      </c>
      <c r="G617" s="77" t="s">
        <v>201</v>
      </c>
      <c r="H617" s="131" t="s">
        <v>118</v>
      </c>
      <c r="I617" s="86" t="str">
        <f t="shared" si="18"/>
        <v>LENC</v>
      </c>
      <c r="J617" s="86" t="str">
        <f t="shared" si="19"/>
        <v>26</v>
      </c>
      <c r="K617" s="77" t="s">
        <v>69</v>
      </c>
      <c r="L617" s="77">
        <v>10</v>
      </c>
      <c r="M617" s="77" t="s">
        <v>69</v>
      </c>
      <c r="N617" s="88" t="s">
        <v>432</v>
      </c>
      <c r="O617" s="77" t="s">
        <v>121</v>
      </c>
      <c r="P617" s="77"/>
      <c r="Q617" s="31"/>
      <c r="R617" s="63"/>
    </row>
    <row r="618" spans="1:18" ht="39.75" hidden="1" customHeight="1" x14ac:dyDescent="0.25">
      <c r="A618" s="78">
        <f>IF(B618="","",COUNTA($B$7:B617))</f>
        <v>611</v>
      </c>
      <c r="B618" s="85">
        <v>46182</v>
      </c>
      <c r="C618" s="77" t="s">
        <v>122</v>
      </c>
      <c r="D618" s="77" t="s">
        <v>1385</v>
      </c>
      <c r="E618" s="77" t="s">
        <v>1386</v>
      </c>
      <c r="F618" s="77" t="s">
        <v>118</v>
      </c>
      <c r="G618" s="77">
        <v>20743</v>
      </c>
      <c r="H618" s="131" t="s">
        <v>118</v>
      </c>
      <c r="I618" s="86" t="str">
        <f t="shared" si="18"/>
        <v>LENC</v>
      </c>
      <c r="J618" s="86" t="str">
        <f t="shared" si="19"/>
        <v>26</v>
      </c>
      <c r="K618" s="77" t="s">
        <v>1387</v>
      </c>
      <c r="L618" s="77">
        <v>1</v>
      </c>
      <c r="M618" s="77" t="s">
        <v>1388</v>
      </c>
      <c r="N618" s="88" t="s">
        <v>198</v>
      </c>
      <c r="O618" s="77" t="s">
        <v>172</v>
      </c>
      <c r="P618" s="77"/>
      <c r="Q618" s="31"/>
      <c r="R618" s="63"/>
    </row>
    <row r="619" spans="1:18" ht="39.75" hidden="1" customHeight="1" x14ac:dyDescent="0.25">
      <c r="A619" s="78">
        <f>IF(B619="","",COUNTA($B$7:B618))</f>
        <v>612</v>
      </c>
      <c r="B619" s="85">
        <v>46182</v>
      </c>
      <c r="C619" s="77" t="s">
        <v>448</v>
      </c>
      <c r="D619" s="77" t="s">
        <v>1389</v>
      </c>
      <c r="E619" s="77" t="s">
        <v>448</v>
      </c>
      <c r="F619" s="77" t="s">
        <v>118</v>
      </c>
      <c r="G619" s="77">
        <v>21535</v>
      </c>
      <c r="H619" s="131" t="s">
        <v>118</v>
      </c>
      <c r="I619" s="86" t="str">
        <f t="shared" si="18"/>
        <v>LENC</v>
      </c>
      <c r="J619" s="86" t="str">
        <f t="shared" si="19"/>
        <v>26</v>
      </c>
      <c r="K619" s="77" t="s">
        <v>69</v>
      </c>
      <c r="L619" s="77">
        <v>1</v>
      </c>
      <c r="M619" s="77" t="s">
        <v>69</v>
      </c>
      <c r="N619" s="88"/>
      <c r="O619" s="77" t="s">
        <v>121</v>
      </c>
      <c r="P619" s="77"/>
      <c r="Q619" s="31"/>
      <c r="R619" s="63"/>
    </row>
    <row r="620" spans="1:18" ht="39.75" hidden="1" customHeight="1" x14ac:dyDescent="0.25">
      <c r="A620" s="78">
        <f>IF(B620="","",COUNTA($B$7:B619))</f>
        <v>613</v>
      </c>
      <c r="B620" s="85">
        <v>46183</v>
      </c>
      <c r="C620" s="77" t="s">
        <v>1390</v>
      </c>
      <c r="D620" s="77" t="s">
        <v>1391</v>
      </c>
      <c r="E620" s="77" t="s">
        <v>1390</v>
      </c>
      <c r="F620" s="77" t="s">
        <v>118</v>
      </c>
      <c r="G620" s="77">
        <v>20331</v>
      </c>
      <c r="H620" s="131" t="s">
        <v>118</v>
      </c>
      <c r="I620" s="86" t="str">
        <f t="shared" si="18"/>
        <v>LENC</v>
      </c>
      <c r="J620" s="86" t="str">
        <f t="shared" si="19"/>
        <v>26</v>
      </c>
      <c r="K620" s="77" t="s">
        <v>1392</v>
      </c>
      <c r="L620" s="77">
        <v>1</v>
      </c>
      <c r="M620" s="77" t="s">
        <v>1393</v>
      </c>
      <c r="N620" s="88"/>
      <c r="O620" s="77" t="s">
        <v>172</v>
      </c>
      <c r="P620" s="77"/>
      <c r="Q620" s="31"/>
      <c r="R620" s="63"/>
    </row>
    <row r="621" spans="1:18" ht="39.75" hidden="1" customHeight="1" x14ac:dyDescent="0.25">
      <c r="A621" s="78">
        <f>IF(B621="","",COUNTA($B$7:B620))</f>
        <v>614</v>
      </c>
      <c r="B621" s="85">
        <v>46183</v>
      </c>
      <c r="C621" s="77" t="s">
        <v>1390</v>
      </c>
      <c r="D621" s="77" t="s">
        <v>1391</v>
      </c>
      <c r="E621" s="77" t="s">
        <v>1390</v>
      </c>
      <c r="F621" s="77" t="s">
        <v>118</v>
      </c>
      <c r="G621" s="77">
        <v>20332</v>
      </c>
      <c r="H621" s="131" t="s">
        <v>118</v>
      </c>
      <c r="I621" s="86" t="str">
        <f t="shared" si="18"/>
        <v>LENC</v>
      </c>
      <c r="J621" s="86" t="str">
        <f t="shared" si="19"/>
        <v>26</v>
      </c>
      <c r="K621" s="77" t="s">
        <v>1392</v>
      </c>
      <c r="L621" s="77">
        <v>1</v>
      </c>
      <c r="M621" s="77" t="s">
        <v>1393</v>
      </c>
      <c r="N621" s="88"/>
      <c r="O621" s="77" t="s">
        <v>172</v>
      </c>
      <c r="P621" s="77"/>
      <c r="Q621" s="31"/>
      <c r="R621" s="63"/>
    </row>
    <row r="622" spans="1:18" ht="39.75" hidden="1" customHeight="1" x14ac:dyDescent="0.25">
      <c r="A622" s="78">
        <f>IF(B622="","",COUNTA($B$7:B621))</f>
        <v>615</v>
      </c>
      <c r="B622" s="85">
        <v>46183</v>
      </c>
      <c r="C622" s="77" t="s">
        <v>1390</v>
      </c>
      <c r="D622" s="77" t="s">
        <v>1391</v>
      </c>
      <c r="E622" s="77" t="s">
        <v>1390</v>
      </c>
      <c r="F622" s="77" t="s">
        <v>118</v>
      </c>
      <c r="G622" s="77">
        <v>20333</v>
      </c>
      <c r="H622" s="131" t="s">
        <v>118</v>
      </c>
      <c r="I622" s="86" t="str">
        <f t="shared" si="18"/>
        <v>LENC</v>
      </c>
      <c r="J622" s="86" t="str">
        <f t="shared" si="19"/>
        <v>26</v>
      </c>
      <c r="K622" s="77" t="s">
        <v>1392</v>
      </c>
      <c r="L622" s="77">
        <v>1</v>
      </c>
      <c r="M622" s="77" t="s">
        <v>1393</v>
      </c>
      <c r="N622" s="88"/>
      <c r="O622" s="77" t="s">
        <v>172</v>
      </c>
      <c r="P622" s="77"/>
      <c r="Q622" s="31"/>
      <c r="R622" s="63"/>
    </row>
    <row r="623" spans="1:18" ht="39.75" hidden="1" customHeight="1" x14ac:dyDescent="0.25">
      <c r="A623" s="78">
        <f>IF(B623="","",COUNTA($B$7:B622))</f>
        <v>616</v>
      </c>
      <c r="B623" s="85">
        <v>46183</v>
      </c>
      <c r="C623" s="77" t="s">
        <v>286</v>
      </c>
      <c r="D623" s="77" t="s">
        <v>261</v>
      </c>
      <c r="E623" s="77" t="s">
        <v>1022</v>
      </c>
      <c r="F623" s="77" t="s">
        <v>118</v>
      </c>
      <c r="G623" s="77" t="s">
        <v>1394</v>
      </c>
      <c r="H623" s="131" t="s">
        <v>118</v>
      </c>
      <c r="I623" s="86" t="str">
        <f t="shared" si="18"/>
        <v>LENC</v>
      </c>
      <c r="J623" s="86" t="str">
        <f t="shared" si="19"/>
        <v>26</v>
      </c>
      <c r="K623" s="77" t="s">
        <v>1395</v>
      </c>
      <c r="L623" s="77">
        <v>1</v>
      </c>
      <c r="M623" s="77" t="s">
        <v>1396</v>
      </c>
      <c r="N623" s="88">
        <v>106</v>
      </c>
      <c r="O623" s="77" t="s">
        <v>159</v>
      </c>
      <c r="P623" s="77"/>
      <c r="Q623" s="31"/>
      <c r="R623" s="63"/>
    </row>
    <row r="624" spans="1:18" ht="39.75" hidden="1" customHeight="1" x14ac:dyDescent="0.25">
      <c r="A624" s="78">
        <f>IF(B624="","",COUNTA($B$7:B623))</f>
        <v>617</v>
      </c>
      <c r="B624" s="85">
        <v>46183</v>
      </c>
      <c r="C624" s="77" t="s">
        <v>208</v>
      </c>
      <c r="D624" s="77" t="s">
        <v>1397</v>
      </c>
      <c r="E624" s="77" t="s">
        <v>1398</v>
      </c>
      <c r="F624" s="77" t="s">
        <v>118</v>
      </c>
      <c r="G624" s="77" t="s">
        <v>1399</v>
      </c>
      <c r="H624" s="131" t="s">
        <v>118</v>
      </c>
      <c r="I624" s="86" t="str">
        <f t="shared" si="18"/>
        <v>LENC</v>
      </c>
      <c r="J624" s="86" t="str">
        <f t="shared" si="19"/>
        <v>26</v>
      </c>
      <c r="K624" s="77" t="s">
        <v>1723</v>
      </c>
      <c r="L624" s="77">
        <v>4</v>
      </c>
      <c r="M624" s="77" t="s">
        <v>1320</v>
      </c>
      <c r="N624" s="88" t="s">
        <v>711</v>
      </c>
      <c r="O624" s="77" t="s">
        <v>172</v>
      </c>
      <c r="P624" s="77"/>
      <c r="Q624" s="31"/>
      <c r="R624" s="63"/>
    </row>
    <row r="625" spans="1:18" ht="39.75" hidden="1" customHeight="1" x14ac:dyDescent="0.25">
      <c r="A625" s="78">
        <f>IF(B625="","",COUNTA($B$7:B624))</f>
        <v>618</v>
      </c>
      <c r="B625" s="85">
        <v>46184</v>
      </c>
      <c r="C625" s="77" t="s">
        <v>122</v>
      </c>
      <c r="D625" s="77" t="s">
        <v>1400</v>
      </c>
      <c r="E625" s="77" t="s">
        <v>69</v>
      </c>
      <c r="F625" s="77" t="s">
        <v>118</v>
      </c>
      <c r="G625" s="77">
        <v>20748</v>
      </c>
      <c r="H625" s="131" t="s">
        <v>118</v>
      </c>
      <c r="I625" s="86" t="str">
        <f t="shared" si="18"/>
        <v>LENC</v>
      </c>
      <c r="J625" s="86" t="str">
        <f t="shared" si="19"/>
        <v>26</v>
      </c>
      <c r="K625" s="77" t="s">
        <v>1401</v>
      </c>
      <c r="L625" s="77">
        <v>1</v>
      </c>
      <c r="M625" s="77" t="s">
        <v>1402</v>
      </c>
      <c r="N625" s="88" t="s">
        <v>166</v>
      </c>
      <c r="O625" s="77" t="s">
        <v>121</v>
      </c>
      <c r="P625" s="77"/>
      <c r="Q625" s="31"/>
      <c r="R625" s="63"/>
    </row>
    <row r="626" spans="1:18" ht="39.75" hidden="1" customHeight="1" x14ac:dyDescent="0.25">
      <c r="A626" s="78">
        <f>IF(B626="","",COUNTA($B$7:B625))</f>
        <v>619</v>
      </c>
      <c r="B626" s="85">
        <v>46183</v>
      </c>
      <c r="C626" s="77" t="s">
        <v>1403</v>
      </c>
      <c r="D626" s="77" t="s">
        <v>1404</v>
      </c>
      <c r="E626" s="77" t="s">
        <v>1405</v>
      </c>
      <c r="F626" s="77" t="s">
        <v>118</v>
      </c>
      <c r="G626" s="77" t="s">
        <v>69</v>
      </c>
      <c r="H626" s="131" t="s">
        <v>118</v>
      </c>
      <c r="I626" s="86" t="str">
        <f t="shared" si="18"/>
        <v>LENC</v>
      </c>
      <c r="J626" s="86" t="str">
        <f t="shared" si="19"/>
        <v>26</v>
      </c>
      <c r="K626" s="77" t="s">
        <v>69</v>
      </c>
      <c r="L626" s="77">
        <v>1</v>
      </c>
      <c r="M626" s="77" t="s">
        <v>69</v>
      </c>
      <c r="N626" s="88" t="s">
        <v>166</v>
      </c>
      <c r="O626" s="77" t="s">
        <v>121</v>
      </c>
      <c r="P626" s="77"/>
      <c r="Q626" s="31"/>
      <c r="R626" s="63"/>
    </row>
    <row r="627" spans="1:18" ht="39.75" hidden="1" customHeight="1" x14ac:dyDescent="0.25">
      <c r="A627" s="78">
        <f>IF(B627="","",COUNTA($B$7:B626))</f>
        <v>620</v>
      </c>
      <c r="B627" s="85">
        <v>46183</v>
      </c>
      <c r="C627" s="77" t="s">
        <v>181</v>
      </c>
      <c r="D627" s="77" t="s">
        <v>1406</v>
      </c>
      <c r="E627" s="77" t="s">
        <v>181</v>
      </c>
      <c r="F627" s="77" t="s">
        <v>118</v>
      </c>
      <c r="G627" s="77">
        <v>19787</v>
      </c>
      <c r="H627" s="131" t="s">
        <v>118</v>
      </c>
      <c r="I627" s="86" t="str">
        <f t="shared" si="18"/>
        <v>LENC</v>
      </c>
      <c r="J627" s="86" t="str">
        <f t="shared" si="19"/>
        <v>26</v>
      </c>
      <c r="K627" s="77" t="s">
        <v>1407</v>
      </c>
      <c r="L627" s="77">
        <v>1</v>
      </c>
      <c r="M627" s="77" t="s">
        <v>1408</v>
      </c>
      <c r="N627" s="88" t="s">
        <v>419</v>
      </c>
      <c r="O627" s="77" t="s">
        <v>172</v>
      </c>
      <c r="P627" s="77"/>
      <c r="Q627" s="31"/>
      <c r="R627" s="63"/>
    </row>
    <row r="628" spans="1:18" ht="39.75" hidden="1" customHeight="1" x14ac:dyDescent="0.25">
      <c r="A628" s="78">
        <f>IF(B628="","",COUNTA($B$7:B627))</f>
        <v>621</v>
      </c>
      <c r="B628" s="85">
        <v>46185</v>
      </c>
      <c r="C628" s="77" t="s">
        <v>208</v>
      </c>
      <c r="D628" s="77" t="s">
        <v>1409</v>
      </c>
      <c r="E628" s="77" t="s">
        <v>1022</v>
      </c>
      <c r="F628" s="77" t="s">
        <v>118</v>
      </c>
      <c r="G628" s="110" t="s">
        <v>1410</v>
      </c>
      <c r="H628" s="131" t="s">
        <v>118</v>
      </c>
      <c r="I628" s="86" t="str">
        <f t="shared" si="18"/>
        <v>LENC</v>
      </c>
      <c r="J628" s="86" t="str">
        <f t="shared" si="19"/>
        <v>26</v>
      </c>
      <c r="K628" s="77" t="s">
        <v>1411</v>
      </c>
      <c r="L628" s="77">
        <v>1</v>
      </c>
      <c r="M628" s="77" t="s">
        <v>1412</v>
      </c>
      <c r="N628" s="88" t="s">
        <v>711</v>
      </c>
      <c r="O628" s="77" t="s">
        <v>172</v>
      </c>
      <c r="P628" s="77"/>
      <c r="Q628" s="31"/>
      <c r="R628" s="63"/>
    </row>
    <row r="629" spans="1:18" ht="39.75" hidden="1" customHeight="1" x14ac:dyDescent="0.25">
      <c r="A629" s="78">
        <f>IF(B629="","",COUNTA($B$7:B628))</f>
        <v>622</v>
      </c>
      <c r="B629" s="85">
        <v>46185</v>
      </c>
      <c r="C629" s="77" t="s">
        <v>208</v>
      </c>
      <c r="D629" s="77" t="s">
        <v>1413</v>
      </c>
      <c r="E629" s="77" t="s">
        <v>1022</v>
      </c>
      <c r="F629" s="77" t="s">
        <v>118</v>
      </c>
      <c r="G629" s="110" t="s">
        <v>1414</v>
      </c>
      <c r="H629" s="131" t="s">
        <v>118</v>
      </c>
      <c r="I629" s="86" t="str">
        <f t="shared" si="18"/>
        <v>LENC</v>
      </c>
      <c r="J629" s="86" t="str">
        <f t="shared" si="19"/>
        <v>26</v>
      </c>
      <c r="K629" s="77" t="s">
        <v>1411</v>
      </c>
      <c r="L629" s="77">
        <v>1</v>
      </c>
      <c r="M629" s="77" t="s">
        <v>1412</v>
      </c>
      <c r="N629" s="88" t="s">
        <v>711</v>
      </c>
      <c r="O629" s="77" t="s">
        <v>172</v>
      </c>
      <c r="P629" s="77"/>
      <c r="Q629" s="31"/>
      <c r="R629" s="63"/>
    </row>
    <row r="630" spans="1:18" ht="39.75" hidden="1" customHeight="1" x14ac:dyDescent="0.25">
      <c r="A630" s="78">
        <f>IF(B630="","",COUNTA($B$7:B629))</f>
        <v>623</v>
      </c>
      <c r="B630" s="85">
        <v>46185</v>
      </c>
      <c r="C630" s="77" t="s">
        <v>305</v>
      </c>
      <c r="D630" s="77" t="s">
        <v>1415</v>
      </c>
      <c r="E630" s="77" t="s">
        <v>777</v>
      </c>
      <c r="F630" s="77" t="s">
        <v>118</v>
      </c>
      <c r="G630" s="77" t="s">
        <v>1416</v>
      </c>
      <c r="H630" s="131" t="s">
        <v>118</v>
      </c>
      <c r="I630" s="86" t="str">
        <f t="shared" si="18"/>
        <v>LENC</v>
      </c>
      <c r="J630" s="86" t="str">
        <f t="shared" si="19"/>
        <v>26</v>
      </c>
      <c r="K630" s="77" t="s">
        <v>1417</v>
      </c>
      <c r="L630" s="77">
        <v>1</v>
      </c>
      <c r="M630" s="77" t="s">
        <v>1418</v>
      </c>
      <c r="N630" s="88" t="s">
        <v>137</v>
      </c>
      <c r="O630" s="77" t="s">
        <v>121</v>
      </c>
      <c r="P630" s="77"/>
      <c r="Q630" s="31"/>
      <c r="R630" s="63"/>
    </row>
    <row r="631" spans="1:18" ht="39.75" hidden="1" customHeight="1" x14ac:dyDescent="0.25">
      <c r="A631" s="78">
        <f>IF(B631="","",COUNTA($B$7:B630))</f>
        <v>624</v>
      </c>
      <c r="B631" s="85">
        <v>46185</v>
      </c>
      <c r="C631" s="77" t="s">
        <v>305</v>
      </c>
      <c r="D631" s="77" t="s">
        <v>1415</v>
      </c>
      <c r="E631" s="77" t="s">
        <v>777</v>
      </c>
      <c r="F631" s="77" t="s">
        <v>118</v>
      </c>
      <c r="G631" s="77" t="s">
        <v>1419</v>
      </c>
      <c r="H631" s="131" t="s">
        <v>118</v>
      </c>
      <c r="I631" s="86" t="str">
        <f t="shared" si="18"/>
        <v>LENC</v>
      </c>
      <c r="J631" s="86" t="str">
        <f t="shared" si="19"/>
        <v>26</v>
      </c>
      <c r="K631" s="77" t="s">
        <v>1417</v>
      </c>
      <c r="L631" s="77">
        <v>1</v>
      </c>
      <c r="M631" s="77" t="s">
        <v>1418</v>
      </c>
      <c r="N631" s="88" t="s">
        <v>137</v>
      </c>
      <c r="O631" s="77" t="s">
        <v>121</v>
      </c>
      <c r="P631" s="77"/>
      <c r="Q631" s="31"/>
      <c r="R631" s="63"/>
    </row>
    <row r="632" spans="1:18" ht="39.75" hidden="1" customHeight="1" x14ac:dyDescent="0.25">
      <c r="A632" s="78">
        <f>IF(B632="","",COUNTA($B$7:B631))</f>
        <v>625</v>
      </c>
      <c r="B632" s="85">
        <v>46185</v>
      </c>
      <c r="C632" s="77" t="s">
        <v>305</v>
      </c>
      <c r="D632" s="77" t="s">
        <v>1420</v>
      </c>
      <c r="E632" s="77" t="s">
        <v>777</v>
      </c>
      <c r="F632" s="77" t="s">
        <v>118</v>
      </c>
      <c r="G632" s="77" t="s">
        <v>1421</v>
      </c>
      <c r="H632" s="131" t="s">
        <v>118</v>
      </c>
      <c r="I632" s="86" t="str">
        <f t="shared" si="18"/>
        <v>LENC</v>
      </c>
      <c r="J632" s="86" t="str">
        <f t="shared" si="19"/>
        <v>26</v>
      </c>
      <c r="K632" s="77" t="s">
        <v>1417</v>
      </c>
      <c r="L632" s="77">
        <v>3</v>
      </c>
      <c r="M632" s="77" t="s">
        <v>1418</v>
      </c>
      <c r="N632" s="88" t="s">
        <v>137</v>
      </c>
      <c r="O632" s="77" t="s">
        <v>121</v>
      </c>
      <c r="P632" s="77"/>
      <c r="Q632" s="31"/>
      <c r="R632" s="63"/>
    </row>
    <row r="633" spans="1:18" ht="39.75" hidden="1" customHeight="1" x14ac:dyDescent="0.25">
      <c r="A633" s="78">
        <f>IF(B633="","",COUNTA($B$7:B632))</f>
        <v>626</v>
      </c>
      <c r="B633" s="85">
        <v>46185</v>
      </c>
      <c r="C633" s="77" t="s">
        <v>305</v>
      </c>
      <c r="D633" s="77" t="s">
        <v>1364</v>
      </c>
      <c r="E633" s="77" t="s">
        <v>777</v>
      </c>
      <c r="F633" s="77" t="s">
        <v>118</v>
      </c>
      <c r="G633" s="77" t="s">
        <v>1422</v>
      </c>
      <c r="H633" s="131" t="s">
        <v>118</v>
      </c>
      <c r="I633" s="86" t="str">
        <f t="shared" si="18"/>
        <v>LENC</v>
      </c>
      <c r="J633" s="86" t="str">
        <f t="shared" si="19"/>
        <v>26</v>
      </c>
      <c r="K633" s="77" t="s">
        <v>1417</v>
      </c>
      <c r="L633" s="77">
        <v>1</v>
      </c>
      <c r="M633" s="77" t="s">
        <v>1418</v>
      </c>
      <c r="N633" s="88" t="s">
        <v>137</v>
      </c>
      <c r="O633" s="77" t="s">
        <v>121</v>
      </c>
      <c r="P633" s="77"/>
      <c r="Q633" s="31"/>
      <c r="R633" s="63"/>
    </row>
    <row r="634" spans="1:18" ht="39.75" hidden="1" customHeight="1" x14ac:dyDescent="0.25">
      <c r="A634" s="78">
        <f>IF(B634="","",COUNTA($B$7:B633))</f>
        <v>627</v>
      </c>
      <c r="B634" s="85">
        <v>46185</v>
      </c>
      <c r="C634" s="77" t="s">
        <v>305</v>
      </c>
      <c r="D634" s="77" t="s">
        <v>1423</v>
      </c>
      <c r="E634" s="77" t="s">
        <v>777</v>
      </c>
      <c r="F634" s="77" t="s">
        <v>118</v>
      </c>
      <c r="G634" s="77" t="s">
        <v>1424</v>
      </c>
      <c r="H634" s="131" t="s">
        <v>118</v>
      </c>
      <c r="I634" s="86" t="str">
        <f t="shared" si="18"/>
        <v>LENC</v>
      </c>
      <c r="J634" s="86" t="str">
        <f t="shared" si="19"/>
        <v>26</v>
      </c>
      <c r="K634" s="77" t="s">
        <v>1417</v>
      </c>
      <c r="L634" s="77">
        <v>1</v>
      </c>
      <c r="M634" s="77" t="s">
        <v>1418</v>
      </c>
      <c r="N634" s="88" t="s">
        <v>137</v>
      </c>
      <c r="O634" s="77" t="s">
        <v>121</v>
      </c>
      <c r="P634" s="77"/>
      <c r="Q634" s="31"/>
      <c r="R634" s="63"/>
    </row>
    <row r="635" spans="1:18" ht="39.75" hidden="1" customHeight="1" x14ac:dyDescent="0.25">
      <c r="A635" s="78">
        <f>IF(B635="","",COUNTA($B$7:B634))</f>
        <v>628</v>
      </c>
      <c r="B635" s="85">
        <v>46185</v>
      </c>
      <c r="C635" s="77" t="s">
        <v>305</v>
      </c>
      <c r="D635" s="77" t="s">
        <v>1423</v>
      </c>
      <c r="E635" s="77" t="s">
        <v>777</v>
      </c>
      <c r="F635" s="77" t="s">
        <v>118</v>
      </c>
      <c r="G635" s="77" t="s">
        <v>1425</v>
      </c>
      <c r="H635" s="131" t="s">
        <v>118</v>
      </c>
      <c r="I635" s="86" t="str">
        <f t="shared" si="18"/>
        <v>LENC</v>
      </c>
      <c r="J635" s="86" t="str">
        <f t="shared" si="19"/>
        <v>26</v>
      </c>
      <c r="K635" s="77" t="s">
        <v>1417</v>
      </c>
      <c r="L635" s="77">
        <v>1</v>
      </c>
      <c r="M635" s="77" t="s">
        <v>1418</v>
      </c>
      <c r="N635" s="88" t="s">
        <v>137</v>
      </c>
      <c r="O635" s="77" t="s">
        <v>121</v>
      </c>
      <c r="P635" s="77"/>
      <c r="Q635" s="31"/>
      <c r="R635" s="63"/>
    </row>
    <row r="636" spans="1:18" ht="39.75" hidden="1" customHeight="1" x14ac:dyDescent="0.25">
      <c r="A636" s="78">
        <f>IF(B636="","",COUNTA($B$7:B635))</f>
        <v>629</v>
      </c>
      <c r="B636" s="85">
        <v>46185</v>
      </c>
      <c r="C636" s="77" t="s">
        <v>305</v>
      </c>
      <c r="D636" s="77" t="s">
        <v>1423</v>
      </c>
      <c r="E636" s="77" t="s">
        <v>777</v>
      </c>
      <c r="F636" s="77" t="s">
        <v>118</v>
      </c>
      <c r="G636" s="77" t="s">
        <v>1426</v>
      </c>
      <c r="H636" s="131" t="s">
        <v>118</v>
      </c>
      <c r="I636" s="86" t="str">
        <f t="shared" si="18"/>
        <v>LENC</v>
      </c>
      <c r="J636" s="86" t="str">
        <f t="shared" si="19"/>
        <v>26</v>
      </c>
      <c r="K636" s="77" t="s">
        <v>1417</v>
      </c>
      <c r="L636" s="77">
        <v>1</v>
      </c>
      <c r="M636" s="77" t="s">
        <v>1418</v>
      </c>
      <c r="N636" s="88" t="s">
        <v>137</v>
      </c>
      <c r="O636" s="77" t="s">
        <v>121</v>
      </c>
      <c r="P636" s="77"/>
      <c r="Q636" s="31"/>
      <c r="R636" s="63"/>
    </row>
    <row r="637" spans="1:18" ht="39.75" hidden="1" customHeight="1" x14ac:dyDescent="0.25">
      <c r="A637" s="78">
        <f>IF(B637="","",COUNTA($B$7:B636))</f>
        <v>630</v>
      </c>
      <c r="B637" s="85">
        <v>46185</v>
      </c>
      <c r="C637" s="77" t="s">
        <v>305</v>
      </c>
      <c r="D637" s="77" t="s">
        <v>1427</v>
      </c>
      <c r="E637" s="77" t="s">
        <v>777</v>
      </c>
      <c r="F637" s="77" t="s">
        <v>118</v>
      </c>
      <c r="G637" s="77" t="s">
        <v>1428</v>
      </c>
      <c r="H637" s="131" t="s">
        <v>118</v>
      </c>
      <c r="I637" s="86" t="str">
        <f t="shared" si="18"/>
        <v>LENC</v>
      </c>
      <c r="J637" s="86" t="str">
        <f t="shared" si="19"/>
        <v>26</v>
      </c>
      <c r="K637" s="77" t="s">
        <v>1417</v>
      </c>
      <c r="L637" s="77">
        <v>1</v>
      </c>
      <c r="M637" s="77" t="s">
        <v>1418</v>
      </c>
      <c r="N637" s="88" t="s">
        <v>137</v>
      </c>
      <c r="O637" s="77" t="s">
        <v>121</v>
      </c>
      <c r="P637" s="77"/>
      <c r="Q637" s="31"/>
      <c r="R637" s="63"/>
    </row>
    <row r="638" spans="1:18" ht="39.75" hidden="1" customHeight="1" x14ac:dyDescent="0.25">
      <c r="A638" s="78">
        <f>IF(B638="","",COUNTA($B$7:B637))</f>
        <v>631</v>
      </c>
      <c r="B638" s="85">
        <v>46185</v>
      </c>
      <c r="C638" s="77" t="s">
        <v>305</v>
      </c>
      <c r="D638" s="77" t="s">
        <v>1429</v>
      </c>
      <c r="E638" s="77" t="s">
        <v>777</v>
      </c>
      <c r="F638" s="77" t="s">
        <v>118</v>
      </c>
      <c r="G638" s="77" t="s">
        <v>1430</v>
      </c>
      <c r="H638" s="131" t="s">
        <v>118</v>
      </c>
      <c r="I638" s="86" t="str">
        <f t="shared" si="18"/>
        <v>LENC</v>
      </c>
      <c r="J638" s="86" t="str">
        <f t="shared" si="19"/>
        <v>26</v>
      </c>
      <c r="K638" s="77" t="s">
        <v>1417</v>
      </c>
      <c r="L638" s="77">
        <v>1</v>
      </c>
      <c r="M638" s="77" t="s">
        <v>1418</v>
      </c>
      <c r="N638" s="88" t="s">
        <v>137</v>
      </c>
      <c r="O638" s="77" t="s">
        <v>121</v>
      </c>
      <c r="P638" s="77"/>
      <c r="Q638" s="31"/>
      <c r="R638" s="63"/>
    </row>
    <row r="639" spans="1:18" ht="39.75" hidden="1" customHeight="1" x14ac:dyDescent="0.25">
      <c r="A639" s="78">
        <f>IF(B639="","",COUNTA($B$7:B638))</f>
        <v>632</v>
      </c>
      <c r="B639" s="85">
        <v>46185</v>
      </c>
      <c r="C639" s="77" t="s">
        <v>305</v>
      </c>
      <c r="D639" s="77" t="s">
        <v>1423</v>
      </c>
      <c r="E639" s="77" t="s">
        <v>777</v>
      </c>
      <c r="F639" s="77" t="s">
        <v>118</v>
      </c>
      <c r="G639" s="77" t="s">
        <v>1431</v>
      </c>
      <c r="H639" s="131" t="s">
        <v>118</v>
      </c>
      <c r="I639" s="86" t="str">
        <f t="shared" si="18"/>
        <v>LENC</v>
      </c>
      <c r="J639" s="86" t="str">
        <f t="shared" si="19"/>
        <v>26</v>
      </c>
      <c r="K639" s="77" t="s">
        <v>1417</v>
      </c>
      <c r="L639" s="77">
        <v>1</v>
      </c>
      <c r="M639" s="77" t="s">
        <v>1418</v>
      </c>
      <c r="N639" s="88" t="s">
        <v>137</v>
      </c>
      <c r="O639" s="77" t="s">
        <v>121</v>
      </c>
      <c r="P639" s="77"/>
      <c r="Q639" s="31"/>
      <c r="R639" s="63"/>
    </row>
    <row r="640" spans="1:18" ht="39.75" hidden="1" customHeight="1" x14ac:dyDescent="0.25">
      <c r="A640" s="78">
        <f>IF(B640="","",COUNTA($B$7:B639))</f>
        <v>633</v>
      </c>
      <c r="B640" s="85">
        <v>46185</v>
      </c>
      <c r="C640" s="77" t="s">
        <v>305</v>
      </c>
      <c r="D640" s="77" t="s">
        <v>1423</v>
      </c>
      <c r="E640" s="77" t="s">
        <v>777</v>
      </c>
      <c r="F640" s="77" t="s">
        <v>118</v>
      </c>
      <c r="G640" s="77" t="s">
        <v>1432</v>
      </c>
      <c r="H640" s="131" t="s">
        <v>118</v>
      </c>
      <c r="I640" s="86" t="str">
        <f t="shared" si="18"/>
        <v>LENC</v>
      </c>
      <c r="J640" s="86" t="str">
        <f t="shared" si="19"/>
        <v>26</v>
      </c>
      <c r="K640" s="77" t="s">
        <v>1417</v>
      </c>
      <c r="L640" s="77">
        <v>1</v>
      </c>
      <c r="M640" s="77" t="s">
        <v>1418</v>
      </c>
      <c r="N640" s="88" t="s">
        <v>137</v>
      </c>
      <c r="O640" s="77" t="s">
        <v>121</v>
      </c>
      <c r="P640" s="77"/>
      <c r="Q640" s="31"/>
      <c r="R640" s="63"/>
    </row>
    <row r="641" spans="1:18" ht="39.75" hidden="1" customHeight="1" x14ac:dyDescent="0.25">
      <c r="A641" s="78">
        <f>IF(B641="","",COUNTA($B$7:B640))</f>
        <v>634</v>
      </c>
      <c r="B641" s="85">
        <v>46185</v>
      </c>
      <c r="C641" s="77" t="s">
        <v>305</v>
      </c>
      <c r="D641" s="77" t="s">
        <v>1433</v>
      </c>
      <c r="E641" s="77" t="s">
        <v>777</v>
      </c>
      <c r="F641" s="77" t="s">
        <v>118</v>
      </c>
      <c r="G641" s="77" t="s">
        <v>1434</v>
      </c>
      <c r="H641" s="131" t="s">
        <v>118</v>
      </c>
      <c r="I641" s="86" t="str">
        <f t="shared" si="18"/>
        <v>LENC</v>
      </c>
      <c r="J641" s="86" t="str">
        <f t="shared" si="19"/>
        <v>26</v>
      </c>
      <c r="K641" s="77" t="s">
        <v>1417</v>
      </c>
      <c r="L641" s="77">
        <v>1</v>
      </c>
      <c r="M641" s="77" t="s">
        <v>1418</v>
      </c>
      <c r="N641" s="88" t="s">
        <v>137</v>
      </c>
      <c r="O641" s="77" t="s">
        <v>121</v>
      </c>
      <c r="P641" s="77"/>
      <c r="Q641" s="31"/>
      <c r="R641" s="63"/>
    </row>
    <row r="642" spans="1:18" ht="39.75" hidden="1" customHeight="1" x14ac:dyDescent="0.25">
      <c r="A642" s="78">
        <f>IF(B642="","",COUNTA($B$7:B641))</f>
        <v>635</v>
      </c>
      <c r="B642" s="85">
        <v>46185</v>
      </c>
      <c r="C642" s="77" t="s">
        <v>305</v>
      </c>
      <c r="D642" s="77" t="s">
        <v>1433</v>
      </c>
      <c r="E642" s="77" t="s">
        <v>777</v>
      </c>
      <c r="F642" s="77" t="s">
        <v>118</v>
      </c>
      <c r="G642" s="77" t="s">
        <v>1435</v>
      </c>
      <c r="H642" s="131" t="s">
        <v>118</v>
      </c>
      <c r="I642" s="86" t="str">
        <f t="shared" si="18"/>
        <v>LENC</v>
      </c>
      <c r="J642" s="86" t="str">
        <f t="shared" si="19"/>
        <v>26</v>
      </c>
      <c r="K642" s="77" t="s">
        <v>1417</v>
      </c>
      <c r="L642" s="77">
        <v>3</v>
      </c>
      <c r="M642" s="77" t="s">
        <v>1418</v>
      </c>
      <c r="N642" s="88" t="s">
        <v>137</v>
      </c>
      <c r="O642" s="77" t="s">
        <v>121</v>
      </c>
      <c r="P642" s="77"/>
      <c r="Q642" s="31"/>
      <c r="R642" s="63"/>
    </row>
    <row r="643" spans="1:18" ht="39.75" hidden="1" customHeight="1" x14ac:dyDescent="0.25">
      <c r="A643" s="78">
        <f>IF(B643="","",COUNTA($B$7:B642))</f>
        <v>636</v>
      </c>
      <c r="B643" s="85">
        <v>46185</v>
      </c>
      <c r="C643" s="77" t="s">
        <v>305</v>
      </c>
      <c r="D643" s="77" t="s">
        <v>1436</v>
      </c>
      <c r="E643" s="77" t="s">
        <v>777</v>
      </c>
      <c r="F643" s="77" t="s">
        <v>118</v>
      </c>
      <c r="G643" s="77" t="s">
        <v>1437</v>
      </c>
      <c r="H643" s="131" t="s">
        <v>118</v>
      </c>
      <c r="I643" s="86" t="str">
        <f t="shared" si="18"/>
        <v>LENC</v>
      </c>
      <c r="J643" s="86" t="str">
        <f t="shared" si="19"/>
        <v>26</v>
      </c>
      <c r="K643" s="77" t="s">
        <v>1417</v>
      </c>
      <c r="L643" s="77">
        <v>3</v>
      </c>
      <c r="M643" s="77" t="s">
        <v>1418</v>
      </c>
      <c r="N643" s="88" t="s">
        <v>137</v>
      </c>
      <c r="O643" s="77" t="s">
        <v>121</v>
      </c>
      <c r="P643" s="77"/>
      <c r="Q643" s="31"/>
      <c r="R643" s="63"/>
    </row>
    <row r="644" spans="1:18" ht="39.75" hidden="1" customHeight="1" x14ac:dyDescent="0.25">
      <c r="A644" s="78">
        <f>IF(B644="","",COUNTA($B$7:B643))</f>
        <v>637</v>
      </c>
      <c r="B644" s="85">
        <v>46185</v>
      </c>
      <c r="C644" s="77" t="s">
        <v>305</v>
      </c>
      <c r="D644" s="77" t="s">
        <v>1438</v>
      </c>
      <c r="E644" s="77" t="s">
        <v>777</v>
      </c>
      <c r="F644" s="77" t="s">
        <v>118</v>
      </c>
      <c r="G644" s="77" t="s">
        <v>1439</v>
      </c>
      <c r="H644" s="131" t="s">
        <v>118</v>
      </c>
      <c r="I644" s="86" t="str">
        <f t="shared" si="18"/>
        <v>LENC</v>
      </c>
      <c r="J644" s="86" t="str">
        <f t="shared" si="19"/>
        <v>26</v>
      </c>
      <c r="K644" s="77" t="s">
        <v>1417</v>
      </c>
      <c r="L644" s="77">
        <v>1</v>
      </c>
      <c r="M644" s="77" t="s">
        <v>1418</v>
      </c>
      <c r="N644" s="88" t="s">
        <v>137</v>
      </c>
      <c r="O644" s="77" t="s">
        <v>121</v>
      </c>
      <c r="P644" s="77"/>
      <c r="Q644" s="31"/>
      <c r="R644" s="63"/>
    </row>
    <row r="645" spans="1:18" ht="39.75" hidden="1" customHeight="1" x14ac:dyDescent="0.25">
      <c r="A645" s="78">
        <f>IF(B645="","",COUNTA($B$7:B644))</f>
        <v>638</v>
      </c>
      <c r="B645" s="85">
        <v>46185</v>
      </c>
      <c r="C645" s="77" t="s">
        <v>305</v>
      </c>
      <c r="D645" s="77" t="s">
        <v>1436</v>
      </c>
      <c r="E645" s="77" t="s">
        <v>777</v>
      </c>
      <c r="F645" s="77" t="s">
        <v>118</v>
      </c>
      <c r="G645" s="77" t="s">
        <v>1440</v>
      </c>
      <c r="H645" s="131" t="s">
        <v>118</v>
      </c>
      <c r="I645" s="86" t="str">
        <f t="shared" si="18"/>
        <v>LENC</v>
      </c>
      <c r="J645" s="86" t="str">
        <f t="shared" si="19"/>
        <v>26</v>
      </c>
      <c r="K645" s="77" t="s">
        <v>1417</v>
      </c>
      <c r="L645" s="77">
        <v>3</v>
      </c>
      <c r="M645" s="77" t="s">
        <v>1418</v>
      </c>
      <c r="N645" s="88" t="s">
        <v>137</v>
      </c>
      <c r="O645" s="77" t="s">
        <v>121</v>
      </c>
      <c r="P645" s="77"/>
      <c r="Q645" s="31"/>
      <c r="R645" s="63"/>
    </row>
    <row r="646" spans="1:18" ht="39.75" hidden="1" customHeight="1" x14ac:dyDescent="0.25">
      <c r="A646" s="78">
        <f>IF(B646="","",COUNTA($B$7:B645))</f>
        <v>639</v>
      </c>
      <c r="B646" s="85">
        <v>46185</v>
      </c>
      <c r="C646" s="77" t="s">
        <v>305</v>
      </c>
      <c r="D646" s="77" t="s">
        <v>1441</v>
      </c>
      <c r="E646" s="77" t="s">
        <v>777</v>
      </c>
      <c r="F646" s="77" t="s">
        <v>118</v>
      </c>
      <c r="G646" s="77" t="s">
        <v>1442</v>
      </c>
      <c r="H646" s="131" t="s">
        <v>118</v>
      </c>
      <c r="I646" s="86" t="str">
        <f t="shared" si="18"/>
        <v>LENC</v>
      </c>
      <c r="J646" s="86" t="str">
        <f t="shared" si="19"/>
        <v>26</v>
      </c>
      <c r="K646" s="77" t="s">
        <v>1417</v>
      </c>
      <c r="L646" s="77">
        <v>3</v>
      </c>
      <c r="M646" s="77" t="s">
        <v>1418</v>
      </c>
      <c r="N646" s="88" t="s">
        <v>137</v>
      </c>
      <c r="O646" s="77" t="s">
        <v>121</v>
      </c>
      <c r="P646" s="77"/>
      <c r="Q646" s="31"/>
      <c r="R646" s="63"/>
    </row>
    <row r="647" spans="1:18" ht="39.75" hidden="1" customHeight="1" x14ac:dyDescent="0.25">
      <c r="A647" s="78">
        <f>IF(B647="","",COUNTA($B$7:B646))</f>
        <v>640</v>
      </c>
      <c r="B647" s="85">
        <v>46185</v>
      </c>
      <c r="C647" s="77" t="s">
        <v>305</v>
      </c>
      <c r="D647" s="77" t="s">
        <v>1443</v>
      </c>
      <c r="E647" s="77" t="s">
        <v>777</v>
      </c>
      <c r="F647" s="77" t="s">
        <v>118</v>
      </c>
      <c r="G647" s="77" t="s">
        <v>1444</v>
      </c>
      <c r="H647" s="131" t="s">
        <v>118</v>
      </c>
      <c r="I647" s="86" t="str">
        <f t="shared" si="18"/>
        <v>LENC</v>
      </c>
      <c r="J647" s="86" t="str">
        <f t="shared" si="19"/>
        <v>26</v>
      </c>
      <c r="K647" s="77" t="s">
        <v>1417</v>
      </c>
      <c r="L647" s="77">
        <v>3</v>
      </c>
      <c r="M647" s="77" t="s">
        <v>1418</v>
      </c>
      <c r="N647" s="88" t="s">
        <v>137</v>
      </c>
      <c r="O647" s="77" t="s">
        <v>121</v>
      </c>
      <c r="P647" s="77"/>
      <c r="Q647" s="31"/>
      <c r="R647" s="63"/>
    </row>
    <row r="648" spans="1:18" ht="39.75" hidden="1" customHeight="1" x14ac:dyDescent="0.25">
      <c r="A648" s="78">
        <f>IF(B648="","",COUNTA($B$7:B647))</f>
        <v>641</v>
      </c>
      <c r="B648" s="85">
        <v>46185</v>
      </c>
      <c r="C648" s="77" t="s">
        <v>305</v>
      </c>
      <c r="D648" s="77" t="s">
        <v>1445</v>
      </c>
      <c r="E648" s="77" t="s">
        <v>777</v>
      </c>
      <c r="F648" s="77" t="s">
        <v>118</v>
      </c>
      <c r="G648" s="77" t="s">
        <v>1446</v>
      </c>
      <c r="H648" s="131" t="s">
        <v>118</v>
      </c>
      <c r="I648" s="86" t="str">
        <f t="shared" si="18"/>
        <v>LENC</v>
      </c>
      <c r="J648" s="86" t="str">
        <f t="shared" si="19"/>
        <v>26</v>
      </c>
      <c r="K648" s="77" t="s">
        <v>1417</v>
      </c>
      <c r="L648" s="77">
        <v>1</v>
      </c>
      <c r="M648" s="77" t="s">
        <v>1418</v>
      </c>
      <c r="N648" s="88" t="s">
        <v>137</v>
      </c>
      <c r="O648" s="77" t="s">
        <v>121</v>
      </c>
      <c r="P648" s="77"/>
      <c r="Q648" s="31"/>
      <c r="R648" s="63"/>
    </row>
    <row r="649" spans="1:18" ht="39.75" hidden="1" customHeight="1" x14ac:dyDescent="0.25">
      <c r="A649" s="78">
        <f>IF(B649="","",COUNTA($B$7:B648))</f>
        <v>642</v>
      </c>
      <c r="B649" s="85">
        <v>46185</v>
      </c>
      <c r="C649" s="77" t="s">
        <v>305</v>
      </c>
      <c r="D649" s="77" t="s">
        <v>1229</v>
      </c>
      <c r="E649" s="77" t="s">
        <v>777</v>
      </c>
      <c r="F649" s="77" t="s">
        <v>118</v>
      </c>
      <c r="G649" s="77" t="s">
        <v>1447</v>
      </c>
      <c r="H649" s="131" t="s">
        <v>118</v>
      </c>
      <c r="I649" s="86" t="str">
        <f t="shared" si="18"/>
        <v>LENC</v>
      </c>
      <c r="J649" s="86" t="str">
        <f t="shared" si="19"/>
        <v>26</v>
      </c>
      <c r="K649" s="77" t="s">
        <v>1417</v>
      </c>
      <c r="L649" s="77">
        <v>1</v>
      </c>
      <c r="M649" s="77" t="s">
        <v>1418</v>
      </c>
      <c r="N649" s="88" t="s">
        <v>137</v>
      </c>
      <c r="O649" s="77" t="s">
        <v>121</v>
      </c>
      <c r="P649" s="77"/>
      <c r="Q649" s="31"/>
      <c r="R649" s="63"/>
    </row>
    <row r="650" spans="1:18" ht="39.75" hidden="1" customHeight="1" x14ac:dyDescent="0.25">
      <c r="A650" s="78">
        <f>IF(B650="","",COUNTA($B$7:B649))</f>
        <v>643</v>
      </c>
      <c r="B650" s="85">
        <v>46185</v>
      </c>
      <c r="C650" s="77" t="s">
        <v>305</v>
      </c>
      <c r="D650" s="77" t="s">
        <v>1385</v>
      </c>
      <c r="E650" s="77" t="s">
        <v>777</v>
      </c>
      <c r="F650" s="77" t="s">
        <v>118</v>
      </c>
      <c r="G650" s="77" t="s">
        <v>1448</v>
      </c>
      <c r="H650" s="131" t="s">
        <v>118</v>
      </c>
      <c r="I650" s="86" t="str">
        <f t="shared" ref="I650:I728" si="20">IF(B650="","","LENC")</f>
        <v>LENC</v>
      </c>
      <c r="J650" s="86" t="str">
        <f t="shared" ref="J650:J727" si="21">IF(B650="","",TEXT(B650,"yy"))</f>
        <v>26</v>
      </c>
      <c r="K650" s="77" t="s">
        <v>1417</v>
      </c>
      <c r="L650" s="77">
        <v>1</v>
      </c>
      <c r="M650" s="77" t="s">
        <v>1418</v>
      </c>
      <c r="N650" s="88" t="s">
        <v>137</v>
      </c>
      <c r="O650" s="77" t="s">
        <v>121</v>
      </c>
      <c r="P650" s="77"/>
      <c r="Q650" s="31"/>
      <c r="R650" s="63"/>
    </row>
    <row r="651" spans="1:18" ht="39.75" hidden="1" customHeight="1" x14ac:dyDescent="0.25">
      <c r="A651" s="78">
        <f>IF(B651="","",COUNTA($B$7:B650))</f>
        <v>644</v>
      </c>
      <c r="B651" s="85">
        <v>46185</v>
      </c>
      <c r="C651" s="77" t="s">
        <v>305</v>
      </c>
      <c r="D651" s="77" t="s">
        <v>1449</v>
      </c>
      <c r="E651" s="77" t="s">
        <v>777</v>
      </c>
      <c r="F651" s="77" t="s">
        <v>118</v>
      </c>
      <c r="G651" s="77" t="s">
        <v>1450</v>
      </c>
      <c r="H651" s="131" t="s">
        <v>118</v>
      </c>
      <c r="I651" s="86" t="str">
        <f t="shared" si="20"/>
        <v>LENC</v>
      </c>
      <c r="J651" s="86" t="str">
        <f t="shared" si="21"/>
        <v>26</v>
      </c>
      <c r="K651" s="77" t="s">
        <v>1417</v>
      </c>
      <c r="L651" s="77">
        <v>1</v>
      </c>
      <c r="M651" s="77" t="s">
        <v>1418</v>
      </c>
      <c r="N651" s="88" t="s">
        <v>137</v>
      </c>
      <c r="O651" s="77" t="s">
        <v>121</v>
      </c>
      <c r="P651" s="77"/>
      <c r="Q651" s="31"/>
      <c r="R651" s="63"/>
    </row>
    <row r="652" spans="1:18" ht="39.75" hidden="1" customHeight="1" x14ac:dyDescent="0.25">
      <c r="A652" s="78">
        <f>IF(B652="","",COUNTA($B$7:B651))</f>
        <v>645</v>
      </c>
      <c r="B652" s="85">
        <v>46185</v>
      </c>
      <c r="C652" s="77" t="s">
        <v>305</v>
      </c>
      <c r="D652" s="77" t="s">
        <v>1451</v>
      </c>
      <c r="E652" s="77" t="s">
        <v>777</v>
      </c>
      <c r="F652" s="77" t="s">
        <v>118</v>
      </c>
      <c r="G652" s="77" t="s">
        <v>1452</v>
      </c>
      <c r="H652" s="131" t="s">
        <v>118</v>
      </c>
      <c r="I652" s="86" t="str">
        <f t="shared" si="20"/>
        <v>LENC</v>
      </c>
      <c r="J652" s="86" t="str">
        <f t="shared" si="21"/>
        <v>26</v>
      </c>
      <c r="K652" s="77" t="s">
        <v>1417</v>
      </c>
      <c r="L652" s="77">
        <v>1</v>
      </c>
      <c r="M652" s="77" t="s">
        <v>1418</v>
      </c>
      <c r="N652" s="88" t="s">
        <v>137</v>
      </c>
      <c r="O652" s="77" t="s">
        <v>121</v>
      </c>
      <c r="P652" s="77"/>
      <c r="Q652" s="31"/>
      <c r="R652" s="63"/>
    </row>
    <row r="653" spans="1:18" ht="39.75" hidden="1" customHeight="1" x14ac:dyDescent="0.25">
      <c r="A653" s="78">
        <f>IF(B653="","",COUNTA($B$7:B652))</f>
        <v>646</v>
      </c>
      <c r="B653" s="85">
        <v>46185</v>
      </c>
      <c r="C653" s="77" t="s">
        <v>305</v>
      </c>
      <c r="D653" s="77" t="s">
        <v>1453</v>
      </c>
      <c r="E653" s="77" t="s">
        <v>777</v>
      </c>
      <c r="F653" s="77" t="s">
        <v>118</v>
      </c>
      <c r="G653" s="77" t="s">
        <v>1454</v>
      </c>
      <c r="H653" s="131" t="s">
        <v>118</v>
      </c>
      <c r="I653" s="86" t="str">
        <f t="shared" si="20"/>
        <v>LENC</v>
      </c>
      <c r="J653" s="86" t="str">
        <f t="shared" si="21"/>
        <v>26</v>
      </c>
      <c r="K653" s="77" t="s">
        <v>1417</v>
      </c>
      <c r="L653" s="77">
        <v>1</v>
      </c>
      <c r="M653" s="77" t="s">
        <v>1418</v>
      </c>
      <c r="N653" s="88" t="s">
        <v>137</v>
      </c>
      <c r="O653" s="77" t="s">
        <v>121</v>
      </c>
      <c r="P653" s="77"/>
      <c r="Q653" s="31"/>
      <c r="R653" s="63"/>
    </row>
    <row r="654" spans="1:18" ht="39.75" hidden="1" customHeight="1" x14ac:dyDescent="0.25">
      <c r="A654" s="78">
        <f>IF(B654="","",COUNTA($B$7:B653))</f>
        <v>647</v>
      </c>
      <c r="B654" s="85">
        <v>46185</v>
      </c>
      <c r="C654" s="77" t="s">
        <v>305</v>
      </c>
      <c r="D654" s="77" t="s">
        <v>1455</v>
      </c>
      <c r="E654" s="77" t="s">
        <v>777</v>
      </c>
      <c r="F654" s="77" t="s">
        <v>118</v>
      </c>
      <c r="G654" s="77" t="s">
        <v>1456</v>
      </c>
      <c r="H654" s="131" t="s">
        <v>118</v>
      </c>
      <c r="I654" s="86" t="str">
        <f t="shared" si="20"/>
        <v>LENC</v>
      </c>
      <c r="J654" s="86" t="str">
        <f t="shared" si="21"/>
        <v>26</v>
      </c>
      <c r="K654" s="77" t="s">
        <v>1417</v>
      </c>
      <c r="L654" s="77">
        <v>2</v>
      </c>
      <c r="M654" s="77" t="s">
        <v>1418</v>
      </c>
      <c r="N654" s="88" t="s">
        <v>137</v>
      </c>
      <c r="O654" s="77" t="s">
        <v>121</v>
      </c>
      <c r="P654" s="77"/>
      <c r="Q654" s="31"/>
      <c r="R654" s="63"/>
    </row>
    <row r="655" spans="1:18" ht="39.75" hidden="1" customHeight="1" x14ac:dyDescent="0.25">
      <c r="A655" s="78">
        <f>IF(B655="","",COUNTA($B$7:B654))</f>
        <v>648</v>
      </c>
      <c r="B655" s="85">
        <v>46185</v>
      </c>
      <c r="C655" s="77" t="s">
        <v>305</v>
      </c>
      <c r="D655" s="77" t="s">
        <v>1055</v>
      </c>
      <c r="E655" s="77" t="s">
        <v>777</v>
      </c>
      <c r="F655" s="77" t="s">
        <v>118</v>
      </c>
      <c r="G655" s="77" t="s">
        <v>1457</v>
      </c>
      <c r="H655" s="131" t="s">
        <v>118</v>
      </c>
      <c r="I655" s="86" t="str">
        <f t="shared" si="20"/>
        <v>LENC</v>
      </c>
      <c r="J655" s="86" t="str">
        <f t="shared" si="21"/>
        <v>26</v>
      </c>
      <c r="K655" s="77" t="s">
        <v>1417</v>
      </c>
      <c r="L655" s="77">
        <v>1</v>
      </c>
      <c r="M655" s="77" t="s">
        <v>1418</v>
      </c>
      <c r="N655" s="88" t="s">
        <v>137</v>
      </c>
      <c r="O655" s="77" t="s">
        <v>121</v>
      </c>
      <c r="P655" s="77"/>
      <c r="Q655" s="31"/>
      <c r="R655" s="63"/>
    </row>
    <row r="656" spans="1:18" ht="39.75" hidden="1" customHeight="1" x14ac:dyDescent="0.25">
      <c r="A656" s="78">
        <f>IF(B656="","",COUNTA($B$7:B655))</f>
        <v>649</v>
      </c>
      <c r="B656" s="85">
        <v>46185</v>
      </c>
      <c r="C656" s="77" t="s">
        <v>305</v>
      </c>
      <c r="D656" s="77" t="s">
        <v>1229</v>
      </c>
      <c r="E656" s="77" t="s">
        <v>777</v>
      </c>
      <c r="F656" s="77" t="s">
        <v>118</v>
      </c>
      <c r="G656" s="77" t="s">
        <v>1458</v>
      </c>
      <c r="H656" s="131" t="s">
        <v>118</v>
      </c>
      <c r="I656" s="86" t="str">
        <f t="shared" si="20"/>
        <v>LENC</v>
      </c>
      <c r="J656" s="86" t="str">
        <f t="shared" si="21"/>
        <v>26</v>
      </c>
      <c r="K656" s="77" t="s">
        <v>1417</v>
      </c>
      <c r="L656" s="77">
        <v>1</v>
      </c>
      <c r="M656" s="77" t="s">
        <v>1418</v>
      </c>
      <c r="N656" s="88" t="s">
        <v>137</v>
      </c>
      <c r="O656" s="77" t="s">
        <v>121</v>
      </c>
      <c r="P656" s="77"/>
      <c r="Q656" s="31"/>
      <c r="R656" s="63"/>
    </row>
    <row r="657" spans="1:18" ht="39.75" hidden="1" customHeight="1" x14ac:dyDescent="0.25">
      <c r="A657" s="78">
        <f>IF(B657="","",COUNTA($B$7:B656))</f>
        <v>650</v>
      </c>
      <c r="B657" s="85">
        <v>46185</v>
      </c>
      <c r="C657" s="77" t="s">
        <v>305</v>
      </c>
      <c r="D657" s="77" t="s">
        <v>1055</v>
      </c>
      <c r="E657" s="77" t="s">
        <v>777</v>
      </c>
      <c r="F657" s="77" t="s">
        <v>118</v>
      </c>
      <c r="G657" s="77" t="s">
        <v>1459</v>
      </c>
      <c r="H657" s="131" t="s">
        <v>118</v>
      </c>
      <c r="I657" s="86" t="str">
        <f t="shared" si="20"/>
        <v>LENC</v>
      </c>
      <c r="J657" s="86" t="str">
        <f t="shared" si="21"/>
        <v>26</v>
      </c>
      <c r="K657" s="77" t="s">
        <v>1417</v>
      </c>
      <c r="L657" s="77">
        <v>1</v>
      </c>
      <c r="M657" s="77" t="s">
        <v>1418</v>
      </c>
      <c r="N657" s="88" t="s">
        <v>137</v>
      </c>
      <c r="O657" s="77" t="s">
        <v>121</v>
      </c>
      <c r="P657" s="77"/>
      <c r="Q657" s="31"/>
      <c r="R657" s="63"/>
    </row>
    <row r="658" spans="1:18" ht="39.75" hidden="1" customHeight="1" x14ac:dyDescent="0.25">
      <c r="A658" s="78">
        <f>IF(B658="","",COUNTA($B$7:B657))</f>
        <v>651</v>
      </c>
      <c r="B658" s="85">
        <v>46185</v>
      </c>
      <c r="C658" s="77" t="s">
        <v>305</v>
      </c>
      <c r="D658" s="77" t="s">
        <v>1055</v>
      </c>
      <c r="E658" s="77" t="s">
        <v>777</v>
      </c>
      <c r="F658" s="77" t="s">
        <v>118</v>
      </c>
      <c r="G658" s="77" t="s">
        <v>1460</v>
      </c>
      <c r="H658" s="131" t="s">
        <v>118</v>
      </c>
      <c r="I658" s="86" t="str">
        <f t="shared" si="20"/>
        <v>LENC</v>
      </c>
      <c r="J658" s="86" t="str">
        <f t="shared" si="21"/>
        <v>26</v>
      </c>
      <c r="K658" s="77" t="s">
        <v>1417</v>
      </c>
      <c r="L658" s="77">
        <v>1</v>
      </c>
      <c r="M658" s="77" t="s">
        <v>1418</v>
      </c>
      <c r="N658" s="88" t="s">
        <v>137</v>
      </c>
      <c r="O658" s="77" t="s">
        <v>121</v>
      </c>
      <c r="P658" s="77"/>
      <c r="Q658" s="31"/>
      <c r="R658" s="63"/>
    </row>
    <row r="659" spans="1:18" ht="39.75" hidden="1" customHeight="1" x14ac:dyDescent="0.25">
      <c r="A659" s="78">
        <f>IF(B659="","",COUNTA($B$7:B658))</f>
        <v>652</v>
      </c>
      <c r="B659" s="85">
        <v>46185</v>
      </c>
      <c r="C659" s="77" t="s">
        <v>305</v>
      </c>
      <c r="D659" s="77" t="s">
        <v>1461</v>
      </c>
      <c r="E659" s="77" t="s">
        <v>777</v>
      </c>
      <c r="F659" s="77" t="s">
        <v>118</v>
      </c>
      <c r="G659" s="77" t="s">
        <v>1462</v>
      </c>
      <c r="H659" s="131" t="s">
        <v>118</v>
      </c>
      <c r="I659" s="86" t="str">
        <f t="shared" si="20"/>
        <v>LENC</v>
      </c>
      <c r="J659" s="86" t="str">
        <f t="shared" si="21"/>
        <v>26</v>
      </c>
      <c r="K659" s="77" t="s">
        <v>1417</v>
      </c>
      <c r="L659" s="77">
        <v>2</v>
      </c>
      <c r="M659" s="77" t="s">
        <v>1418</v>
      </c>
      <c r="N659" s="88" t="s">
        <v>137</v>
      </c>
      <c r="O659" s="77" t="s">
        <v>121</v>
      </c>
      <c r="P659" s="77"/>
      <c r="Q659" s="31"/>
      <c r="R659" s="63"/>
    </row>
    <row r="660" spans="1:18" ht="39.75" hidden="1" customHeight="1" x14ac:dyDescent="0.25">
      <c r="A660" s="78">
        <f>IF(B660="","",COUNTA($B$7:B659))</f>
        <v>653</v>
      </c>
      <c r="B660" s="85">
        <v>46185</v>
      </c>
      <c r="C660" s="77" t="s">
        <v>305</v>
      </c>
      <c r="D660" s="77" t="s">
        <v>1463</v>
      </c>
      <c r="E660" s="77" t="s">
        <v>777</v>
      </c>
      <c r="F660" s="77" t="s">
        <v>118</v>
      </c>
      <c r="G660" s="77" t="s">
        <v>1464</v>
      </c>
      <c r="H660" s="131" t="s">
        <v>118</v>
      </c>
      <c r="I660" s="86" t="str">
        <f t="shared" si="20"/>
        <v>LENC</v>
      </c>
      <c r="J660" s="86" t="str">
        <f t="shared" si="21"/>
        <v>26</v>
      </c>
      <c r="K660" s="77" t="s">
        <v>1417</v>
      </c>
      <c r="L660" s="77">
        <v>1</v>
      </c>
      <c r="M660" s="77" t="s">
        <v>1418</v>
      </c>
      <c r="N660" s="88" t="s">
        <v>137</v>
      </c>
      <c r="O660" s="77" t="s">
        <v>121</v>
      </c>
      <c r="P660" s="77"/>
      <c r="Q660" s="31"/>
      <c r="R660" s="63"/>
    </row>
    <row r="661" spans="1:18" ht="39.75" hidden="1" customHeight="1" x14ac:dyDescent="0.25">
      <c r="A661" s="78">
        <f>IF(B661="","",COUNTA($B$7:B660))</f>
        <v>654</v>
      </c>
      <c r="B661" s="85">
        <v>46185</v>
      </c>
      <c r="C661" s="77" t="s">
        <v>305</v>
      </c>
      <c r="D661" s="77" t="s">
        <v>1463</v>
      </c>
      <c r="E661" s="77" t="s">
        <v>777</v>
      </c>
      <c r="F661" s="77" t="s">
        <v>118</v>
      </c>
      <c r="G661" s="77" t="s">
        <v>1465</v>
      </c>
      <c r="H661" s="131" t="s">
        <v>118</v>
      </c>
      <c r="I661" s="86" t="str">
        <f t="shared" si="20"/>
        <v>LENC</v>
      </c>
      <c r="J661" s="86" t="str">
        <f t="shared" si="21"/>
        <v>26</v>
      </c>
      <c r="K661" s="77" t="s">
        <v>1417</v>
      </c>
      <c r="L661" s="77">
        <v>1</v>
      </c>
      <c r="M661" s="77" t="s">
        <v>1418</v>
      </c>
      <c r="N661" s="88" t="s">
        <v>137</v>
      </c>
      <c r="O661" s="77" t="s">
        <v>121</v>
      </c>
      <c r="P661" s="77"/>
      <c r="Q661" s="31"/>
      <c r="R661" s="63"/>
    </row>
    <row r="662" spans="1:18" ht="39.75" hidden="1" customHeight="1" x14ac:dyDescent="0.25">
      <c r="A662" s="78">
        <f>IF(B662="","",COUNTA($B$7:B661))</f>
        <v>655</v>
      </c>
      <c r="B662" s="85">
        <v>46189</v>
      </c>
      <c r="C662" s="77" t="s">
        <v>1325</v>
      </c>
      <c r="D662" s="77" t="s">
        <v>1466</v>
      </c>
      <c r="E662" s="77" t="s">
        <v>1327</v>
      </c>
      <c r="F662" s="77" t="s">
        <v>118</v>
      </c>
      <c r="G662" s="77" t="s">
        <v>69</v>
      </c>
      <c r="H662" s="131" t="s">
        <v>118</v>
      </c>
      <c r="I662" s="86" t="str">
        <f t="shared" si="20"/>
        <v>LENC</v>
      </c>
      <c r="J662" s="86" t="str">
        <f t="shared" si="21"/>
        <v>26</v>
      </c>
      <c r="K662" s="77" t="s">
        <v>69</v>
      </c>
      <c r="L662" s="77">
        <v>1</v>
      </c>
      <c r="M662" s="77" t="s">
        <v>69</v>
      </c>
      <c r="N662" s="88" t="s">
        <v>137</v>
      </c>
      <c r="O662" s="77" t="s">
        <v>121</v>
      </c>
      <c r="P662" s="77"/>
      <c r="Q662" s="31"/>
      <c r="R662" s="63"/>
    </row>
    <row r="663" spans="1:18" ht="39.75" hidden="1" customHeight="1" x14ac:dyDescent="0.25">
      <c r="A663" s="78">
        <f>IF(B663="","",COUNTA($B$7:B662))</f>
        <v>656</v>
      </c>
      <c r="B663" s="85">
        <v>46189</v>
      </c>
      <c r="C663" s="77" t="s">
        <v>1325</v>
      </c>
      <c r="D663" s="77" t="s">
        <v>1467</v>
      </c>
      <c r="E663" s="77" t="s">
        <v>1327</v>
      </c>
      <c r="F663" s="77" t="s">
        <v>118</v>
      </c>
      <c r="G663" s="77" t="s">
        <v>69</v>
      </c>
      <c r="H663" s="131" t="s">
        <v>118</v>
      </c>
      <c r="I663" s="86" t="str">
        <f t="shared" si="20"/>
        <v>LENC</v>
      </c>
      <c r="J663" s="86" t="str">
        <f t="shared" si="21"/>
        <v>26</v>
      </c>
      <c r="K663" s="77" t="s">
        <v>69</v>
      </c>
      <c r="L663" s="77">
        <v>1</v>
      </c>
      <c r="M663" s="77" t="s">
        <v>69</v>
      </c>
      <c r="N663" s="88" t="s">
        <v>137</v>
      </c>
      <c r="O663" s="77" t="s">
        <v>121</v>
      </c>
      <c r="P663" s="77"/>
      <c r="Q663" s="31"/>
      <c r="R663" s="63"/>
    </row>
    <row r="664" spans="1:18" ht="39.75" hidden="1" customHeight="1" x14ac:dyDescent="0.25">
      <c r="A664" s="78">
        <f>IF(B664="","",COUNTA($B$7:B663))</f>
        <v>657</v>
      </c>
      <c r="B664" s="85">
        <v>46189</v>
      </c>
      <c r="C664" s="77" t="s">
        <v>1325</v>
      </c>
      <c r="D664" s="77" t="s">
        <v>1468</v>
      </c>
      <c r="E664" s="77" t="s">
        <v>1327</v>
      </c>
      <c r="F664" s="77" t="s">
        <v>118</v>
      </c>
      <c r="G664" s="77">
        <v>21694</v>
      </c>
      <c r="H664" s="131" t="s">
        <v>118</v>
      </c>
      <c r="I664" s="86" t="str">
        <f t="shared" si="20"/>
        <v>LENC</v>
      </c>
      <c r="J664" s="86" t="str">
        <f t="shared" si="21"/>
        <v>26</v>
      </c>
      <c r="K664" s="77" t="s">
        <v>69</v>
      </c>
      <c r="L664" s="77">
        <v>1</v>
      </c>
      <c r="M664" s="77" t="s">
        <v>69</v>
      </c>
      <c r="N664" s="88" t="s">
        <v>137</v>
      </c>
      <c r="O664" s="77" t="s">
        <v>121</v>
      </c>
      <c r="P664" s="77"/>
      <c r="Q664" s="31"/>
      <c r="R664" s="63"/>
    </row>
    <row r="665" spans="1:18" ht="39.75" hidden="1" customHeight="1" x14ac:dyDescent="0.25">
      <c r="A665" s="78">
        <f>IF(B665="","",COUNTA($B$7:B664))</f>
        <v>658</v>
      </c>
      <c r="B665" s="85">
        <v>46189</v>
      </c>
      <c r="C665" s="77" t="s">
        <v>529</v>
      </c>
      <c r="D665" s="77" t="s">
        <v>1469</v>
      </c>
      <c r="E665" s="77" t="s">
        <v>549</v>
      </c>
      <c r="F665" s="77" t="s">
        <v>118</v>
      </c>
      <c r="G665" s="77">
        <v>21530</v>
      </c>
      <c r="H665" s="131" t="s">
        <v>118</v>
      </c>
      <c r="I665" s="86" t="str">
        <f t="shared" si="20"/>
        <v>LENC</v>
      </c>
      <c r="J665" s="86" t="str">
        <f t="shared" si="21"/>
        <v>26</v>
      </c>
      <c r="K665" s="77" t="s">
        <v>69</v>
      </c>
      <c r="L665" s="77">
        <v>10</v>
      </c>
      <c r="M665" s="77" t="s">
        <v>69</v>
      </c>
      <c r="N665" s="88" t="s">
        <v>137</v>
      </c>
      <c r="O665" s="77" t="s">
        <v>121</v>
      </c>
      <c r="P665" s="77"/>
      <c r="Q665" s="31"/>
      <c r="R665" s="63"/>
    </row>
    <row r="666" spans="1:18" ht="39.75" hidden="1" customHeight="1" x14ac:dyDescent="0.25">
      <c r="A666" s="78">
        <f>IF(B666="","",COUNTA($B$7:B665))</f>
        <v>659</v>
      </c>
      <c r="B666" s="85">
        <v>46189</v>
      </c>
      <c r="C666" s="77" t="s">
        <v>529</v>
      </c>
      <c r="D666" s="77" t="s">
        <v>1470</v>
      </c>
      <c r="E666" s="77" t="s">
        <v>549</v>
      </c>
      <c r="F666" s="77" t="s">
        <v>118</v>
      </c>
      <c r="G666" s="77">
        <v>21529</v>
      </c>
      <c r="H666" s="131" t="s">
        <v>118</v>
      </c>
      <c r="I666" s="86" t="str">
        <f t="shared" si="20"/>
        <v>LENC</v>
      </c>
      <c r="J666" s="86" t="str">
        <f t="shared" si="21"/>
        <v>26</v>
      </c>
      <c r="K666" s="77" t="s">
        <v>69</v>
      </c>
      <c r="L666" s="77">
        <v>1</v>
      </c>
      <c r="M666" s="77" t="s">
        <v>69</v>
      </c>
      <c r="N666" s="88" t="s">
        <v>137</v>
      </c>
      <c r="O666" s="77" t="s">
        <v>121</v>
      </c>
      <c r="P666" s="77"/>
      <c r="Q666" s="31"/>
      <c r="R666" s="63"/>
    </row>
    <row r="667" spans="1:18" ht="39.75" hidden="1" customHeight="1" x14ac:dyDescent="0.25">
      <c r="A667" s="78">
        <f>IF(B667="","",COUNTA($B$7:B666))</f>
        <v>660</v>
      </c>
      <c r="B667" s="85">
        <v>46189</v>
      </c>
      <c r="C667" s="77" t="s">
        <v>529</v>
      </c>
      <c r="D667" s="77" t="s">
        <v>1471</v>
      </c>
      <c r="E667" s="77" t="s">
        <v>549</v>
      </c>
      <c r="F667" s="77" t="s">
        <v>118</v>
      </c>
      <c r="G667" s="77">
        <v>21528</v>
      </c>
      <c r="H667" s="131" t="s">
        <v>118</v>
      </c>
      <c r="I667" s="86" t="str">
        <f t="shared" si="20"/>
        <v>LENC</v>
      </c>
      <c r="J667" s="86" t="str">
        <f t="shared" si="21"/>
        <v>26</v>
      </c>
      <c r="K667" s="77" t="s">
        <v>69</v>
      </c>
      <c r="L667" s="77">
        <v>2</v>
      </c>
      <c r="M667" s="77" t="s">
        <v>69</v>
      </c>
      <c r="N667" s="88" t="s">
        <v>137</v>
      </c>
      <c r="O667" s="77" t="s">
        <v>121</v>
      </c>
      <c r="P667" s="77"/>
      <c r="Q667" s="31"/>
      <c r="R667" s="63"/>
    </row>
    <row r="668" spans="1:18" ht="39.75" hidden="1" customHeight="1" x14ac:dyDescent="0.25">
      <c r="A668" s="78">
        <f>IF(B668="","",COUNTA($B$7:B667))</f>
        <v>661</v>
      </c>
      <c r="B668" s="85">
        <v>46189</v>
      </c>
      <c r="C668" s="77" t="s">
        <v>529</v>
      </c>
      <c r="D668" s="77" t="s">
        <v>1469</v>
      </c>
      <c r="E668" s="77" t="s">
        <v>549</v>
      </c>
      <c r="F668" s="77" t="s">
        <v>118</v>
      </c>
      <c r="G668" s="77">
        <v>21531</v>
      </c>
      <c r="H668" s="131" t="s">
        <v>118</v>
      </c>
      <c r="I668" s="86" t="str">
        <f t="shared" si="20"/>
        <v>LENC</v>
      </c>
      <c r="J668" s="86" t="str">
        <f t="shared" si="21"/>
        <v>26</v>
      </c>
      <c r="K668" s="77" t="s">
        <v>69</v>
      </c>
      <c r="L668" s="77">
        <v>6</v>
      </c>
      <c r="M668" s="77" t="s">
        <v>69</v>
      </c>
      <c r="N668" s="88" t="s">
        <v>137</v>
      </c>
      <c r="O668" s="77" t="s">
        <v>121</v>
      </c>
      <c r="P668" s="77"/>
      <c r="Q668" s="31"/>
      <c r="R668" s="63"/>
    </row>
    <row r="669" spans="1:18" ht="39.75" hidden="1" customHeight="1" x14ac:dyDescent="0.25">
      <c r="A669" s="78">
        <f>IF(B669="","",COUNTA($B$7:B668))</f>
        <v>662</v>
      </c>
      <c r="B669" s="85">
        <v>46191</v>
      </c>
      <c r="C669" s="77" t="s">
        <v>305</v>
      </c>
      <c r="D669" s="77" t="s">
        <v>1472</v>
      </c>
      <c r="E669" s="77" t="s">
        <v>1473</v>
      </c>
      <c r="F669" s="77" t="s">
        <v>118</v>
      </c>
      <c r="G669" s="77" t="s">
        <v>1474</v>
      </c>
      <c r="H669" s="131" t="s">
        <v>118</v>
      </c>
      <c r="I669" s="86" t="str">
        <f t="shared" si="20"/>
        <v>LENC</v>
      </c>
      <c r="J669" s="86" t="str">
        <f t="shared" si="21"/>
        <v>26</v>
      </c>
      <c r="K669" s="77" t="s">
        <v>69</v>
      </c>
      <c r="L669" s="77">
        <v>1</v>
      </c>
      <c r="M669" s="77" t="s">
        <v>69</v>
      </c>
      <c r="N669" s="88" t="s">
        <v>137</v>
      </c>
      <c r="O669" s="77" t="s">
        <v>121</v>
      </c>
      <c r="P669" s="77"/>
      <c r="Q669" s="31"/>
      <c r="R669" s="63"/>
    </row>
    <row r="670" spans="1:18" ht="39.75" hidden="1" customHeight="1" x14ac:dyDescent="0.25">
      <c r="A670" s="78">
        <f>IF(B670="","",COUNTA($B$7:B669))</f>
        <v>663</v>
      </c>
      <c r="B670" s="85">
        <v>46191</v>
      </c>
      <c r="C670" s="77" t="s">
        <v>305</v>
      </c>
      <c r="D670" s="77" t="s">
        <v>1475</v>
      </c>
      <c r="E670" s="77" t="s">
        <v>1473</v>
      </c>
      <c r="F670" s="77" t="s">
        <v>118</v>
      </c>
      <c r="G670" s="77" t="s">
        <v>1476</v>
      </c>
      <c r="H670" s="131" t="s">
        <v>118</v>
      </c>
      <c r="I670" s="86" t="str">
        <f t="shared" si="20"/>
        <v>LENC</v>
      </c>
      <c r="J670" s="86" t="str">
        <f t="shared" si="21"/>
        <v>26</v>
      </c>
      <c r="K670" s="77" t="s">
        <v>69</v>
      </c>
      <c r="L670" s="77">
        <v>1</v>
      </c>
      <c r="M670" s="77" t="s">
        <v>69</v>
      </c>
      <c r="N670" s="88" t="s">
        <v>137</v>
      </c>
      <c r="O670" s="77" t="s">
        <v>121</v>
      </c>
      <c r="P670" s="77"/>
      <c r="Q670" s="31"/>
      <c r="R670" s="63"/>
    </row>
    <row r="671" spans="1:18" ht="39.75" hidden="1" customHeight="1" x14ac:dyDescent="0.25">
      <c r="A671" s="78">
        <f>IF(B671="","",COUNTA($B$7:B670))</f>
        <v>664</v>
      </c>
      <c r="B671" s="85">
        <v>46191</v>
      </c>
      <c r="C671" s="77" t="s">
        <v>305</v>
      </c>
      <c r="D671" s="77" t="s">
        <v>1477</v>
      </c>
      <c r="E671" s="77" t="s">
        <v>1473</v>
      </c>
      <c r="F671" s="77" t="s">
        <v>118</v>
      </c>
      <c r="G671" s="77" t="s">
        <v>1478</v>
      </c>
      <c r="H671" s="131" t="s">
        <v>118</v>
      </c>
      <c r="I671" s="86" t="str">
        <f t="shared" si="20"/>
        <v>LENC</v>
      </c>
      <c r="J671" s="86" t="str">
        <f t="shared" si="21"/>
        <v>26</v>
      </c>
      <c r="K671" s="77" t="s">
        <v>69</v>
      </c>
      <c r="L671" s="77">
        <v>1</v>
      </c>
      <c r="M671" s="77" t="s">
        <v>69</v>
      </c>
      <c r="N671" s="88" t="s">
        <v>137</v>
      </c>
      <c r="O671" s="77" t="s">
        <v>121</v>
      </c>
      <c r="P671" s="77"/>
      <c r="Q671" s="31"/>
      <c r="R671" s="63"/>
    </row>
    <row r="672" spans="1:18" ht="39.75" hidden="1" customHeight="1" x14ac:dyDescent="0.25">
      <c r="A672" s="78">
        <f>IF(B672="","",COUNTA($B$7:B671))</f>
        <v>665</v>
      </c>
      <c r="B672" s="85">
        <v>46191</v>
      </c>
      <c r="C672" s="77" t="s">
        <v>305</v>
      </c>
      <c r="D672" s="77" t="s">
        <v>1057</v>
      </c>
      <c r="E672" s="77" t="s">
        <v>1473</v>
      </c>
      <c r="F672" s="77" t="s">
        <v>118</v>
      </c>
      <c r="G672" s="77" t="s">
        <v>1479</v>
      </c>
      <c r="H672" s="131" t="s">
        <v>118</v>
      </c>
      <c r="I672" s="86" t="str">
        <f t="shared" si="20"/>
        <v>LENC</v>
      </c>
      <c r="J672" s="86" t="str">
        <f t="shared" si="21"/>
        <v>26</v>
      </c>
      <c r="K672" s="77" t="s">
        <v>69</v>
      </c>
      <c r="L672" s="77">
        <v>2</v>
      </c>
      <c r="M672" s="77" t="s">
        <v>69</v>
      </c>
      <c r="N672" s="88"/>
      <c r="O672" s="77" t="s">
        <v>121</v>
      </c>
      <c r="P672" s="77"/>
      <c r="Q672" s="31"/>
      <c r="R672" s="63"/>
    </row>
    <row r="673" spans="1:18" ht="39.75" hidden="1" customHeight="1" x14ac:dyDescent="0.25">
      <c r="A673" s="78">
        <f>IF(B673="","",COUNTA($B$7:B672))</f>
        <v>666</v>
      </c>
      <c r="B673" s="85">
        <v>46191</v>
      </c>
      <c r="C673" s="77" t="s">
        <v>305</v>
      </c>
      <c r="D673" s="77" t="s">
        <v>1480</v>
      </c>
      <c r="E673" s="77" t="s">
        <v>1473</v>
      </c>
      <c r="F673" s="77" t="s">
        <v>118</v>
      </c>
      <c r="G673" s="77" t="s">
        <v>1481</v>
      </c>
      <c r="H673" s="131" t="s">
        <v>118</v>
      </c>
      <c r="I673" s="86" t="str">
        <f t="shared" si="20"/>
        <v>LENC</v>
      </c>
      <c r="J673" s="86" t="str">
        <f t="shared" si="21"/>
        <v>26</v>
      </c>
      <c r="K673" s="77" t="s">
        <v>69</v>
      </c>
      <c r="L673" s="77">
        <v>4</v>
      </c>
      <c r="M673" s="77" t="s">
        <v>69</v>
      </c>
      <c r="N673" s="88"/>
      <c r="O673" s="77" t="s">
        <v>121</v>
      </c>
      <c r="P673" s="77"/>
      <c r="Q673" s="31"/>
      <c r="R673" s="63"/>
    </row>
    <row r="674" spans="1:18" ht="39.75" hidden="1" customHeight="1" x14ac:dyDescent="0.25">
      <c r="A674" s="78">
        <f>IF(B674="","",COUNTA($B$7:B673))</f>
        <v>667</v>
      </c>
      <c r="B674" s="85">
        <v>46190</v>
      </c>
      <c r="C674" s="77" t="s">
        <v>305</v>
      </c>
      <c r="D674" s="77" t="s">
        <v>1385</v>
      </c>
      <c r="E674" s="77" t="s">
        <v>1482</v>
      </c>
      <c r="F674" s="77" t="s">
        <v>118</v>
      </c>
      <c r="G674" s="77" t="s">
        <v>1483</v>
      </c>
      <c r="H674" s="131" t="s">
        <v>118</v>
      </c>
      <c r="I674" s="86" t="str">
        <f t="shared" si="20"/>
        <v>LENC</v>
      </c>
      <c r="J674" s="86" t="str">
        <f t="shared" si="21"/>
        <v>26</v>
      </c>
      <c r="K674" s="77" t="s">
        <v>1484</v>
      </c>
      <c r="L674" s="77">
        <v>8</v>
      </c>
      <c r="M674" s="77" t="s">
        <v>1485</v>
      </c>
      <c r="N674" s="88" t="s">
        <v>198</v>
      </c>
      <c r="O674" s="77" t="s">
        <v>172</v>
      </c>
      <c r="P674" s="77"/>
      <c r="Q674" s="31"/>
      <c r="R674" s="63"/>
    </row>
    <row r="675" spans="1:18" ht="39.75" hidden="1" customHeight="1" x14ac:dyDescent="0.25">
      <c r="A675" s="78">
        <f>IF(B675="","",COUNTA($B$7:B674))</f>
        <v>668</v>
      </c>
      <c r="B675" s="85">
        <v>46190</v>
      </c>
      <c r="C675" s="77" t="s">
        <v>305</v>
      </c>
      <c r="D675" s="77" t="s">
        <v>1385</v>
      </c>
      <c r="E675" s="77" t="s">
        <v>1482</v>
      </c>
      <c r="F675" s="77" t="s">
        <v>118</v>
      </c>
      <c r="G675" s="77" t="s">
        <v>1486</v>
      </c>
      <c r="H675" s="131" t="s">
        <v>118</v>
      </c>
      <c r="I675" s="86" t="str">
        <f t="shared" si="20"/>
        <v>LENC</v>
      </c>
      <c r="J675" s="86" t="str">
        <f t="shared" si="21"/>
        <v>26</v>
      </c>
      <c r="K675" s="77" t="s">
        <v>1484</v>
      </c>
      <c r="L675" s="77">
        <v>8</v>
      </c>
      <c r="M675" s="77" t="s">
        <v>1485</v>
      </c>
      <c r="N675" s="88" t="s">
        <v>198</v>
      </c>
      <c r="O675" s="77" t="s">
        <v>172</v>
      </c>
      <c r="P675" s="77"/>
      <c r="Q675" s="31"/>
      <c r="R675" s="63"/>
    </row>
    <row r="676" spans="1:18" ht="39.75" hidden="1" customHeight="1" x14ac:dyDescent="0.25">
      <c r="A676" s="78">
        <f>IF(B676="","",COUNTA($B$7:B675))</f>
        <v>669</v>
      </c>
      <c r="B676" s="85">
        <v>46191</v>
      </c>
      <c r="C676" s="77" t="s">
        <v>1487</v>
      </c>
      <c r="D676" s="77" t="s">
        <v>1488</v>
      </c>
      <c r="E676" s="77" t="s">
        <v>1489</v>
      </c>
      <c r="F676" s="77" t="s">
        <v>118</v>
      </c>
      <c r="G676" s="77" t="s">
        <v>1490</v>
      </c>
      <c r="H676" s="131" t="s">
        <v>118</v>
      </c>
      <c r="I676" s="86" t="str">
        <f t="shared" si="20"/>
        <v>LENC</v>
      </c>
      <c r="J676" s="86" t="str">
        <f t="shared" si="21"/>
        <v>26</v>
      </c>
      <c r="K676" s="77" t="s">
        <v>1491</v>
      </c>
      <c r="L676" s="77">
        <v>1</v>
      </c>
      <c r="M676" s="77" t="s">
        <v>1492</v>
      </c>
      <c r="N676" s="88" t="s">
        <v>711</v>
      </c>
      <c r="O676" s="77" t="s">
        <v>172</v>
      </c>
      <c r="P676" s="77"/>
      <c r="Q676" s="31"/>
      <c r="R676" s="63"/>
    </row>
    <row r="677" spans="1:18" ht="39.75" hidden="1" customHeight="1" x14ac:dyDescent="0.25">
      <c r="A677" s="78">
        <f>IF(B677="","",COUNTA($B$7:B676))</f>
        <v>670</v>
      </c>
      <c r="B677" s="85">
        <v>46191</v>
      </c>
      <c r="C677" s="77" t="s">
        <v>1487</v>
      </c>
      <c r="D677" s="77" t="s">
        <v>1488</v>
      </c>
      <c r="E677" s="77" t="s">
        <v>1489</v>
      </c>
      <c r="F677" s="77" t="s">
        <v>118</v>
      </c>
      <c r="G677" s="77" t="s">
        <v>1493</v>
      </c>
      <c r="H677" s="131" t="s">
        <v>118</v>
      </c>
      <c r="I677" s="86" t="str">
        <f t="shared" si="20"/>
        <v>LENC</v>
      </c>
      <c r="J677" s="86" t="str">
        <f t="shared" si="21"/>
        <v>26</v>
      </c>
      <c r="K677" s="77" t="s">
        <v>1491</v>
      </c>
      <c r="L677" s="77">
        <v>1</v>
      </c>
      <c r="M677" s="77" t="s">
        <v>1492</v>
      </c>
      <c r="N677" s="88" t="s">
        <v>711</v>
      </c>
      <c r="O677" s="77" t="s">
        <v>172</v>
      </c>
      <c r="P677" s="77"/>
      <c r="Q677" s="31"/>
      <c r="R677" s="63"/>
    </row>
    <row r="678" spans="1:18" ht="39.75" hidden="1" customHeight="1" x14ac:dyDescent="0.25">
      <c r="A678" s="78">
        <f>IF(B678="","",COUNTA($B$7:B677))</f>
        <v>671</v>
      </c>
      <c r="B678" s="85">
        <v>46191</v>
      </c>
      <c r="C678" s="77" t="s">
        <v>1487</v>
      </c>
      <c r="D678" s="77" t="s">
        <v>1494</v>
      </c>
      <c r="E678" s="77" t="s">
        <v>1489</v>
      </c>
      <c r="F678" s="77" t="s">
        <v>118</v>
      </c>
      <c r="G678" s="77" t="s">
        <v>1495</v>
      </c>
      <c r="H678" s="131" t="s">
        <v>118</v>
      </c>
      <c r="I678" s="86" t="str">
        <f t="shared" si="20"/>
        <v>LENC</v>
      </c>
      <c r="J678" s="86" t="str">
        <f t="shared" si="21"/>
        <v>26</v>
      </c>
      <c r="K678" s="77" t="s">
        <v>1491</v>
      </c>
      <c r="L678" s="77">
        <v>1</v>
      </c>
      <c r="M678" s="77" t="s">
        <v>1492</v>
      </c>
      <c r="N678" s="88" t="s">
        <v>711</v>
      </c>
      <c r="O678" s="77" t="s">
        <v>172</v>
      </c>
      <c r="P678" s="77"/>
      <c r="Q678" s="31"/>
      <c r="R678" s="63"/>
    </row>
    <row r="679" spans="1:18" ht="39.75" hidden="1" customHeight="1" x14ac:dyDescent="0.25">
      <c r="A679" s="78">
        <f>IF(B679="","",COUNTA($B$7:B678))</f>
        <v>672</v>
      </c>
      <c r="B679" s="85">
        <v>46191</v>
      </c>
      <c r="C679" s="77" t="s">
        <v>1487</v>
      </c>
      <c r="D679" s="77" t="s">
        <v>1494</v>
      </c>
      <c r="E679" s="77" t="s">
        <v>1489</v>
      </c>
      <c r="F679" s="77" t="s">
        <v>118</v>
      </c>
      <c r="G679" s="77" t="s">
        <v>1496</v>
      </c>
      <c r="H679" s="131" t="s">
        <v>118</v>
      </c>
      <c r="I679" s="86" t="str">
        <f t="shared" si="20"/>
        <v>LENC</v>
      </c>
      <c r="J679" s="86" t="str">
        <f t="shared" si="21"/>
        <v>26</v>
      </c>
      <c r="K679" s="77" t="s">
        <v>1491</v>
      </c>
      <c r="L679" s="77">
        <v>1</v>
      </c>
      <c r="M679" s="77" t="s">
        <v>1492</v>
      </c>
      <c r="N679" s="88" t="s">
        <v>711</v>
      </c>
      <c r="O679" s="77" t="s">
        <v>172</v>
      </c>
      <c r="P679" s="77"/>
      <c r="Q679" s="31"/>
      <c r="R679" s="63"/>
    </row>
    <row r="680" spans="1:18" ht="39.75" hidden="1" customHeight="1" x14ac:dyDescent="0.25">
      <c r="A680" s="78">
        <f>IF(B680="","",COUNTA($B$7:B679))</f>
        <v>673</v>
      </c>
      <c r="B680" s="85">
        <v>46191</v>
      </c>
      <c r="C680" s="77" t="s">
        <v>138</v>
      </c>
      <c r="D680" s="77" t="s">
        <v>1497</v>
      </c>
      <c r="E680" s="77" t="s">
        <v>1498</v>
      </c>
      <c r="F680" s="77" t="s">
        <v>118</v>
      </c>
      <c r="G680" s="77" t="s">
        <v>1499</v>
      </c>
      <c r="H680" s="131" t="s">
        <v>118</v>
      </c>
      <c r="I680" s="86" t="str">
        <f t="shared" si="20"/>
        <v>LENC</v>
      </c>
      <c r="J680" s="86" t="str">
        <f t="shared" si="21"/>
        <v>26</v>
      </c>
      <c r="K680" s="77" t="s">
        <v>1500</v>
      </c>
      <c r="L680" s="77">
        <v>1</v>
      </c>
      <c r="M680" s="77" t="s">
        <v>1501</v>
      </c>
      <c r="N680" s="88" t="s">
        <v>711</v>
      </c>
      <c r="O680" s="77" t="s">
        <v>172</v>
      </c>
      <c r="P680" s="77"/>
      <c r="Q680" s="31"/>
      <c r="R680" s="63"/>
    </row>
    <row r="681" spans="1:18" ht="39.75" hidden="1" customHeight="1" x14ac:dyDescent="0.25">
      <c r="A681" s="78">
        <f>IF(B681="","",COUNTA($B$7:B680))</f>
        <v>674</v>
      </c>
      <c r="B681" s="85">
        <v>46191</v>
      </c>
      <c r="C681" s="77" t="s">
        <v>138</v>
      </c>
      <c r="D681" s="77" t="s">
        <v>1497</v>
      </c>
      <c r="E681" s="77" t="s">
        <v>1498</v>
      </c>
      <c r="F681" s="77" t="s">
        <v>118</v>
      </c>
      <c r="G681" s="77" t="s">
        <v>1502</v>
      </c>
      <c r="H681" s="131" t="s">
        <v>118</v>
      </c>
      <c r="I681" s="86" t="str">
        <f t="shared" si="20"/>
        <v>LENC</v>
      </c>
      <c r="J681" s="86" t="str">
        <f t="shared" si="21"/>
        <v>26</v>
      </c>
      <c r="K681" s="77" t="s">
        <v>1500</v>
      </c>
      <c r="L681" s="77">
        <v>1</v>
      </c>
      <c r="M681" s="77" t="s">
        <v>1501</v>
      </c>
      <c r="N681" s="88" t="s">
        <v>711</v>
      </c>
      <c r="O681" s="77" t="s">
        <v>172</v>
      </c>
      <c r="P681" s="77"/>
      <c r="Q681" s="31"/>
      <c r="R681" s="63"/>
    </row>
    <row r="682" spans="1:18" ht="39.75" hidden="1" customHeight="1" x14ac:dyDescent="0.25">
      <c r="A682" s="78">
        <f>IF(B682="","",COUNTA($B$7:B681))</f>
        <v>675</v>
      </c>
      <c r="B682" s="85">
        <v>46191</v>
      </c>
      <c r="C682" s="77" t="s">
        <v>138</v>
      </c>
      <c r="D682" s="77" t="s">
        <v>1503</v>
      </c>
      <c r="E682" s="77" t="s">
        <v>69</v>
      </c>
      <c r="F682" s="77" t="s">
        <v>118</v>
      </c>
      <c r="G682" s="77" t="s">
        <v>1504</v>
      </c>
      <c r="H682" s="131" t="s">
        <v>118</v>
      </c>
      <c r="I682" s="86" t="str">
        <f t="shared" si="20"/>
        <v>LENC</v>
      </c>
      <c r="J682" s="86" t="str">
        <f t="shared" si="21"/>
        <v>26</v>
      </c>
      <c r="K682" s="77" t="s">
        <v>1505</v>
      </c>
      <c r="L682" s="77">
        <v>1</v>
      </c>
      <c r="M682" s="77" t="s">
        <v>1506</v>
      </c>
      <c r="N682" s="88" t="s">
        <v>198</v>
      </c>
      <c r="O682" s="77" t="s">
        <v>172</v>
      </c>
      <c r="P682" s="77"/>
      <c r="Q682" s="31"/>
      <c r="R682" s="63"/>
    </row>
    <row r="683" spans="1:18" ht="39.75" hidden="1" customHeight="1" x14ac:dyDescent="0.25">
      <c r="A683" s="78">
        <f>IF(B683="","",COUNTA($B$7:B682))</f>
        <v>676</v>
      </c>
      <c r="B683" s="85">
        <v>46191</v>
      </c>
      <c r="C683" s="77" t="s">
        <v>138</v>
      </c>
      <c r="D683" s="77" t="s">
        <v>1503</v>
      </c>
      <c r="E683" s="77" t="s">
        <v>69</v>
      </c>
      <c r="F683" s="77" t="s">
        <v>118</v>
      </c>
      <c r="G683" s="77" t="s">
        <v>1507</v>
      </c>
      <c r="H683" s="131" t="s">
        <v>118</v>
      </c>
      <c r="I683" s="86" t="str">
        <f t="shared" si="20"/>
        <v>LENC</v>
      </c>
      <c r="J683" s="86" t="str">
        <f t="shared" si="21"/>
        <v>26</v>
      </c>
      <c r="K683" s="77" t="s">
        <v>1505</v>
      </c>
      <c r="L683" s="77">
        <v>1</v>
      </c>
      <c r="M683" s="77" t="s">
        <v>1506</v>
      </c>
      <c r="N683" s="88" t="s">
        <v>198</v>
      </c>
      <c r="O683" s="77" t="s">
        <v>172</v>
      </c>
      <c r="P683" s="77"/>
      <c r="Q683" s="31"/>
      <c r="R683" s="63"/>
    </row>
    <row r="684" spans="1:18" ht="39.75" hidden="1" customHeight="1" x14ac:dyDescent="0.25">
      <c r="A684" s="78">
        <f>IF(B684="","",COUNTA($B$7:B683))</f>
        <v>677</v>
      </c>
      <c r="B684" s="85">
        <v>46191</v>
      </c>
      <c r="C684" s="77" t="s">
        <v>138</v>
      </c>
      <c r="D684" s="77" t="s">
        <v>1503</v>
      </c>
      <c r="E684" s="77" t="s">
        <v>69</v>
      </c>
      <c r="F684" s="77" t="s">
        <v>118</v>
      </c>
      <c r="G684" s="77" t="s">
        <v>1508</v>
      </c>
      <c r="H684" s="131" t="s">
        <v>118</v>
      </c>
      <c r="I684" s="86" t="str">
        <f t="shared" si="20"/>
        <v>LENC</v>
      </c>
      <c r="J684" s="86" t="str">
        <f t="shared" si="21"/>
        <v>26</v>
      </c>
      <c r="K684" s="77" t="s">
        <v>1505</v>
      </c>
      <c r="L684" s="77">
        <v>1</v>
      </c>
      <c r="M684" s="77" t="s">
        <v>1506</v>
      </c>
      <c r="N684" s="88" t="s">
        <v>198</v>
      </c>
      <c r="O684" s="77" t="s">
        <v>172</v>
      </c>
      <c r="P684" s="77"/>
      <c r="Q684" s="31"/>
      <c r="R684" s="63"/>
    </row>
    <row r="685" spans="1:18" ht="39.75" hidden="1" customHeight="1" x14ac:dyDescent="0.25">
      <c r="A685" s="78">
        <f>IF(B685="","",COUNTA($B$7:B684))</f>
        <v>678</v>
      </c>
      <c r="B685" s="85">
        <v>46192</v>
      </c>
      <c r="C685" s="77" t="s">
        <v>199</v>
      </c>
      <c r="D685" s="77" t="s">
        <v>200</v>
      </c>
      <c r="E685" s="77" t="s">
        <v>199</v>
      </c>
      <c r="F685" s="77" t="s">
        <v>118</v>
      </c>
      <c r="G685" s="77" t="s">
        <v>201</v>
      </c>
      <c r="H685" s="131" t="s">
        <v>118</v>
      </c>
      <c r="I685" s="86" t="str">
        <f t="shared" si="20"/>
        <v>LENC</v>
      </c>
      <c r="J685" s="86" t="str">
        <f t="shared" si="21"/>
        <v>26</v>
      </c>
      <c r="K685" s="77" t="s">
        <v>69</v>
      </c>
      <c r="L685" s="77">
        <v>10</v>
      </c>
      <c r="M685" s="77" t="s">
        <v>69</v>
      </c>
      <c r="N685" s="88" t="s">
        <v>308</v>
      </c>
      <c r="O685" s="77" t="s">
        <v>121</v>
      </c>
      <c r="P685" s="77"/>
      <c r="Q685" s="31"/>
      <c r="R685" s="63"/>
    </row>
    <row r="686" spans="1:18" ht="39.75" hidden="1" customHeight="1" x14ac:dyDescent="0.25">
      <c r="A686" s="78">
        <f>IF(B686="","",COUNTA($B$7:B685))</f>
        <v>679</v>
      </c>
      <c r="B686" s="85">
        <v>46186</v>
      </c>
      <c r="C686" s="77" t="s">
        <v>611</v>
      </c>
      <c r="D686" s="77" t="s">
        <v>1313</v>
      </c>
      <c r="E686" s="77" t="s">
        <v>69</v>
      </c>
      <c r="F686" s="77" t="s">
        <v>118</v>
      </c>
      <c r="G686" s="77" t="s">
        <v>69</v>
      </c>
      <c r="H686" s="131" t="s">
        <v>118</v>
      </c>
      <c r="I686" s="86" t="str">
        <f t="shared" si="20"/>
        <v>LENC</v>
      </c>
      <c r="J686" s="86" t="str">
        <f t="shared" si="21"/>
        <v>26</v>
      </c>
      <c r="K686" s="77" t="s">
        <v>69</v>
      </c>
      <c r="L686" s="77">
        <v>1</v>
      </c>
      <c r="M686" s="77" t="s">
        <v>69</v>
      </c>
      <c r="N686" s="88" t="s">
        <v>203</v>
      </c>
      <c r="O686" s="77" t="s">
        <v>121</v>
      </c>
      <c r="P686" s="77"/>
      <c r="Q686" s="31"/>
      <c r="R686" s="63"/>
    </row>
    <row r="687" spans="1:18" ht="39.75" hidden="1" customHeight="1" x14ac:dyDescent="0.25">
      <c r="A687" s="78">
        <f>IF(B687="","",COUNTA($B$7:B686))</f>
        <v>680</v>
      </c>
      <c r="B687" s="85">
        <v>46192</v>
      </c>
      <c r="C687" s="77" t="s">
        <v>1509</v>
      </c>
      <c r="D687" s="77" t="s">
        <v>1510</v>
      </c>
      <c r="E687" s="77" t="s">
        <v>1511</v>
      </c>
      <c r="F687" s="77" t="s">
        <v>118</v>
      </c>
      <c r="G687" s="77" t="s">
        <v>1512</v>
      </c>
      <c r="H687" s="131" t="s">
        <v>118</v>
      </c>
      <c r="I687" s="86" t="str">
        <f t="shared" si="20"/>
        <v>LENC</v>
      </c>
      <c r="J687" s="86" t="str">
        <f t="shared" si="21"/>
        <v>26</v>
      </c>
      <c r="K687" s="77" t="s">
        <v>1513</v>
      </c>
      <c r="L687" s="77">
        <v>1</v>
      </c>
      <c r="M687" s="77" t="s">
        <v>1514</v>
      </c>
      <c r="N687" s="88" t="s">
        <v>198</v>
      </c>
      <c r="O687" s="77" t="s">
        <v>172</v>
      </c>
      <c r="P687" s="77"/>
      <c r="Q687" s="31"/>
      <c r="R687" s="63"/>
    </row>
    <row r="688" spans="1:18" ht="39.75" hidden="1" customHeight="1" x14ac:dyDescent="0.25">
      <c r="A688" s="78">
        <f>IF(B688="","",COUNTA($B$7:B687))</f>
        <v>681</v>
      </c>
      <c r="B688" s="85">
        <v>46192</v>
      </c>
      <c r="C688" s="77" t="s">
        <v>1515</v>
      </c>
      <c r="D688" s="77" t="s">
        <v>1516</v>
      </c>
      <c r="E688" s="77" t="s">
        <v>1515</v>
      </c>
      <c r="F688" s="77" t="s">
        <v>118</v>
      </c>
      <c r="G688" s="77">
        <v>102877</v>
      </c>
      <c r="H688" s="131" t="s">
        <v>118</v>
      </c>
      <c r="I688" s="86" t="str">
        <f t="shared" si="20"/>
        <v>LENC</v>
      </c>
      <c r="J688" s="86" t="str">
        <f t="shared" si="21"/>
        <v>26</v>
      </c>
      <c r="K688" s="77" t="s">
        <v>1517</v>
      </c>
      <c r="L688" s="77">
        <v>1</v>
      </c>
      <c r="M688" s="77" t="s">
        <v>1518</v>
      </c>
      <c r="N688" s="88" t="s">
        <v>198</v>
      </c>
      <c r="O688" s="77" t="s">
        <v>172</v>
      </c>
      <c r="P688" s="77"/>
      <c r="Q688" s="31"/>
      <c r="R688" s="63"/>
    </row>
    <row r="689" spans="1:18" ht="39.75" hidden="1" customHeight="1" x14ac:dyDescent="0.25">
      <c r="A689" s="78">
        <f>IF(B689="","",COUNTA($B$7:B688))</f>
        <v>682</v>
      </c>
      <c r="B689" s="85">
        <v>46192</v>
      </c>
      <c r="C689" s="77" t="s">
        <v>1515</v>
      </c>
      <c r="D689" s="77" t="s">
        <v>1516</v>
      </c>
      <c r="E689" s="77" t="s">
        <v>1515</v>
      </c>
      <c r="F689" s="77" t="s">
        <v>118</v>
      </c>
      <c r="G689" s="77">
        <v>102877</v>
      </c>
      <c r="H689" s="131" t="s">
        <v>118</v>
      </c>
      <c r="I689" s="86" t="str">
        <f t="shared" si="20"/>
        <v>LENC</v>
      </c>
      <c r="J689" s="86" t="str">
        <f t="shared" si="21"/>
        <v>26</v>
      </c>
      <c r="K689" s="77" t="s">
        <v>1517</v>
      </c>
      <c r="L689" s="77">
        <v>1</v>
      </c>
      <c r="M689" s="77" t="s">
        <v>1518</v>
      </c>
      <c r="N689" s="88" t="s">
        <v>198</v>
      </c>
      <c r="O689" s="77" t="s">
        <v>172</v>
      </c>
      <c r="P689" s="77"/>
      <c r="Q689" s="31"/>
      <c r="R689" s="63"/>
    </row>
    <row r="690" spans="1:18" ht="39.75" hidden="1" customHeight="1" x14ac:dyDescent="0.25">
      <c r="A690" s="78">
        <f>IF(B690="","",COUNTA($B$7:B689))</f>
        <v>683</v>
      </c>
      <c r="B690" s="85">
        <v>46192</v>
      </c>
      <c r="C690" s="77" t="s">
        <v>1515</v>
      </c>
      <c r="D690" s="77" t="s">
        <v>1516</v>
      </c>
      <c r="E690" s="77" t="s">
        <v>1515</v>
      </c>
      <c r="F690" s="77" t="s">
        <v>118</v>
      </c>
      <c r="G690" s="77">
        <v>102877</v>
      </c>
      <c r="H690" s="131" t="s">
        <v>118</v>
      </c>
      <c r="I690" s="86" t="str">
        <f t="shared" si="20"/>
        <v>LENC</v>
      </c>
      <c r="J690" s="86" t="str">
        <f t="shared" si="21"/>
        <v>26</v>
      </c>
      <c r="K690" s="77" t="s">
        <v>1517</v>
      </c>
      <c r="L690" s="77">
        <v>1</v>
      </c>
      <c r="M690" s="77" t="s">
        <v>1518</v>
      </c>
      <c r="N690" s="88" t="s">
        <v>198</v>
      </c>
      <c r="O690" s="77" t="s">
        <v>172</v>
      </c>
      <c r="P690" s="77"/>
      <c r="Q690" s="31"/>
      <c r="R690" s="63"/>
    </row>
    <row r="691" spans="1:18" ht="39.75" hidden="1" customHeight="1" x14ac:dyDescent="0.25">
      <c r="A691" s="78">
        <f>IF(B691="","",COUNTA($B$7:B690))</f>
        <v>684</v>
      </c>
      <c r="B691" s="85">
        <v>46197</v>
      </c>
      <c r="C691" s="77" t="s">
        <v>208</v>
      </c>
      <c r="D691" s="77" t="s">
        <v>1519</v>
      </c>
      <c r="E691" s="77" t="s">
        <v>1520</v>
      </c>
      <c r="F691" s="77" t="s">
        <v>69</v>
      </c>
      <c r="G691" s="110" t="s">
        <v>1521</v>
      </c>
      <c r="H691" s="131" t="s">
        <v>118</v>
      </c>
      <c r="I691" s="86" t="str">
        <f t="shared" si="20"/>
        <v>LENC</v>
      </c>
      <c r="J691" s="86" t="str">
        <f t="shared" si="21"/>
        <v>26</v>
      </c>
      <c r="K691" s="77" t="s">
        <v>1726</v>
      </c>
      <c r="L691" s="77">
        <v>1</v>
      </c>
      <c r="M691" s="77" t="s">
        <v>1725</v>
      </c>
      <c r="N691" s="88" t="s">
        <v>198</v>
      </c>
      <c r="O691" s="77" t="s">
        <v>172</v>
      </c>
      <c r="P691" s="77"/>
      <c r="Q691" s="31"/>
      <c r="R691" s="63"/>
    </row>
    <row r="692" spans="1:18" ht="39.75" hidden="1" customHeight="1" x14ac:dyDescent="0.25">
      <c r="A692" s="78">
        <f>IF(B692="","",COUNTA($B$7:B691))</f>
        <v>685</v>
      </c>
      <c r="B692" s="85">
        <v>46197</v>
      </c>
      <c r="C692" s="77" t="s">
        <v>208</v>
      </c>
      <c r="D692" s="77" t="s">
        <v>1522</v>
      </c>
      <c r="E692" s="77" t="s">
        <v>1520</v>
      </c>
      <c r="F692" s="77" t="s">
        <v>1724</v>
      </c>
      <c r="G692" s="110" t="s">
        <v>1523</v>
      </c>
      <c r="H692" s="131" t="s">
        <v>118</v>
      </c>
      <c r="I692" s="86" t="str">
        <f t="shared" si="20"/>
        <v>LENC</v>
      </c>
      <c r="J692" s="86" t="str">
        <f t="shared" si="21"/>
        <v>26</v>
      </c>
      <c r="K692" s="77" t="s">
        <v>1726</v>
      </c>
      <c r="L692" s="77">
        <v>1</v>
      </c>
      <c r="M692" s="77" t="s">
        <v>1725</v>
      </c>
      <c r="N692" s="88" t="s">
        <v>198</v>
      </c>
      <c r="O692" s="77" t="s">
        <v>172</v>
      </c>
      <c r="P692" s="77"/>
      <c r="Q692" s="31"/>
      <c r="R692" s="63"/>
    </row>
    <row r="693" spans="1:18" ht="39.75" hidden="1" customHeight="1" x14ac:dyDescent="0.25">
      <c r="A693" s="78">
        <f>IF(B693="","",COUNTA($B$7:B692))</f>
        <v>686</v>
      </c>
      <c r="B693" s="85">
        <v>46197</v>
      </c>
      <c r="C693" s="77" t="s">
        <v>208</v>
      </c>
      <c r="D693" s="77" t="s">
        <v>1519</v>
      </c>
      <c r="E693" s="77" t="s">
        <v>1520</v>
      </c>
      <c r="F693" s="77" t="s">
        <v>69</v>
      </c>
      <c r="G693" s="110" t="s">
        <v>1524</v>
      </c>
      <c r="H693" s="131" t="s">
        <v>118</v>
      </c>
      <c r="I693" s="86" t="str">
        <f t="shared" si="20"/>
        <v>LENC</v>
      </c>
      <c r="J693" s="86" t="str">
        <f t="shared" si="21"/>
        <v>26</v>
      </c>
      <c r="K693" s="77" t="s">
        <v>1726</v>
      </c>
      <c r="L693" s="77">
        <v>1</v>
      </c>
      <c r="M693" s="77" t="s">
        <v>1725</v>
      </c>
      <c r="N693" s="88" t="s">
        <v>198</v>
      </c>
      <c r="O693" s="77" t="s">
        <v>172</v>
      </c>
      <c r="P693" s="77"/>
      <c r="Q693" s="31"/>
      <c r="R693" s="63"/>
    </row>
    <row r="694" spans="1:18" ht="39.75" hidden="1" customHeight="1" x14ac:dyDescent="0.25">
      <c r="A694" s="78">
        <f>IF(B694="","",COUNTA($B$7:B693))</f>
        <v>687</v>
      </c>
      <c r="B694" s="85">
        <v>46197</v>
      </c>
      <c r="C694" s="77" t="s">
        <v>208</v>
      </c>
      <c r="D694" s="77" t="s">
        <v>188</v>
      </c>
      <c r="E694" s="77" t="s">
        <v>1520</v>
      </c>
      <c r="F694" s="77" t="s">
        <v>118</v>
      </c>
      <c r="G694" s="110" t="s">
        <v>1525</v>
      </c>
      <c r="H694" s="131" t="s">
        <v>118</v>
      </c>
      <c r="I694" s="86" t="str">
        <f t="shared" si="20"/>
        <v>LENC</v>
      </c>
      <c r="J694" s="86" t="str">
        <f t="shared" si="21"/>
        <v>26</v>
      </c>
      <c r="K694" s="77" t="s">
        <v>69</v>
      </c>
      <c r="L694" s="77">
        <v>1</v>
      </c>
      <c r="M694" s="77" t="s">
        <v>69</v>
      </c>
      <c r="N694" s="88" t="s">
        <v>137</v>
      </c>
      <c r="O694" s="77" t="s">
        <v>121</v>
      </c>
      <c r="P694" s="77"/>
      <c r="Q694" s="31"/>
      <c r="R694" s="63"/>
    </row>
    <row r="695" spans="1:18" ht="39.75" hidden="1" customHeight="1" x14ac:dyDescent="0.25">
      <c r="A695" s="78">
        <f>IF(B695="","",COUNTA($B$7:B694))</f>
        <v>688</v>
      </c>
      <c r="B695" s="85">
        <v>46196</v>
      </c>
      <c r="C695" s="77" t="s">
        <v>532</v>
      </c>
      <c r="D695" s="77" t="s">
        <v>1526</v>
      </c>
      <c r="E695" s="77" t="s">
        <v>1037</v>
      </c>
      <c r="F695" s="77" t="s">
        <v>118</v>
      </c>
      <c r="G695" s="77">
        <v>6525</v>
      </c>
      <c r="H695" s="131" t="s">
        <v>118</v>
      </c>
      <c r="I695" s="86" t="str">
        <f t="shared" si="20"/>
        <v>LENC</v>
      </c>
      <c r="J695" s="86" t="str">
        <f t="shared" si="21"/>
        <v>26</v>
      </c>
      <c r="K695" s="77" t="s">
        <v>1527</v>
      </c>
      <c r="L695" s="77">
        <v>1</v>
      </c>
      <c r="M695" s="77" t="s">
        <v>1528</v>
      </c>
      <c r="N695" s="88" t="s">
        <v>137</v>
      </c>
      <c r="O695" s="77" t="s">
        <v>121</v>
      </c>
      <c r="P695" s="77"/>
      <c r="Q695" s="31"/>
      <c r="R695" s="63"/>
    </row>
    <row r="696" spans="1:18" ht="39.75" hidden="1" customHeight="1" x14ac:dyDescent="0.25">
      <c r="A696" s="78">
        <f>IF(B696="","",COUNTA($B$7:B695))</f>
        <v>689</v>
      </c>
      <c r="B696" s="85">
        <v>46196</v>
      </c>
      <c r="C696" s="77" t="s">
        <v>532</v>
      </c>
      <c r="D696" s="77" t="s">
        <v>1529</v>
      </c>
      <c r="E696" s="77" t="s">
        <v>1318</v>
      </c>
      <c r="F696" s="77" t="s">
        <v>118</v>
      </c>
      <c r="G696" s="77" t="s">
        <v>69</v>
      </c>
      <c r="H696" s="131" t="s">
        <v>118</v>
      </c>
      <c r="I696" s="86" t="str">
        <f t="shared" si="20"/>
        <v>LENC</v>
      </c>
      <c r="J696" s="86" t="str">
        <f t="shared" si="21"/>
        <v>26</v>
      </c>
      <c r="K696" s="77" t="s">
        <v>1527</v>
      </c>
      <c r="L696" s="77">
        <v>1</v>
      </c>
      <c r="M696" s="77" t="s">
        <v>1528</v>
      </c>
      <c r="N696" s="88" t="s">
        <v>137</v>
      </c>
      <c r="O696" s="77" t="s">
        <v>121</v>
      </c>
      <c r="P696" s="77"/>
      <c r="Q696" s="31"/>
      <c r="R696" s="63"/>
    </row>
    <row r="697" spans="1:18" ht="39.75" hidden="1" customHeight="1" x14ac:dyDescent="0.25">
      <c r="A697" s="78">
        <f>IF(B697="","",COUNTA($B$7:B696))</f>
        <v>690</v>
      </c>
      <c r="B697" s="85">
        <v>46197</v>
      </c>
      <c r="C697" s="77" t="s">
        <v>138</v>
      </c>
      <c r="D697" s="77" t="s">
        <v>1530</v>
      </c>
      <c r="E697" s="77" t="s">
        <v>1531</v>
      </c>
      <c r="F697" s="77" t="s">
        <v>118</v>
      </c>
      <c r="G697" s="77" t="s">
        <v>1532</v>
      </c>
      <c r="H697" s="131" t="s">
        <v>118</v>
      </c>
      <c r="I697" s="86" t="str">
        <f t="shared" si="20"/>
        <v>LENC</v>
      </c>
      <c r="J697" s="86" t="str">
        <f t="shared" si="21"/>
        <v>26</v>
      </c>
      <c r="K697" s="77" t="s">
        <v>1533</v>
      </c>
      <c r="L697" s="77">
        <v>1</v>
      </c>
      <c r="M697" s="77" t="s">
        <v>1534</v>
      </c>
      <c r="N697" s="88" t="s">
        <v>711</v>
      </c>
      <c r="O697" s="77" t="s">
        <v>172</v>
      </c>
      <c r="P697" s="77"/>
      <c r="Q697" s="31"/>
      <c r="R697" s="63"/>
    </row>
    <row r="698" spans="1:18" ht="39.75" hidden="1" customHeight="1" x14ac:dyDescent="0.25">
      <c r="A698" s="78">
        <f>IF(B698="","",COUNTA($B$7:B697))</f>
        <v>691</v>
      </c>
      <c r="B698" s="85">
        <v>46197</v>
      </c>
      <c r="C698" s="77" t="s">
        <v>305</v>
      </c>
      <c r="D698" s="77" t="s">
        <v>1139</v>
      </c>
      <c r="E698" s="77" t="s">
        <v>1535</v>
      </c>
      <c r="F698" s="77" t="s">
        <v>118</v>
      </c>
      <c r="G698" s="77" t="s">
        <v>1536</v>
      </c>
      <c r="H698" s="131" t="s">
        <v>118</v>
      </c>
      <c r="I698" s="86" t="str">
        <f t="shared" si="20"/>
        <v>LENC</v>
      </c>
      <c r="J698" s="86" t="str">
        <f t="shared" si="21"/>
        <v>26</v>
      </c>
      <c r="K698" s="77" t="s">
        <v>1537</v>
      </c>
      <c r="L698" s="77">
        <v>1</v>
      </c>
      <c r="M698" s="77" t="s">
        <v>1538</v>
      </c>
      <c r="N698" s="88" t="s">
        <v>137</v>
      </c>
      <c r="O698" s="77" t="s">
        <v>121</v>
      </c>
      <c r="P698" s="77"/>
      <c r="Q698" s="31"/>
      <c r="R698" s="63"/>
    </row>
    <row r="699" spans="1:18" ht="39.75" hidden="1" customHeight="1" x14ac:dyDescent="0.25">
      <c r="A699" s="78">
        <f>IF(B699="","",COUNTA($B$7:B698))</f>
        <v>692</v>
      </c>
      <c r="B699" s="85">
        <v>46197</v>
      </c>
      <c r="C699" s="77" t="s">
        <v>305</v>
      </c>
      <c r="D699" s="77" t="s">
        <v>1539</v>
      </c>
      <c r="E699" s="77" t="s">
        <v>1540</v>
      </c>
      <c r="F699" s="77" t="s">
        <v>118</v>
      </c>
      <c r="G699" s="77" t="s">
        <v>1541</v>
      </c>
      <c r="H699" s="131" t="s">
        <v>118</v>
      </c>
      <c r="I699" s="86" t="str">
        <f t="shared" si="20"/>
        <v>LENC</v>
      </c>
      <c r="J699" s="86" t="str">
        <f t="shared" si="21"/>
        <v>26</v>
      </c>
      <c r="K699" s="77" t="s">
        <v>1542</v>
      </c>
      <c r="L699" s="77">
        <v>1</v>
      </c>
      <c r="M699" s="77" t="s">
        <v>1543</v>
      </c>
      <c r="N699" s="88" t="s">
        <v>137</v>
      </c>
      <c r="O699" s="77" t="s">
        <v>121</v>
      </c>
      <c r="P699" s="77"/>
      <c r="Q699" s="31"/>
      <c r="R699" s="63"/>
    </row>
    <row r="700" spans="1:18" ht="39.75" hidden="1" customHeight="1" x14ac:dyDescent="0.25">
      <c r="A700" s="78">
        <f>IF(B700="","",COUNTA($B$7:B699))</f>
        <v>693</v>
      </c>
      <c r="B700" s="85">
        <v>46197</v>
      </c>
      <c r="C700" s="77" t="s">
        <v>305</v>
      </c>
      <c r="D700" s="77" t="s">
        <v>1544</v>
      </c>
      <c r="E700" s="77" t="s">
        <v>1540</v>
      </c>
      <c r="F700" s="77" t="s">
        <v>118</v>
      </c>
      <c r="G700" s="77" t="s">
        <v>1545</v>
      </c>
      <c r="H700" s="131" t="s">
        <v>118</v>
      </c>
      <c r="I700" s="86" t="str">
        <f t="shared" si="20"/>
        <v>LENC</v>
      </c>
      <c r="J700" s="86" t="str">
        <f t="shared" si="21"/>
        <v>26</v>
      </c>
      <c r="K700" s="77" t="s">
        <v>1542</v>
      </c>
      <c r="L700" s="77">
        <v>1</v>
      </c>
      <c r="M700" s="77" t="s">
        <v>1543</v>
      </c>
      <c r="N700" s="88" t="s">
        <v>137</v>
      </c>
      <c r="O700" s="77" t="s">
        <v>121</v>
      </c>
      <c r="P700" s="77"/>
      <c r="Q700" s="31"/>
      <c r="R700" s="63"/>
    </row>
    <row r="701" spans="1:18" ht="39.75" hidden="1" customHeight="1" x14ac:dyDescent="0.25">
      <c r="A701" s="78">
        <f>IF(B701="","",COUNTA($B$7:B700))</f>
        <v>694</v>
      </c>
      <c r="B701" s="85">
        <v>46197</v>
      </c>
      <c r="C701" s="77" t="s">
        <v>305</v>
      </c>
      <c r="D701" s="77" t="s">
        <v>1544</v>
      </c>
      <c r="E701" s="77" t="s">
        <v>1540</v>
      </c>
      <c r="F701" s="77" t="s">
        <v>118</v>
      </c>
      <c r="G701" s="77" t="s">
        <v>1545</v>
      </c>
      <c r="H701" s="131" t="s">
        <v>118</v>
      </c>
      <c r="I701" s="86" t="str">
        <f t="shared" si="20"/>
        <v>LENC</v>
      </c>
      <c r="J701" s="86" t="str">
        <f t="shared" si="21"/>
        <v>26</v>
      </c>
      <c r="K701" s="77" t="s">
        <v>1542</v>
      </c>
      <c r="L701" s="77">
        <v>1</v>
      </c>
      <c r="M701" s="77" t="s">
        <v>1543</v>
      </c>
      <c r="N701" s="88" t="s">
        <v>137</v>
      </c>
      <c r="O701" s="77" t="s">
        <v>121</v>
      </c>
      <c r="P701" s="77"/>
      <c r="Q701" s="31"/>
      <c r="R701" s="63"/>
    </row>
    <row r="702" spans="1:18" ht="39.75" hidden="1" customHeight="1" x14ac:dyDescent="0.25">
      <c r="A702" s="78">
        <f>IF(B702="","",COUNTA($B$7:B701))</f>
        <v>695</v>
      </c>
      <c r="B702" s="85">
        <v>46198</v>
      </c>
      <c r="C702" s="77" t="s">
        <v>611</v>
      </c>
      <c r="D702" s="77" t="s">
        <v>1313</v>
      </c>
      <c r="E702" s="77" t="s">
        <v>69</v>
      </c>
      <c r="F702" s="77" t="s">
        <v>118</v>
      </c>
      <c r="G702" s="77" t="s">
        <v>69</v>
      </c>
      <c r="H702" s="131" t="s">
        <v>118</v>
      </c>
      <c r="I702" s="86" t="str">
        <f t="shared" si="20"/>
        <v>LENC</v>
      </c>
      <c r="J702" s="86" t="str">
        <f t="shared" si="21"/>
        <v>26</v>
      </c>
      <c r="K702" s="77" t="s">
        <v>69</v>
      </c>
      <c r="L702" s="77">
        <v>1</v>
      </c>
      <c r="M702" s="77" t="s">
        <v>69</v>
      </c>
      <c r="N702" s="88" t="s">
        <v>137</v>
      </c>
      <c r="O702" s="77" t="s">
        <v>121</v>
      </c>
      <c r="P702" s="77"/>
      <c r="Q702" s="31"/>
      <c r="R702" s="63"/>
    </row>
    <row r="703" spans="1:18" ht="39.75" hidden="1" customHeight="1" x14ac:dyDescent="0.25">
      <c r="A703" s="78">
        <f>IF(B703="","",COUNTA($B$7:B702))</f>
        <v>696</v>
      </c>
      <c r="B703" s="85">
        <v>46197</v>
      </c>
      <c r="C703" s="77" t="s">
        <v>122</v>
      </c>
      <c r="D703" s="77" t="s">
        <v>211</v>
      </c>
      <c r="E703" s="77" t="s">
        <v>1546</v>
      </c>
      <c r="F703" s="77" t="s">
        <v>1547</v>
      </c>
      <c r="G703" s="77">
        <v>20819</v>
      </c>
      <c r="H703" s="131" t="str">
        <f>IF(B703="","",TEXT(DATE(YEAR(B703),MONTH(B703),DAY(B703)),"yyyy-mm-dd")&amp;"-"&amp;TEXT(COUNTIF($B$8:B703,B703),"00"))</f>
        <v>2026-06-24-10</v>
      </c>
      <c r="I703" s="86" t="str">
        <f t="shared" si="20"/>
        <v>LENC</v>
      </c>
      <c r="J703" s="86" t="str">
        <f t="shared" si="21"/>
        <v>26</v>
      </c>
      <c r="K703" s="77" t="s">
        <v>1548</v>
      </c>
      <c r="L703" s="77">
        <v>1</v>
      </c>
      <c r="M703" s="77" t="s">
        <v>1549</v>
      </c>
      <c r="N703" s="88" t="s">
        <v>166</v>
      </c>
      <c r="O703" s="77" t="s">
        <v>121</v>
      </c>
      <c r="P703" s="77"/>
      <c r="Q703" s="31"/>
      <c r="R703" s="63"/>
    </row>
    <row r="704" spans="1:18" ht="39.75" hidden="1" customHeight="1" x14ac:dyDescent="0.25">
      <c r="A704" s="78">
        <f>IF(B704="","",COUNTA($B$7:B703))</f>
        <v>697</v>
      </c>
      <c r="B704" s="85">
        <v>46197</v>
      </c>
      <c r="C704" s="77" t="s">
        <v>122</v>
      </c>
      <c r="D704" s="77" t="s">
        <v>211</v>
      </c>
      <c r="E704" s="77" t="s">
        <v>1546</v>
      </c>
      <c r="F704" s="77" t="s">
        <v>1547</v>
      </c>
      <c r="G704" s="77">
        <v>20820</v>
      </c>
      <c r="H704" s="131" t="str">
        <f>IF(B704="","",TEXT(DATE(YEAR(B704),MONTH(B704),DAY(B704)),"yyyy-mm-dd")&amp;"-"&amp;TEXT(COUNTIF($B$8:B704,B704),"00"))</f>
        <v>2026-06-24-11</v>
      </c>
      <c r="I704" s="86" t="str">
        <f t="shared" si="20"/>
        <v>LENC</v>
      </c>
      <c r="J704" s="86" t="str">
        <f t="shared" si="21"/>
        <v>26</v>
      </c>
      <c r="K704" s="77" t="s">
        <v>1548</v>
      </c>
      <c r="L704" s="77">
        <v>1</v>
      </c>
      <c r="M704" s="77" t="s">
        <v>1549</v>
      </c>
      <c r="N704" s="88" t="s">
        <v>166</v>
      </c>
      <c r="O704" s="77" t="s">
        <v>121</v>
      </c>
      <c r="P704" s="77"/>
      <c r="Q704" s="31"/>
      <c r="R704" s="63"/>
    </row>
    <row r="705" spans="1:18" ht="39.75" hidden="1" customHeight="1" x14ac:dyDescent="0.25">
      <c r="A705" s="78">
        <f>IF(B705="","",COUNTA($B$7:B704))</f>
        <v>698</v>
      </c>
      <c r="B705" s="85">
        <v>46197</v>
      </c>
      <c r="C705" s="77" t="s">
        <v>122</v>
      </c>
      <c r="D705" s="77" t="s">
        <v>211</v>
      </c>
      <c r="E705" s="77" t="s">
        <v>1546</v>
      </c>
      <c r="F705" s="77" t="s">
        <v>1547</v>
      </c>
      <c r="G705" s="77">
        <v>20821</v>
      </c>
      <c r="H705" s="131" t="str">
        <f>IF(B705="","",TEXT(DATE(YEAR(B705),MONTH(B705),DAY(B705)),"yyyy-mm-dd")&amp;"-"&amp;TEXT(COUNTIF($B$8:B705,B705),"00"))</f>
        <v>2026-06-24-12</v>
      </c>
      <c r="I705" s="86" t="str">
        <f t="shared" si="20"/>
        <v>LENC</v>
      </c>
      <c r="J705" s="86" t="str">
        <f t="shared" si="21"/>
        <v>26</v>
      </c>
      <c r="K705" s="77" t="s">
        <v>1548</v>
      </c>
      <c r="L705" s="77">
        <v>1</v>
      </c>
      <c r="M705" s="77" t="s">
        <v>1549</v>
      </c>
      <c r="N705" s="88" t="s">
        <v>166</v>
      </c>
      <c r="O705" s="77" t="s">
        <v>121</v>
      </c>
      <c r="P705" s="77"/>
      <c r="Q705" s="31"/>
      <c r="R705" s="63"/>
    </row>
    <row r="706" spans="1:18" ht="39.75" hidden="1" customHeight="1" x14ac:dyDescent="0.25">
      <c r="A706" s="78">
        <f>IF(B706="","",COUNTA($B$7:B705))</f>
        <v>699</v>
      </c>
      <c r="B706" s="85">
        <v>46197</v>
      </c>
      <c r="C706" s="77" t="s">
        <v>122</v>
      </c>
      <c r="D706" s="77" t="s">
        <v>211</v>
      </c>
      <c r="E706" s="77" t="s">
        <v>1546</v>
      </c>
      <c r="F706" s="77" t="s">
        <v>1547</v>
      </c>
      <c r="G706" s="77">
        <v>20822</v>
      </c>
      <c r="H706" s="131" t="str">
        <f>IF(B706="","",TEXT(DATE(YEAR(B706),MONTH(B706),DAY(B706)),"yyyy-mm-dd")&amp;"-"&amp;TEXT(COUNTIF($B$8:B706,B706),"00"))</f>
        <v>2026-06-24-13</v>
      </c>
      <c r="I706" s="86" t="str">
        <f t="shared" si="20"/>
        <v>LENC</v>
      </c>
      <c r="J706" s="86" t="str">
        <f t="shared" si="21"/>
        <v>26</v>
      </c>
      <c r="K706" s="77" t="s">
        <v>1548</v>
      </c>
      <c r="L706" s="77">
        <v>1</v>
      </c>
      <c r="M706" s="77" t="s">
        <v>1549</v>
      </c>
      <c r="N706" s="88" t="s">
        <v>166</v>
      </c>
      <c r="O706" s="77" t="s">
        <v>121</v>
      </c>
      <c r="P706" s="77"/>
      <c r="Q706" s="31"/>
      <c r="R706" s="63"/>
    </row>
    <row r="707" spans="1:18" ht="39.75" hidden="1" customHeight="1" x14ac:dyDescent="0.25">
      <c r="A707" s="78">
        <f>IF(B707="","",COUNTA($B$7:B706))</f>
        <v>700</v>
      </c>
      <c r="B707" s="85">
        <v>46197</v>
      </c>
      <c r="C707" s="77" t="s">
        <v>122</v>
      </c>
      <c r="D707" s="77" t="s">
        <v>1550</v>
      </c>
      <c r="E707" s="77" t="s">
        <v>1551</v>
      </c>
      <c r="F707" s="77" t="s">
        <v>1552</v>
      </c>
      <c r="G707" s="77">
        <v>20825</v>
      </c>
      <c r="H707" s="131" t="str">
        <f>IF(B707="","",TEXT(DATE(YEAR(B707),MONTH(B707),DAY(B707)),"yyyy-mm-dd")&amp;"-"&amp;TEXT(COUNTIF($B$8:B707,B707),"00"))</f>
        <v>2026-06-24-14</v>
      </c>
      <c r="I707" s="86" t="str">
        <f t="shared" si="20"/>
        <v>LENC</v>
      </c>
      <c r="J707" s="86" t="str">
        <f t="shared" si="21"/>
        <v>26</v>
      </c>
      <c r="K707" s="77" t="s">
        <v>1553</v>
      </c>
      <c r="L707" s="77">
        <v>1</v>
      </c>
      <c r="M707" s="77" t="s">
        <v>1554</v>
      </c>
      <c r="N707" s="88" t="s">
        <v>432</v>
      </c>
      <c r="O707" s="77" t="s">
        <v>172</v>
      </c>
      <c r="P707" s="77"/>
      <c r="Q707" s="31"/>
      <c r="R707" s="63"/>
    </row>
    <row r="708" spans="1:18" ht="39.75" hidden="1" customHeight="1" x14ac:dyDescent="0.25">
      <c r="A708" s="78">
        <f>IF(B708="","",COUNTA($B$7:B707))</f>
        <v>701</v>
      </c>
      <c r="B708" s="85">
        <v>46197</v>
      </c>
      <c r="C708" s="77" t="s">
        <v>122</v>
      </c>
      <c r="D708" s="77" t="s">
        <v>1276</v>
      </c>
      <c r="E708" s="77" t="s">
        <v>1555</v>
      </c>
      <c r="F708" s="77" t="s">
        <v>1556</v>
      </c>
      <c r="G708" s="282">
        <v>20807</v>
      </c>
      <c r="H708" s="131" t="str">
        <f>IF(B708="","",TEXT(DATE(YEAR(B708),MONTH(B708),DAY(B708)),"yyyy-mm-dd")&amp;"-"&amp;TEXT(COUNTIF($B$8:B708,B708),"00"))</f>
        <v>2026-06-24-15</v>
      </c>
      <c r="I708" s="86" t="str">
        <f t="shared" si="20"/>
        <v>LENC</v>
      </c>
      <c r="J708" s="86" t="str">
        <f t="shared" si="21"/>
        <v>26</v>
      </c>
      <c r="K708" s="77" t="s">
        <v>1728</v>
      </c>
      <c r="L708" s="77">
        <v>1</v>
      </c>
      <c r="M708" s="77" t="s">
        <v>1727</v>
      </c>
      <c r="N708" s="88" t="s">
        <v>711</v>
      </c>
      <c r="O708" s="77" t="s">
        <v>172</v>
      </c>
      <c r="P708" s="77"/>
      <c r="Q708" s="31"/>
      <c r="R708" s="63"/>
    </row>
    <row r="709" spans="1:18" ht="39.75" hidden="1" customHeight="1" x14ac:dyDescent="0.25">
      <c r="A709" s="78">
        <f>IF(B709="","",COUNTA($B$7:B708))</f>
        <v>702</v>
      </c>
      <c r="B709" s="85">
        <v>46197</v>
      </c>
      <c r="C709" s="77" t="s">
        <v>122</v>
      </c>
      <c r="D709" s="77" t="s">
        <v>1276</v>
      </c>
      <c r="E709" s="77" t="s">
        <v>1555</v>
      </c>
      <c r="F709" s="77" t="s">
        <v>1556</v>
      </c>
      <c r="G709" s="282">
        <v>20808</v>
      </c>
      <c r="H709" s="131" t="str">
        <f>IF(B709="","",TEXT(DATE(YEAR(B709),MONTH(B709),DAY(B709)),"yyyy-mm-dd")&amp;"-"&amp;TEXT(COUNTIF($B$8:B709,B709),"00"))</f>
        <v>2026-06-24-16</v>
      </c>
      <c r="I709" s="86" t="str">
        <f t="shared" si="20"/>
        <v>LENC</v>
      </c>
      <c r="J709" s="86" t="str">
        <f t="shared" si="21"/>
        <v>26</v>
      </c>
      <c r="K709" s="77" t="s">
        <v>1728</v>
      </c>
      <c r="L709" s="77">
        <v>1</v>
      </c>
      <c r="M709" s="77" t="s">
        <v>1727</v>
      </c>
      <c r="N709" s="88" t="s">
        <v>711</v>
      </c>
      <c r="O709" s="77" t="s">
        <v>172</v>
      </c>
      <c r="P709" s="77"/>
      <c r="Q709" s="31"/>
      <c r="R709" s="63"/>
    </row>
    <row r="710" spans="1:18" ht="39.75" hidden="1" customHeight="1" x14ac:dyDescent="0.25">
      <c r="A710" s="78">
        <f>IF(B710="","",COUNTA($B$7:B709))</f>
        <v>703</v>
      </c>
      <c r="B710" s="85">
        <v>46197</v>
      </c>
      <c r="C710" s="77" t="s">
        <v>122</v>
      </c>
      <c r="D710" s="77" t="s">
        <v>1276</v>
      </c>
      <c r="E710" s="77" t="s">
        <v>1555</v>
      </c>
      <c r="F710" s="77" t="s">
        <v>1556</v>
      </c>
      <c r="G710" s="282">
        <v>20810</v>
      </c>
      <c r="H710" s="131" t="str">
        <f>IF(B710="","",TEXT(DATE(YEAR(B710),MONTH(B710),DAY(B710)),"yyyy-mm-dd")&amp;"-"&amp;TEXT(COUNTIF($B$8:B710,B710),"00"))</f>
        <v>2026-06-24-17</v>
      </c>
      <c r="I710" s="86" t="str">
        <f t="shared" si="20"/>
        <v>LENC</v>
      </c>
      <c r="J710" s="86" t="str">
        <f t="shared" si="21"/>
        <v>26</v>
      </c>
      <c r="K710" s="77" t="s">
        <v>1728</v>
      </c>
      <c r="L710" s="77">
        <v>1</v>
      </c>
      <c r="M710" s="77" t="s">
        <v>1727</v>
      </c>
      <c r="N710" s="88" t="s">
        <v>711</v>
      </c>
      <c r="O710" s="77" t="s">
        <v>172</v>
      </c>
      <c r="P710" s="77"/>
      <c r="Q710" s="31"/>
      <c r="R710" s="63"/>
    </row>
    <row r="711" spans="1:18" ht="39.75" hidden="1" customHeight="1" x14ac:dyDescent="0.25">
      <c r="A711" s="78">
        <f>IF(B711="","",COUNTA($B$7:B710))</f>
        <v>704</v>
      </c>
      <c r="B711" s="85">
        <v>46197</v>
      </c>
      <c r="C711" s="77" t="s">
        <v>122</v>
      </c>
      <c r="D711" s="77" t="s">
        <v>1276</v>
      </c>
      <c r="E711" s="77" t="s">
        <v>1555</v>
      </c>
      <c r="F711" s="77" t="s">
        <v>1556</v>
      </c>
      <c r="G711" s="282">
        <v>20811</v>
      </c>
      <c r="H711" s="131" t="str">
        <f>IF(B711="","",TEXT(DATE(YEAR(B711),MONTH(B711),DAY(B711)),"yyyy-mm-dd")&amp;"-"&amp;TEXT(COUNTIF($B$8:B711,B711),"00"))</f>
        <v>2026-06-24-18</v>
      </c>
      <c r="I711" s="86" t="str">
        <f t="shared" si="20"/>
        <v>LENC</v>
      </c>
      <c r="J711" s="86" t="str">
        <f t="shared" si="21"/>
        <v>26</v>
      </c>
      <c r="K711" s="77" t="s">
        <v>1728</v>
      </c>
      <c r="L711" s="77">
        <v>1</v>
      </c>
      <c r="M711" s="77" t="s">
        <v>1727</v>
      </c>
      <c r="N711" s="88" t="s">
        <v>711</v>
      </c>
      <c r="O711" s="77" t="s">
        <v>172</v>
      </c>
      <c r="P711" s="77"/>
      <c r="Q711" s="31"/>
      <c r="R711" s="63"/>
    </row>
    <row r="712" spans="1:18" ht="39.75" hidden="1" customHeight="1" x14ac:dyDescent="0.25">
      <c r="A712" s="78">
        <f>IF(B712="","",COUNTA($B$7:B711))</f>
        <v>705</v>
      </c>
      <c r="B712" s="85">
        <v>46199</v>
      </c>
      <c r="C712" s="77" t="s">
        <v>122</v>
      </c>
      <c r="D712" s="77" t="s">
        <v>1557</v>
      </c>
      <c r="E712" s="77" t="s">
        <v>1546</v>
      </c>
      <c r="F712" s="77" t="s">
        <v>1558</v>
      </c>
      <c r="G712" s="282">
        <v>20806</v>
      </c>
      <c r="H712" s="131" t="str">
        <f>IF(B712="","",TEXT(DATE(YEAR(B712),MONTH(B712),DAY(B712)),"yyyy-mm-dd")&amp;"-"&amp;TEXT(COUNTIF($B$8:B712,B712),"00"))</f>
        <v>2026-06-26-01</v>
      </c>
      <c r="I712" s="86" t="str">
        <f t="shared" si="20"/>
        <v>LENC</v>
      </c>
      <c r="J712" s="86" t="str">
        <f t="shared" si="21"/>
        <v>26</v>
      </c>
      <c r="K712" s="77" t="s">
        <v>1728</v>
      </c>
      <c r="L712" s="77">
        <v>1</v>
      </c>
      <c r="M712" s="77" t="s">
        <v>1727</v>
      </c>
      <c r="N712" s="88" t="s">
        <v>711</v>
      </c>
      <c r="O712" s="77" t="s">
        <v>172</v>
      </c>
      <c r="P712" s="77"/>
      <c r="Q712" s="31"/>
      <c r="R712" s="63"/>
    </row>
    <row r="713" spans="1:18" ht="39.75" hidden="1" customHeight="1" x14ac:dyDescent="0.25">
      <c r="A713" s="78">
        <f>IF(B713="","",COUNTA($B$7:B712))</f>
        <v>706</v>
      </c>
      <c r="B713" s="85">
        <v>46199</v>
      </c>
      <c r="C713" s="77" t="s">
        <v>122</v>
      </c>
      <c r="D713" s="77" t="s">
        <v>1557</v>
      </c>
      <c r="E713" s="77" t="s">
        <v>1546</v>
      </c>
      <c r="F713" s="77" t="s">
        <v>1558</v>
      </c>
      <c r="G713" s="282">
        <v>20812</v>
      </c>
      <c r="H713" s="131" t="str">
        <f>IF(B713="","",TEXT(DATE(YEAR(B713),MONTH(B713),DAY(B713)),"yyyy-mm-dd")&amp;"-"&amp;TEXT(COUNTIF($B$8:B713,B713),"00"))</f>
        <v>2026-06-26-02</v>
      </c>
      <c r="I713" s="86" t="str">
        <f t="shared" si="20"/>
        <v>LENC</v>
      </c>
      <c r="J713" s="86" t="str">
        <f t="shared" si="21"/>
        <v>26</v>
      </c>
      <c r="K713" s="77" t="s">
        <v>1728</v>
      </c>
      <c r="L713" s="77">
        <v>1</v>
      </c>
      <c r="M713" s="77" t="s">
        <v>1727</v>
      </c>
      <c r="N713" s="88" t="s">
        <v>711</v>
      </c>
      <c r="O713" s="77" t="s">
        <v>172</v>
      </c>
      <c r="P713" s="77"/>
      <c r="Q713" s="31"/>
      <c r="R713" s="63"/>
    </row>
    <row r="714" spans="1:18" ht="39.75" hidden="1" customHeight="1" x14ac:dyDescent="0.25">
      <c r="A714" s="78">
        <f>IF(B714="","",COUNTA($B$7:B713))</f>
        <v>707</v>
      </c>
      <c r="B714" s="85">
        <v>46199</v>
      </c>
      <c r="C714" s="77" t="s">
        <v>122</v>
      </c>
      <c r="D714" s="77" t="s">
        <v>1559</v>
      </c>
      <c r="E714" s="77" t="s">
        <v>1546</v>
      </c>
      <c r="F714" s="77" t="s">
        <v>1560</v>
      </c>
      <c r="G714" s="282">
        <v>20815</v>
      </c>
      <c r="H714" s="131" t="str">
        <f>IF(B714="","",TEXT(DATE(YEAR(B714),MONTH(B714),DAY(B714)),"yyyy-mm-dd")&amp;"-"&amp;TEXT(COUNTIF($B$8:B714,B714),"00"))</f>
        <v>2026-06-26-03</v>
      </c>
      <c r="I714" s="86" t="str">
        <f t="shared" si="20"/>
        <v>LENC</v>
      </c>
      <c r="J714" s="86" t="str">
        <f t="shared" si="21"/>
        <v>26</v>
      </c>
      <c r="K714" s="77" t="s">
        <v>1728</v>
      </c>
      <c r="L714" s="77">
        <v>1</v>
      </c>
      <c r="M714" s="77" t="s">
        <v>1727</v>
      </c>
      <c r="N714" s="88" t="s">
        <v>711</v>
      </c>
      <c r="O714" s="77" t="s">
        <v>172</v>
      </c>
      <c r="P714" s="77"/>
      <c r="Q714" s="31"/>
      <c r="R714" s="63"/>
    </row>
    <row r="715" spans="1:18" ht="39.75" hidden="1" customHeight="1" x14ac:dyDescent="0.25">
      <c r="A715" s="78">
        <f>IF(B715="","",COUNTA($B$7:B714))</f>
        <v>708</v>
      </c>
      <c r="B715" s="85">
        <v>46199</v>
      </c>
      <c r="C715" s="77" t="s">
        <v>122</v>
      </c>
      <c r="D715" s="77" t="s">
        <v>1559</v>
      </c>
      <c r="E715" s="77" t="s">
        <v>1546</v>
      </c>
      <c r="F715" s="77" t="s">
        <v>1560</v>
      </c>
      <c r="G715" s="282">
        <v>20813</v>
      </c>
      <c r="H715" s="131" t="str">
        <f>IF(B715="","",TEXT(DATE(YEAR(B715),MONTH(B715),DAY(B715)),"yyyy-mm-dd")&amp;"-"&amp;TEXT(COUNTIF($B$8:B715,B715),"00"))</f>
        <v>2026-06-26-04</v>
      </c>
      <c r="I715" s="86" t="str">
        <f t="shared" si="20"/>
        <v>LENC</v>
      </c>
      <c r="J715" s="86" t="str">
        <f t="shared" si="21"/>
        <v>26</v>
      </c>
      <c r="K715" s="77" t="s">
        <v>1728</v>
      </c>
      <c r="L715" s="77">
        <v>1</v>
      </c>
      <c r="M715" s="77" t="s">
        <v>1727</v>
      </c>
      <c r="N715" s="88" t="s">
        <v>711</v>
      </c>
      <c r="O715" s="77" t="s">
        <v>172</v>
      </c>
      <c r="P715" s="77"/>
      <c r="Q715" s="31"/>
      <c r="R715" s="63"/>
    </row>
    <row r="716" spans="1:18" ht="39.75" hidden="1" customHeight="1" x14ac:dyDescent="0.25">
      <c r="A716" s="78">
        <f>IF(B716="","",COUNTA($B$7:B701))</f>
        <v>695</v>
      </c>
      <c r="B716" s="85">
        <v>46198</v>
      </c>
      <c r="C716" s="77" t="s">
        <v>122</v>
      </c>
      <c r="D716" s="77" t="s">
        <v>1561</v>
      </c>
      <c r="E716" s="77" t="s">
        <v>1277</v>
      </c>
      <c r="F716" s="77" t="s">
        <v>69</v>
      </c>
      <c r="G716" s="77">
        <v>20831</v>
      </c>
      <c r="H716" s="131" t="str">
        <f>IF(B716="","",TEXT(DATE(YEAR(B716),MONTH(B716),DAY(B716)),"yyyy-mm-dd")&amp;"-"&amp;TEXT(COUNTIF($B$8:B716,B716),"00"))</f>
        <v>2026-06-25-02</v>
      </c>
      <c r="I716" s="86" t="str">
        <f t="shared" si="20"/>
        <v>LENC</v>
      </c>
      <c r="J716" s="86" t="str">
        <f t="shared" si="21"/>
        <v>26</v>
      </c>
      <c r="K716" s="77" t="s">
        <v>69</v>
      </c>
      <c r="L716" s="77">
        <v>1</v>
      </c>
      <c r="M716" s="77" t="s">
        <v>69</v>
      </c>
      <c r="N716" s="88" t="s">
        <v>137</v>
      </c>
      <c r="O716" s="77" t="s">
        <v>121</v>
      </c>
      <c r="P716" s="77"/>
      <c r="Q716" s="31"/>
      <c r="R716" s="63"/>
    </row>
    <row r="717" spans="1:18" ht="39.75" hidden="1" customHeight="1" x14ac:dyDescent="0.25">
      <c r="A717" s="78">
        <f>IF(B717="","",COUNTA($B$7:B716))</f>
        <v>710</v>
      </c>
      <c r="B717" s="85">
        <v>46198</v>
      </c>
      <c r="C717" s="77" t="s">
        <v>122</v>
      </c>
      <c r="D717" s="77" t="s">
        <v>1562</v>
      </c>
      <c r="E717" s="77" t="s">
        <v>1563</v>
      </c>
      <c r="F717" s="77" t="s">
        <v>69</v>
      </c>
      <c r="G717" s="77">
        <v>20824</v>
      </c>
      <c r="H717" s="131" t="str">
        <f>IF(B717="","",TEXT(DATE(YEAR(B717),MONTH(B717),DAY(B717)),"yyyy-mm-dd")&amp;"-"&amp;TEXT(COUNTIF($B$8:B717,B717),"00"))</f>
        <v>2026-06-25-03</v>
      </c>
      <c r="I717" s="86" t="str">
        <f t="shared" si="20"/>
        <v>LENC</v>
      </c>
      <c r="J717" s="86" t="str">
        <f t="shared" si="21"/>
        <v>26</v>
      </c>
      <c r="K717" s="77" t="s">
        <v>69</v>
      </c>
      <c r="L717" s="77">
        <v>1</v>
      </c>
      <c r="M717" s="77" t="s">
        <v>69</v>
      </c>
      <c r="N717" s="88" t="s">
        <v>137</v>
      </c>
      <c r="O717" s="77" t="s">
        <v>121</v>
      </c>
      <c r="P717" s="77"/>
      <c r="Q717" s="31"/>
      <c r="R717" s="63"/>
    </row>
    <row r="718" spans="1:18" ht="39.75" hidden="1" customHeight="1" x14ac:dyDescent="0.25">
      <c r="A718" s="78">
        <f>IF(B718="","",COUNTA($B$7:B717))</f>
        <v>711</v>
      </c>
      <c r="B718" s="85">
        <v>46198</v>
      </c>
      <c r="C718" s="77" t="s">
        <v>122</v>
      </c>
      <c r="D718" s="77" t="s">
        <v>1562</v>
      </c>
      <c r="E718" s="77" t="s">
        <v>1563</v>
      </c>
      <c r="F718" s="77" t="s">
        <v>69</v>
      </c>
      <c r="G718" s="77">
        <v>20826</v>
      </c>
      <c r="H718" s="131" t="str">
        <f>IF(B718="","",TEXT(DATE(YEAR(B718),MONTH(B718),DAY(B718)),"yyyy-mm-dd")&amp;"-"&amp;TEXT(COUNTIF($B$8:B718,B718),"00"))</f>
        <v>2026-06-25-04</v>
      </c>
      <c r="I718" s="86" t="str">
        <f t="shared" si="20"/>
        <v>LENC</v>
      </c>
      <c r="J718" s="86" t="str">
        <f t="shared" si="21"/>
        <v>26</v>
      </c>
      <c r="K718" s="77" t="s">
        <v>69</v>
      </c>
      <c r="L718" s="77">
        <v>1</v>
      </c>
      <c r="M718" s="77" t="s">
        <v>69</v>
      </c>
      <c r="N718" s="88" t="s">
        <v>137</v>
      </c>
      <c r="O718" s="77" t="s">
        <v>121</v>
      </c>
      <c r="P718" s="77"/>
      <c r="Q718" s="31"/>
      <c r="R718" s="63"/>
    </row>
    <row r="719" spans="1:18" ht="39.75" hidden="1" customHeight="1" x14ac:dyDescent="0.25">
      <c r="A719" s="78">
        <f>IF(B719="","",COUNTA($B$7:B718))</f>
        <v>712</v>
      </c>
      <c r="B719" s="85">
        <v>46198</v>
      </c>
      <c r="C719" s="77" t="s">
        <v>122</v>
      </c>
      <c r="D719" s="77" t="s">
        <v>1561</v>
      </c>
      <c r="E719" s="77" t="s">
        <v>1277</v>
      </c>
      <c r="F719" s="77" t="s">
        <v>69</v>
      </c>
      <c r="G719" s="129">
        <v>20828</v>
      </c>
      <c r="H719" s="131" t="str">
        <f>IF(B719="","",TEXT(DATE(YEAR(B719),MONTH(B719),DAY(B719)),"yyyy-mm-dd")&amp;"-"&amp;TEXT(COUNTIF($B$8:B719,B719),"00"))</f>
        <v>2026-06-25-05</v>
      </c>
      <c r="I719" s="86" t="str">
        <f t="shared" si="20"/>
        <v>LENC</v>
      </c>
      <c r="J719" s="86" t="str">
        <f t="shared" si="21"/>
        <v>26</v>
      </c>
      <c r="K719" s="77" t="s">
        <v>69</v>
      </c>
      <c r="L719" s="77">
        <v>1</v>
      </c>
      <c r="M719" s="77" t="s">
        <v>69</v>
      </c>
      <c r="N719" s="88" t="s">
        <v>137</v>
      </c>
      <c r="O719" s="77" t="s">
        <v>121</v>
      </c>
      <c r="P719" s="77"/>
      <c r="Q719" s="31"/>
      <c r="R719" s="63"/>
    </row>
    <row r="720" spans="1:18" ht="39.75" hidden="1" customHeight="1" x14ac:dyDescent="0.25">
      <c r="A720" s="78">
        <f>IF(B720="","",COUNTA($B$7:B719))</f>
        <v>713</v>
      </c>
      <c r="B720" s="85">
        <v>46198</v>
      </c>
      <c r="C720" s="77" t="s">
        <v>122</v>
      </c>
      <c r="D720" s="77" t="s">
        <v>1564</v>
      </c>
      <c r="E720" s="77" t="s">
        <v>1565</v>
      </c>
      <c r="F720" s="77" t="s">
        <v>69</v>
      </c>
      <c r="G720" s="129">
        <v>20759</v>
      </c>
      <c r="H720" s="131" t="str">
        <f>IF(B720="","",TEXT(DATE(YEAR(B720),MONTH(B720),DAY(B720)),"yyyy-mm-dd")&amp;"-"&amp;TEXT(COUNTIF($B$8:B720,B720),"00"))</f>
        <v>2026-06-25-06</v>
      </c>
      <c r="I720" s="86" t="str">
        <f t="shared" si="20"/>
        <v>LENC</v>
      </c>
      <c r="J720" s="86" t="str">
        <f t="shared" si="21"/>
        <v>26</v>
      </c>
      <c r="K720" s="77" t="s">
        <v>1566</v>
      </c>
      <c r="L720" s="77">
        <v>1</v>
      </c>
      <c r="M720" s="77" t="s">
        <v>1567</v>
      </c>
      <c r="N720" s="88" t="s">
        <v>137</v>
      </c>
      <c r="O720" s="77" t="s">
        <v>121</v>
      </c>
      <c r="P720" s="77"/>
      <c r="Q720" s="31"/>
      <c r="R720" s="63"/>
    </row>
    <row r="721" spans="1:18" ht="39.75" hidden="1" customHeight="1" x14ac:dyDescent="0.25">
      <c r="A721" s="78">
        <f>IF(B721="","",COUNTA($B$7:B720))</f>
        <v>714</v>
      </c>
      <c r="B721" s="85">
        <v>46198</v>
      </c>
      <c r="C721" s="77" t="s">
        <v>122</v>
      </c>
      <c r="D721" s="77" t="s">
        <v>1568</v>
      </c>
      <c r="E721" s="77" t="s">
        <v>1569</v>
      </c>
      <c r="F721" s="77" t="s">
        <v>69</v>
      </c>
      <c r="G721" s="129">
        <v>20751</v>
      </c>
      <c r="H721" s="131" t="str">
        <f>IF(B721="","",TEXT(DATE(YEAR(B721),MONTH(B721),DAY(B721)),"yyyy-mm-dd")&amp;"-"&amp;TEXT(COUNTIF($B$8:B721,B721),"00"))</f>
        <v>2026-06-25-07</v>
      </c>
      <c r="I721" s="86" t="str">
        <f t="shared" si="20"/>
        <v>LENC</v>
      </c>
      <c r="J721" s="86" t="str">
        <f t="shared" si="21"/>
        <v>26</v>
      </c>
      <c r="K721" s="77" t="s">
        <v>69</v>
      </c>
      <c r="L721" s="77">
        <v>1</v>
      </c>
      <c r="M721" s="77" t="s">
        <v>69</v>
      </c>
      <c r="N721" s="88" t="s">
        <v>137</v>
      </c>
      <c r="O721" s="77" t="s">
        <v>121</v>
      </c>
      <c r="P721" s="77"/>
      <c r="Q721" s="31"/>
      <c r="R721" s="63"/>
    </row>
    <row r="722" spans="1:18" ht="39.75" hidden="1" customHeight="1" x14ac:dyDescent="0.25">
      <c r="A722" s="78">
        <f>IF(B722="","",COUNTA($B$7:B721))</f>
        <v>715</v>
      </c>
      <c r="B722" s="85">
        <v>46198</v>
      </c>
      <c r="C722" s="77" t="s">
        <v>122</v>
      </c>
      <c r="D722" s="77" t="s">
        <v>1568</v>
      </c>
      <c r="E722" s="77" t="s">
        <v>1569</v>
      </c>
      <c r="F722" s="77" t="s">
        <v>69</v>
      </c>
      <c r="G722" s="129">
        <v>20752</v>
      </c>
      <c r="H722" s="131" t="str">
        <f>IF(B722="","",TEXT(DATE(YEAR(B722),MONTH(B722),DAY(B722)),"yyyy-mm-dd")&amp;"-"&amp;TEXT(COUNTIF($B$8:B722,B722),"00"))</f>
        <v>2026-06-25-08</v>
      </c>
      <c r="I722" s="86" t="str">
        <f t="shared" si="20"/>
        <v>LENC</v>
      </c>
      <c r="J722" s="86" t="str">
        <f t="shared" si="21"/>
        <v>26</v>
      </c>
      <c r="K722" s="77" t="s">
        <v>69</v>
      </c>
      <c r="L722" s="77">
        <v>1</v>
      </c>
      <c r="M722" s="77" t="s">
        <v>69</v>
      </c>
      <c r="N722" s="88" t="s">
        <v>137</v>
      </c>
      <c r="O722" s="77" t="s">
        <v>121</v>
      </c>
      <c r="P722" s="77"/>
      <c r="Q722" s="31"/>
      <c r="R722" s="63"/>
    </row>
    <row r="723" spans="1:18" ht="39.75" hidden="1" customHeight="1" x14ac:dyDescent="0.25">
      <c r="A723" s="78">
        <f>IF(B723="","",COUNTA($B$7:B722))</f>
        <v>716</v>
      </c>
      <c r="B723" s="85">
        <v>46198</v>
      </c>
      <c r="C723" s="77" t="s">
        <v>1570</v>
      </c>
      <c r="D723" s="77" t="s">
        <v>1223</v>
      </c>
      <c r="E723" s="77" t="s">
        <v>788</v>
      </c>
      <c r="F723" s="77" t="s">
        <v>69</v>
      </c>
      <c r="G723" s="114">
        <v>990778</v>
      </c>
      <c r="H723" s="131" t="str">
        <f>IF(B723="","",TEXT(DATE(YEAR(B723),MONTH(B723),DAY(B723)),"yyyy-mm-dd")&amp;"-"&amp;TEXT(COUNTIF($B$8:B723,B723),"00"))</f>
        <v>2026-06-25-09</v>
      </c>
      <c r="I723" s="86" t="str">
        <f t="shared" si="20"/>
        <v>LENC</v>
      </c>
      <c r="J723" s="86" t="str">
        <f t="shared" si="21"/>
        <v>26</v>
      </c>
      <c r="K723" s="77" t="s">
        <v>1571</v>
      </c>
      <c r="L723" s="77">
        <v>1</v>
      </c>
      <c r="M723" s="77" t="s">
        <v>1572</v>
      </c>
      <c r="N723" s="88" t="s">
        <v>711</v>
      </c>
      <c r="O723" s="77" t="s">
        <v>172</v>
      </c>
      <c r="P723" s="77"/>
      <c r="Q723" s="31"/>
      <c r="R723" s="63"/>
    </row>
    <row r="724" spans="1:18" ht="39.75" hidden="1" customHeight="1" x14ac:dyDescent="0.25">
      <c r="A724" s="78">
        <f>IF(B724="","",COUNTA($B$7:B723))</f>
        <v>717</v>
      </c>
      <c r="B724" s="85">
        <v>46198</v>
      </c>
      <c r="C724" s="77" t="s">
        <v>1570</v>
      </c>
      <c r="D724" s="77" t="s">
        <v>1223</v>
      </c>
      <c r="E724" s="77" t="s">
        <v>788</v>
      </c>
      <c r="F724" s="77" t="s">
        <v>69</v>
      </c>
      <c r="G724" s="114">
        <v>990792</v>
      </c>
      <c r="H724" s="131" t="str">
        <f>IF(B724="","",TEXT(DATE(YEAR(B724),MONTH(B724),DAY(B724)),"yyyy-mm-dd")&amp;"-"&amp;TEXT(COUNTIF($B$8:B724,B724),"00"))</f>
        <v>2026-06-25-10</v>
      </c>
      <c r="I724" s="86" t="str">
        <f t="shared" si="20"/>
        <v>LENC</v>
      </c>
      <c r="J724" s="86" t="str">
        <f t="shared" si="21"/>
        <v>26</v>
      </c>
      <c r="K724" s="77" t="s">
        <v>1571</v>
      </c>
      <c r="L724" s="77">
        <v>1</v>
      </c>
      <c r="M724" s="77" t="s">
        <v>1572</v>
      </c>
      <c r="N724" s="88" t="s">
        <v>711</v>
      </c>
      <c r="O724" s="77" t="s">
        <v>172</v>
      </c>
      <c r="P724" s="77"/>
      <c r="Q724" s="31"/>
      <c r="R724" s="63"/>
    </row>
    <row r="725" spans="1:18" ht="39.75" hidden="1" customHeight="1" x14ac:dyDescent="0.25">
      <c r="A725" s="78">
        <f>IF(B725="","",COUNTA($B$7:B724))</f>
        <v>718</v>
      </c>
      <c r="B725" s="85">
        <v>46198</v>
      </c>
      <c r="C725" s="77" t="s">
        <v>122</v>
      </c>
      <c r="D725" s="77" t="s">
        <v>1564</v>
      </c>
      <c r="E725" s="77" t="s">
        <v>1565</v>
      </c>
      <c r="F725" s="77" t="s">
        <v>69</v>
      </c>
      <c r="G725" s="129">
        <v>20758</v>
      </c>
      <c r="H725" s="131" t="str">
        <f>IF(B725="","",TEXT(DATE(YEAR(B725),MONTH(B725),DAY(B725)),"yyyy-mm-dd")&amp;"-"&amp;TEXT(COUNTIF($B$8:B725,B725),"00"))</f>
        <v>2026-06-25-11</v>
      </c>
      <c r="I725" s="86" t="str">
        <f t="shared" si="20"/>
        <v>LENC</v>
      </c>
      <c r="J725" s="86" t="str">
        <f t="shared" si="21"/>
        <v>26</v>
      </c>
      <c r="K725" s="77" t="s">
        <v>1566</v>
      </c>
      <c r="L725" s="77">
        <v>1</v>
      </c>
      <c r="M725" s="77" t="s">
        <v>1567</v>
      </c>
      <c r="N725" s="88" t="s">
        <v>137</v>
      </c>
      <c r="O725" s="77" t="s">
        <v>121</v>
      </c>
      <c r="P725" s="77"/>
      <c r="Q725" s="31"/>
      <c r="R725" s="63"/>
    </row>
    <row r="726" spans="1:18" ht="39.75" hidden="1" customHeight="1" x14ac:dyDescent="0.25">
      <c r="A726" s="78">
        <f>IF(B726="","",COUNTA($B$7:B725))</f>
        <v>719</v>
      </c>
      <c r="B726" s="85">
        <v>46198</v>
      </c>
      <c r="C726" s="77" t="s">
        <v>122</v>
      </c>
      <c r="D726" s="77" t="s">
        <v>1573</v>
      </c>
      <c r="E726" s="77" t="s">
        <v>1569</v>
      </c>
      <c r="F726" s="77" t="s">
        <v>69</v>
      </c>
      <c r="G726" s="129">
        <v>20756</v>
      </c>
      <c r="H726" s="131" t="str">
        <f>IF(B726="","",TEXT(DATE(YEAR(B726),MONTH(B726),DAY(B726)),"yyyy-mm-dd")&amp;"-"&amp;TEXT(COUNTIF($B$8:B726,B726),"00"))</f>
        <v>2026-06-25-12</v>
      </c>
      <c r="I726" s="86" t="str">
        <f t="shared" si="20"/>
        <v>LENC</v>
      </c>
      <c r="J726" s="86" t="str">
        <f t="shared" si="21"/>
        <v>26</v>
      </c>
      <c r="K726" s="77" t="str">
        <f>IF(B8="","","N/E")</f>
        <v>N/E</v>
      </c>
      <c r="L726" s="77">
        <v>1</v>
      </c>
      <c r="M726" s="77" t="s">
        <v>69</v>
      </c>
      <c r="N726" s="88" t="s">
        <v>137</v>
      </c>
      <c r="O726" s="77" t="s">
        <v>121</v>
      </c>
      <c r="P726" s="77"/>
      <c r="Q726" s="31"/>
      <c r="R726" s="63"/>
    </row>
    <row r="727" spans="1:18" ht="39.75" hidden="1" customHeight="1" x14ac:dyDescent="0.25">
      <c r="A727" s="78">
        <f>IF(B727="","",COUNTA($B$7:B726))</f>
        <v>720</v>
      </c>
      <c r="B727" s="85">
        <v>46198</v>
      </c>
      <c r="C727" s="77" t="s">
        <v>122</v>
      </c>
      <c r="D727" s="77" t="s">
        <v>1573</v>
      </c>
      <c r="E727" s="77" t="s">
        <v>1569</v>
      </c>
      <c r="F727" s="77" t="s">
        <v>69</v>
      </c>
      <c r="G727" s="129">
        <v>20757</v>
      </c>
      <c r="H727" s="131" t="str">
        <f>IF(B727="","",TEXT(DATE(YEAR(B727),MONTH(B727),DAY(B727)),"yyyy-mm-dd")&amp;"-"&amp;TEXT(COUNTIF($B$8:B727,B727),"00"))</f>
        <v>2026-06-25-13</v>
      </c>
      <c r="I727" s="86" t="str">
        <f t="shared" si="20"/>
        <v>LENC</v>
      </c>
      <c r="J727" s="86" t="str">
        <f t="shared" si="21"/>
        <v>26</v>
      </c>
      <c r="K727" s="77" t="str">
        <f>IF(B9="","","N/E")</f>
        <v>N/E</v>
      </c>
      <c r="L727" s="77">
        <v>1</v>
      </c>
      <c r="M727" s="77" t="s">
        <v>69</v>
      </c>
      <c r="N727" s="88" t="s">
        <v>137</v>
      </c>
      <c r="O727" s="77" t="s">
        <v>121</v>
      </c>
      <c r="P727" s="77"/>
      <c r="Q727" s="31"/>
      <c r="R727" s="63"/>
    </row>
    <row r="728" spans="1:18" ht="39.75" hidden="1" customHeight="1" x14ac:dyDescent="0.25">
      <c r="A728" s="78">
        <f>IF(B728="","",COUNTA($B$7:B727))</f>
        <v>721</v>
      </c>
      <c r="B728" s="85">
        <v>46198</v>
      </c>
      <c r="C728" s="77" t="s">
        <v>286</v>
      </c>
      <c r="D728" s="77" t="s">
        <v>188</v>
      </c>
      <c r="E728" s="77" t="s">
        <v>1574</v>
      </c>
      <c r="F728" s="77" t="s">
        <v>69</v>
      </c>
      <c r="G728" s="77" t="s">
        <v>1575</v>
      </c>
      <c r="H728" s="131" t="str">
        <f>IF(B728="","",TEXT(DATE(YEAR(B728),MONTH(B728),DAY(B728)),"yyyy-mm-dd")&amp;"-"&amp;TEXT(COUNTIF($B$8:B728,B728),"00"))</f>
        <v>2026-06-25-14</v>
      </c>
      <c r="I728" s="86" t="str">
        <f t="shared" si="20"/>
        <v>LENC</v>
      </c>
      <c r="J728" s="86" t="str">
        <f t="shared" ref="J728:J806" si="22">IF(B728="","",TEXT(B728,"yy"))</f>
        <v>26</v>
      </c>
      <c r="K728" s="77" t="str">
        <f>IF(B10="","","N/E")</f>
        <v>N/E</v>
      </c>
      <c r="L728" s="77">
        <v>1</v>
      </c>
      <c r="M728" s="77" t="s">
        <v>69</v>
      </c>
      <c r="N728" s="88" t="s">
        <v>137</v>
      </c>
      <c r="O728" s="77" t="s">
        <v>121</v>
      </c>
      <c r="P728" s="77"/>
      <c r="Q728" s="31"/>
      <c r="R728" s="63"/>
    </row>
    <row r="729" spans="1:18" ht="39.75" hidden="1" customHeight="1" x14ac:dyDescent="0.25">
      <c r="A729" s="78">
        <f>IF(B729="","",COUNTA($B$7:B728))</f>
        <v>722</v>
      </c>
      <c r="B729" s="85">
        <v>46198</v>
      </c>
      <c r="C729" s="77" t="s">
        <v>1576</v>
      </c>
      <c r="D729" s="77" t="s">
        <v>1577</v>
      </c>
      <c r="E729" s="77" t="s">
        <v>69</v>
      </c>
      <c r="F729" s="77" t="s">
        <v>69</v>
      </c>
      <c r="G729" s="77">
        <v>21512</v>
      </c>
      <c r="H729" s="131" t="str">
        <f>IF(B729="","",TEXT(DATE(YEAR(B729),MONTH(B729),DAY(B729)),"yyyy-mm-dd")&amp;"-"&amp;TEXT(COUNTIF($B$8:B729,B729),"00"))</f>
        <v>2026-06-25-15</v>
      </c>
      <c r="I729" s="86" t="str">
        <f t="shared" ref="I729:I805" si="23">IF(B729="","","LENC")</f>
        <v>LENC</v>
      </c>
      <c r="J729" s="86" t="str">
        <f t="shared" si="22"/>
        <v>26</v>
      </c>
      <c r="K729" s="77" t="str">
        <f>IF(B11="","","N/E")</f>
        <v>N/E</v>
      </c>
      <c r="L729" s="77">
        <v>1</v>
      </c>
      <c r="M729" s="77" t="s">
        <v>69</v>
      </c>
      <c r="N729" s="88" t="s">
        <v>137</v>
      </c>
      <c r="O729" s="77" t="s">
        <v>121</v>
      </c>
      <c r="P729" s="77"/>
      <c r="Q729" s="31"/>
      <c r="R729" s="63"/>
    </row>
    <row r="730" spans="1:18" ht="39.75" hidden="1" customHeight="1" x14ac:dyDescent="0.25">
      <c r="A730" s="78">
        <f>IF(B730="","",COUNTA($B$7:B729))</f>
        <v>723</v>
      </c>
      <c r="B730" s="85">
        <v>46198</v>
      </c>
      <c r="C730" s="77" t="s">
        <v>1576</v>
      </c>
      <c r="D730" s="77" t="s">
        <v>1438</v>
      </c>
      <c r="E730" s="77" t="s">
        <v>69</v>
      </c>
      <c r="F730" s="77" t="s">
        <v>69</v>
      </c>
      <c r="G730" s="77">
        <v>21511</v>
      </c>
      <c r="H730" s="131" t="str">
        <f>IF(B730="","",TEXT(DATE(YEAR(B730),MONTH(B730),DAY(B730)),"yyyy-mm-dd")&amp;"-"&amp;TEXT(COUNTIF($B$8:B730,B730),"00"))</f>
        <v>2026-06-25-16</v>
      </c>
      <c r="I730" s="86" t="str">
        <f t="shared" si="23"/>
        <v>LENC</v>
      </c>
      <c r="J730" s="86" t="str">
        <f t="shared" si="22"/>
        <v>26</v>
      </c>
      <c r="K730" s="77" t="str">
        <f>IF(B12="","","N/E")</f>
        <v>N/E</v>
      </c>
      <c r="L730" s="77">
        <v>1</v>
      </c>
      <c r="M730" s="77" t="s">
        <v>69</v>
      </c>
      <c r="N730" s="88" t="s">
        <v>137</v>
      </c>
      <c r="O730" s="77" t="s">
        <v>121</v>
      </c>
      <c r="P730" s="77"/>
      <c r="Q730" s="31"/>
      <c r="R730" s="63"/>
    </row>
    <row r="731" spans="1:18" ht="39.75" hidden="1" customHeight="1" x14ac:dyDescent="0.25">
      <c r="A731" s="78">
        <f>IF(B731="","",COUNTA($B$7:B730))</f>
        <v>724</v>
      </c>
      <c r="B731" s="85">
        <v>46198</v>
      </c>
      <c r="C731" s="77" t="s">
        <v>338</v>
      </c>
      <c r="D731" s="77" t="s">
        <v>1530</v>
      </c>
      <c r="E731" s="77" t="s">
        <v>69</v>
      </c>
      <c r="F731" s="77" t="s">
        <v>69</v>
      </c>
      <c r="G731" s="110" t="s">
        <v>1578</v>
      </c>
      <c r="H731" s="131" t="str">
        <f>IF(B731="","",TEXT(DATE(YEAR(B731),MONTH(B731),DAY(B731)),"yyyy-mm-dd")&amp;"-"&amp;TEXT(COUNTIF($B$8:B731,B731),"00"))</f>
        <v>2026-06-25-17</v>
      </c>
      <c r="I731" s="86" t="str">
        <f t="shared" si="23"/>
        <v>LENC</v>
      </c>
      <c r="J731" s="86" t="str">
        <f t="shared" si="22"/>
        <v>26</v>
      </c>
      <c r="K731" s="77" t="s">
        <v>1579</v>
      </c>
      <c r="L731" s="77">
        <v>1</v>
      </c>
      <c r="M731" s="77" t="s">
        <v>1580</v>
      </c>
      <c r="N731" s="88" t="s">
        <v>711</v>
      </c>
      <c r="O731" s="77" t="s">
        <v>172</v>
      </c>
      <c r="P731" s="77"/>
      <c r="Q731" s="31"/>
      <c r="R731" s="63"/>
    </row>
    <row r="732" spans="1:18" ht="39.75" hidden="1" customHeight="1" x14ac:dyDescent="0.25">
      <c r="A732" s="78">
        <f>IF(B732="","",COUNTA($B$7:B731))</f>
        <v>725</v>
      </c>
      <c r="B732" s="85">
        <v>46199</v>
      </c>
      <c r="C732" s="77" t="s">
        <v>1325</v>
      </c>
      <c r="D732" s="77" t="s">
        <v>1581</v>
      </c>
      <c r="E732" s="77" t="s">
        <v>69</v>
      </c>
      <c r="F732" s="77" t="s">
        <v>69</v>
      </c>
      <c r="G732" s="77" t="s">
        <v>69</v>
      </c>
      <c r="H732" s="131" t="str">
        <f>IF(B732="","",TEXT(DATE(YEAR(B732),MONTH(B732),DAY(B732)),"yyyy-mm-dd")&amp;"-"&amp;TEXT(COUNTIF($B$8:B732,B732),"00"))</f>
        <v>2026-06-26-05</v>
      </c>
      <c r="I732" s="86" t="str">
        <f t="shared" si="23"/>
        <v>LENC</v>
      </c>
      <c r="J732" s="86" t="str">
        <f t="shared" si="22"/>
        <v>26</v>
      </c>
      <c r="K732" s="77" t="s">
        <v>69</v>
      </c>
      <c r="L732" s="77">
        <v>1</v>
      </c>
      <c r="M732" s="77" t="s">
        <v>69</v>
      </c>
      <c r="N732" s="88" t="s">
        <v>137</v>
      </c>
      <c r="O732" s="77" t="s">
        <v>121</v>
      </c>
      <c r="P732" s="77"/>
      <c r="Q732" s="31"/>
      <c r="R732" s="63"/>
    </row>
    <row r="733" spans="1:18" ht="39.75" hidden="1" customHeight="1" x14ac:dyDescent="0.25">
      <c r="A733" s="78">
        <f>IF(B733="","",COUNTA($B$7:B732))</f>
        <v>726</v>
      </c>
      <c r="B733" s="85">
        <v>46204</v>
      </c>
      <c r="C733" s="77" t="s">
        <v>1576</v>
      </c>
      <c r="D733" s="77" t="s">
        <v>1582</v>
      </c>
      <c r="E733" s="77" t="s">
        <v>1576</v>
      </c>
      <c r="F733" s="77" t="s">
        <v>69</v>
      </c>
      <c r="G733" s="77">
        <v>21510</v>
      </c>
      <c r="H733" s="131" t="str">
        <f>IF(B733="","",TEXT(DATE(YEAR(B733),MONTH(B733),DAY(B733)),"yyyy-mm-dd")&amp;"-"&amp;TEXT(COUNTIF($B$8:B733,B733),"00"))</f>
        <v>2026-07-01-01</v>
      </c>
      <c r="I733" s="86" t="str">
        <f t="shared" si="23"/>
        <v>LENC</v>
      </c>
      <c r="J733" s="86" t="str">
        <f t="shared" si="22"/>
        <v>26</v>
      </c>
      <c r="K733" s="77" t="s">
        <v>69</v>
      </c>
      <c r="L733" s="77">
        <v>1</v>
      </c>
      <c r="M733" s="77" t="s">
        <v>1583</v>
      </c>
      <c r="N733" s="88" t="s">
        <v>203</v>
      </c>
      <c r="O733" s="77" t="s">
        <v>121</v>
      </c>
      <c r="P733" s="77"/>
      <c r="Q733" s="31"/>
      <c r="R733" s="63"/>
    </row>
    <row r="734" spans="1:18" ht="39.75" hidden="1" customHeight="1" x14ac:dyDescent="0.25">
      <c r="A734" s="78">
        <f>IF(B734="","",COUNTA($B$7:B733))</f>
        <v>727</v>
      </c>
      <c r="B734" s="85">
        <v>46203</v>
      </c>
      <c r="C734" s="77" t="s">
        <v>305</v>
      </c>
      <c r="D734" s="77" t="s">
        <v>1584</v>
      </c>
      <c r="E734" s="77" t="s">
        <v>1585</v>
      </c>
      <c r="F734" s="77" t="s">
        <v>69</v>
      </c>
      <c r="G734" s="77" t="s">
        <v>1586</v>
      </c>
      <c r="H734" s="131" t="str">
        <f>IF(B734="","",TEXT(DATE(YEAR(B734),MONTH(B734),DAY(B734)),"yyyy-mm-dd")&amp;"-"&amp;TEXT(COUNTIF($B$8:B734,B734),"00"))</f>
        <v>2026-06-30-01</v>
      </c>
      <c r="I734" s="86" t="str">
        <f t="shared" si="23"/>
        <v>LENC</v>
      </c>
      <c r="J734" s="86" t="str">
        <f t="shared" si="22"/>
        <v>26</v>
      </c>
      <c r="K734" s="77" t="s">
        <v>1587</v>
      </c>
      <c r="L734" s="77">
        <v>1</v>
      </c>
      <c r="M734" s="77" t="s">
        <v>1588</v>
      </c>
      <c r="N734" s="88" t="s">
        <v>198</v>
      </c>
      <c r="O734" s="77" t="s">
        <v>172</v>
      </c>
      <c r="P734" s="77"/>
      <c r="Q734" s="31"/>
      <c r="R734" s="63"/>
    </row>
    <row r="735" spans="1:18" ht="39.75" hidden="1" customHeight="1" x14ac:dyDescent="0.25">
      <c r="A735" s="78">
        <f>IF(B735="","",COUNTA($B$7:B734))</f>
        <v>728</v>
      </c>
      <c r="B735" s="85">
        <v>46203</v>
      </c>
      <c r="C735" s="77" t="s">
        <v>305</v>
      </c>
      <c r="D735" s="77" t="s">
        <v>1589</v>
      </c>
      <c r="E735" s="77" t="s">
        <v>1590</v>
      </c>
      <c r="F735" s="77" t="s">
        <v>69</v>
      </c>
      <c r="G735" s="77" t="s">
        <v>1591</v>
      </c>
      <c r="H735" s="131" t="str">
        <f>IF(B735="","",TEXT(DATE(YEAR(B735),MONTH(B735),DAY(B735)),"yyyy-mm-dd")&amp;"-"&amp;TEXT(COUNTIF($B$8:B735,B735),"00"))</f>
        <v>2026-06-30-02</v>
      </c>
      <c r="I735" s="86" t="str">
        <f t="shared" si="23"/>
        <v>LENC</v>
      </c>
      <c r="J735" s="86" t="str">
        <f t="shared" si="22"/>
        <v>26</v>
      </c>
      <c r="K735" s="77" t="s">
        <v>1592</v>
      </c>
      <c r="L735" s="77">
        <v>1</v>
      </c>
      <c r="M735" s="77" t="s">
        <v>1593</v>
      </c>
      <c r="N735" s="88" t="s">
        <v>711</v>
      </c>
      <c r="O735" s="77" t="s">
        <v>172</v>
      </c>
      <c r="P735" s="77"/>
      <c r="Q735" s="31"/>
      <c r="R735" s="63"/>
    </row>
    <row r="736" spans="1:18" ht="39.75" hidden="1" customHeight="1" x14ac:dyDescent="0.25">
      <c r="A736" s="78">
        <f>IF(B736="","",COUNTA($B$7:B735))</f>
        <v>729</v>
      </c>
      <c r="B736" s="85">
        <v>46203</v>
      </c>
      <c r="C736" s="77" t="s">
        <v>305</v>
      </c>
      <c r="D736" s="77" t="s">
        <v>1057</v>
      </c>
      <c r="E736" s="77" t="s">
        <v>1590</v>
      </c>
      <c r="F736" s="77" t="s">
        <v>69</v>
      </c>
      <c r="G736" s="77" t="s">
        <v>1594</v>
      </c>
      <c r="H736" s="131" t="str">
        <f>IF(B736="","",TEXT(DATE(YEAR(B736),MONTH(B736),DAY(B736)),"yyyy-mm-dd")&amp;"-"&amp;TEXT(COUNTIF($B$8:B736,B736),"00"))</f>
        <v>2026-06-30-03</v>
      </c>
      <c r="I736" s="86" t="str">
        <f t="shared" si="23"/>
        <v>LENC</v>
      </c>
      <c r="J736" s="86" t="str">
        <f t="shared" si="22"/>
        <v>26</v>
      </c>
      <c r="K736" s="77" t="s">
        <v>1592</v>
      </c>
      <c r="L736" s="77">
        <v>1</v>
      </c>
      <c r="M736" s="77" t="s">
        <v>1593</v>
      </c>
      <c r="N736" s="88" t="s">
        <v>711</v>
      </c>
      <c r="O736" s="77" t="s">
        <v>172</v>
      </c>
      <c r="P736" s="77"/>
      <c r="Q736" s="31"/>
      <c r="R736" s="63"/>
    </row>
    <row r="737" spans="1:18" ht="39.75" hidden="1" customHeight="1" x14ac:dyDescent="0.25">
      <c r="A737" s="78">
        <f>IF(B737="","",COUNTA($B$7:B736))</f>
        <v>730</v>
      </c>
      <c r="B737" s="85">
        <v>46203</v>
      </c>
      <c r="C737" s="77" t="s">
        <v>305</v>
      </c>
      <c r="D737" s="77" t="s">
        <v>1595</v>
      </c>
      <c r="E737" s="77" t="s">
        <v>1590</v>
      </c>
      <c r="F737" s="77" t="s">
        <v>69</v>
      </c>
      <c r="G737" s="77" t="s">
        <v>1596</v>
      </c>
      <c r="H737" s="131" t="str">
        <f>IF(B737="","",TEXT(DATE(YEAR(B737),MONTH(B737),DAY(B737)),"yyyy-mm-dd")&amp;"-"&amp;TEXT(COUNTIF($B$8:B737,B737),"00"))</f>
        <v>2026-06-30-04</v>
      </c>
      <c r="I737" s="86" t="str">
        <f t="shared" si="23"/>
        <v>LENC</v>
      </c>
      <c r="J737" s="86" t="str">
        <f t="shared" si="22"/>
        <v>26</v>
      </c>
      <c r="K737" s="77" t="s">
        <v>1592</v>
      </c>
      <c r="L737" s="77">
        <v>1</v>
      </c>
      <c r="M737" s="77" t="s">
        <v>1593</v>
      </c>
      <c r="N737" s="88" t="s">
        <v>711</v>
      </c>
      <c r="O737" s="77" t="s">
        <v>172</v>
      </c>
      <c r="P737" s="77"/>
      <c r="Q737" s="31"/>
      <c r="R737" s="63"/>
    </row>
    <row r="738" spans="1:18" ht="39.75" hidden="1" customHeight="1" x14ac:dyDescent="0.25">
      <c r="A738" s="78">
        <f>IF(B738="","",COUNTA($B$7:B737))</f>
        <v>731</v>
      </c>
      <c r="B738" s="85">
        <v>46203</v>
      </c>
      <c r="C738" s="77" t="s">
        <v>305</v>
      </c>
      <c r="D738" s="77" t="s">
        <v>1055</v>
      </c>
      <c r="E738" s="77" t="s">
        <v>1590</v>
      </c>
      <c r="F738" s="77" t="s">
        <v>69</v>
      </c>
      <c r="G738" s="77" t="s">
        <v>1597</v>
      </c>
      <c r="H738" s="131" t="str">
        <f>IF(B738="","",TEXT(DATE(YEAR(B738),MONTH(B738),DAY(B738)),"yyyy-mm-dd")&amp;"-"&amp;TEXT(COUNTIF($B$8:B738,B738),"00"))</f>
        <v>2026-06-30-05</v>
      </c>
      <c r="I738" s="86" t="str">
        <f t="shared" si="23"/>
        <v>LENC</v>
      </c>
      <c r="J738" s="86" t="str">
        <f t="shared" si="22"/>
        <v>26</v>
      </c>
      <c r="K738" s="77" t="s">
        <v>1592</v>
      </c>
      <c r="L738" s="77">
        <v>1</v>
      </c>
      <c r="M738" s="77" t="s">
        <v>1593</v>
      </c>
      <c r="N738" s="88" t="s">
        <v>711</v>
      </c>
      <c r="O738" s="77" t="s">
        <v>172</v>
      </c>
      <c r="P738" s="77"/>
      <c r="Q738" s="31"/>
      <c r="R738" s="63"/>
    </row>
    <row r="739" spans="1:18" ht="39.75" hidden="1" customHeight="1" x14ac:dyDescent="0.25">
      <c r="A739" s="78">
        <f>IF(B739="","",COUNTA($B$7:B738))</f>
        <v>732</v>
      </c>
      <c r="B739" s="85">
        <v>46203</v>
      </c>
      <c r="C739" s="77" t="s">
        <v>305</v>
      </c>
      <c r="D739" s="77" t="s">
        <v>1595</v>
      </c>
      <c r="E739" s="77" t="s">
        <v>1590</v>
      </c>
      <c r="F739" s="77" t="s">
        <v>69</v>
      </c>
      <c r="G739" s="77" t="s">
        <v>1598</v>
      </c>
      <c r="H739" s="131" t="str">
        <f>IF(B739="","",TEXT(DATE(YEAR(B739),MONTH(B739),DAY(B739)),"yyyy-mm-dd")&amp;"-"&amp;TEXT(COUNTIF($B$8:B739,B739),"00"))</f>
        <v>2026-06-30-06</v>
      </c>
      <c r="I739" s="86" t="str">
        <f t="shared" si="23"/>
        <v>LENC</v>
      </c>
      <c r="J739" s="86" t="str">
        <f t="shared" si="22"/>
        <v>26</v>
      </c>
      <c r="K739" s="77" t="s">
        <v>1592</v>
      </c>
      <c r="L739" s="77">
        <v>1</v>
      </c>
      <c r="M739" s="77" t="s">
        <v>1593</v>
      </c>
      <c r="N739" s="88" t="s">
        <v>711</v>
      </c>
      <c r="O739" s="77" t="s">
        <v>172</v>
      </c>
      <c r="P739" s="77"/>
      <c r="Q739" s="31"/>
      <c r="R739" s="63"/>
    </row>
    <row r="740" spans="1:18" ht="39.75" hidden="1" customHeight="1" x14ac:dyDescent="0.25">
      <c r="A740" s="78">
        <f>IF(B740="","",COUNTA($B$7:B739))</f>
        <v>733</v>
      </c>
      <c r="B740" s="85">
        <v>46203</v>
      </c>
      <c r="C740" s="77" t="s">
        <v>305</v>
      </c>
      <c r="D740" s="77" t="s">
        <v>1599</v>
      </c>
      <c r="E740" s="77" t="s">
        <v>1590</v>
      </c>
      <c r="F740" s="77" t="s">
        <v>69</v>
      </c>
      <c r="G740" s="77" t="s">
        <v>1600</v>
      </c>
      <c r="H740" s="131" t="str">
        <f>IF(B740="","",TEXT(DATE(YEAR(B740),MONTH(B740),DAY(B740)),"yyyy-mm-dd")&amp;"-"&amp;TEXT(COUNTIF($B$8:B740,B740),"00"))</f>
        <v>2026-06-30-07</v>
      </c>
      <c r="I740" s="86" t="str">
        <f t="shared" si="23"/>
        <v>LENC</v>
      </c>
      <c r="J740" s="86" t="str">
        <f t="shared" si="22"/>
        <v>26</v>
      </c>
      <c r="K740" s="77" t="s">
        <v>1592</v>
      </c>
      <c r="L740" s="77">
        <v>1</v>
      </c>
      <c r="M740" s="77" t="s">
        <v>1593</v>
      </c>
      <c r="N740" s="88" t="s">
        <v>711</v>
      </c>
      <c r="O740" s="77" t="s">
        <v>172</v>
      </c>
      <c r="P740" s="77"/>
      <c r="Q740" s="31"/>
      <c r="R740" s="63"/>
    </row>
    <row r="741" spans="1:18" ht="39.75" hidden="1" customHeight="1" x14ac:dyDescent="0.25">
      <c r="A741" s="78">
        <f>IF(B741="","",COUNTA($B$7:B740))</f>
        <v>734</v>
      </c>
      <c r="B741" s="85">
        <v>46204</v>
      </c>
      <c r="C741" s="77" t="s">
        <v>746</v>
      </c>
      <c r="D741" s="77" t="s">
        <v>1601</v>
      </c>
      <c r="E741" s="77" t="s">
        <v>1602</v>
      </c>
      <c r="F741" s="77" t="s">
        <v>69</v>
      </c>
      <c r="G741" s="77" t="s">
        <v>69</v>
      </c>
      <c r="H741" s="131" t="str">
        <f>IF(B741="","",TEXT(DATE(YEAR(B741),MONTH(B741),DAY(B741)),"yyyy-mm-dd")&amp;"-"&amp;TEXT(COUNTIF($B$8:B741,B741),"00"))</f>
        <v>2026-07-01-02</v>
      </c>
      <c r="I741" s="86" t="str">
        <f t="shared" si="23"/>
        <v>LENC</v>
      </c>
      <c r="J741" s="86" t="str">
        <f t="shared" si="22"/>
        <v>26</v>
      </c>
      <c r="K741" s="77" t="s">
        <v>1603</v>
      </c>
      <c r="L741" s="77">
        <v>1</v>
      </c>
      <c r="M741" s="77" t="s">
        <v>1604</v>
      </c>
      <c r="N741" s="88" t="s">
        <v>711</v>
      </c>
      <c r="O741" s="77" t="s">
        <v>121</v>
      </c>
      <c r="P741" s="77"/>
      <c r="Q741" s="31"/>
      <c r="R741" s="63"/>
    </row>
    <row r="742" spans="1:18" ht="39.75" hidden="1" customHeight="1" x14ac:dyDescent="0.25">
      <c r="A742" s="78">
        <f>IF(B742="","",COUNTA($B$7:B741))</f>
        <v>735</v>
      </c>
      <c r="B742" s="85">
        <v>46191</v>
      </c>
      <c r="C742" s="77" t="s">
        <v>1076</v>
      </c>
      <c r="D742" s="77" t="s">
        <v>957</v>
      </c>
      <c r="E742" s="77" t="s">
        <v>1078</v>
      </c>
      <c r="F742" s="77" t="s">
        <v>69</v>
      </c>
      <c r="G742" s="77">
        <v>21721</v>
      </c>
      <c r="H742" s="131" t="str">
        <f>IF(B742="","",TEXT(DATE(YEAR(B742),MONTH(B742),DAY(B742)),"yyyy-mm-dd")&amp;"-"&amp;TEXT(COUNTIF($B$8:B742,B742),"00"))</f>
        <v>2026-06-18-15</v>
      </c>
      <c r="I742" s="86" t="str">
        <f t="shared" si="23"/>
        <v>LENC</v>
      </c>
      <c r="J742" s="86" t="str">
        <f t="shared" si="22"/>
        <v>26</v>
      </c>
      <c r="K742" s="77" t="s">
        <v>69</v>
      </c>
      <c r="L742" s="77">
        <v>1</v>
      </c>
      <c r="M742" s="77" t="s">
        <v>69</v>
      </c>
      <c r="N742" s="88">
        <v>104</v>
      </c>
      <c r="O742" s="77" t="s">
        <v>159</v>
      </c>
      <c r="P742" s="77"/>
      <c r="Q742" s="31"/>
      <c r="R742" s="63"/>
    </row>
    <row r="743" spans="1:18" ht="39.75" hidden="1" customHeight="1" x14ac:dyDescent="0.25">
      <c r="A743" s="78">
        <f>IF(B743="","",COUNTA($B$7:B742))</f>
        <v>736</v>
      </c>
      <c r="B743" s="85">
        <v>46191</v>
      </c>
      <c r="C743" s="77" t="s">
        <v>1076</v>
      </c>
      <c r="D743" s="77" t="s">
        <v>1605</v>
      </c>
      <c r="E743" s="77" t="s">
        <v>1078</v>
      </c>
      <c r="F743" s="77" t="s">
        <v>69</v>
      </c>
      <c r="G743" s="77">
        <v>21707</v>
      </c>
      <c r="H743" s="131" t="str">
        <f>IF(B743="","",TEXT(DATE(YEAR(B743),MONTH(B743),DAY(B743)),"yyyy-mm-dd")&amp;"-"&amp;TEXT(COUNTIF($B$8:B743,B743),"00"))</f>
        <v>2026-06-18-16</v>
      </c>
      <c r="I743" s="86" t="str">
        <f t="shared" si="23"/>
        <v>LENC</v>
      </c>
      <c r="J743" s="86" t="str">
        <f t="shared" si="22"/>
        <v>26</v>
      </c>
      <c r="K743" s="77" t="s">
        <v>69</v>
      </c>
      <c r="L743" s="77">
        <v>1</v>
      </c>
      <c r="M743" s="77" t="s">
        <v>69</v>
      </c>
      <c r="N743" s="88"/>
      <c r="O743" s="77" t="s">
        <v>121</v>
      </c>
      <c r="P743" s="77"/>
      <c r="Q743" s="31"/>
      <c r="R743" s="63"/>
    </row>
    <row r="744" spans="1:18" ht="39.75" hidden="1" customHeight="1" x14ac:dyDescent="0.25">
      <c r="A744" s="78">
        <f>IF(B744="","",COUNTA($B$7:B743))</f>
        <v>737</v>
      </c>
      <c r="B744" s="85">
        <v>46191</v>
      </c>
      <c r="C744" s="77" t="s">
        <v>1076</v>
      </c>
      <c r="D744" s="77" t="s">
        <v>1606</v>
      </c>
      <c r="E744" s="77" t="s">
        <v>1078</v>
      </c>
      <c r="F744" s="77" t="s">
        <v>69</v>
      </c>
      <c r="G744" s="77">
        <v>21710</v>
      </c>
      <c r="H744" s="131" t="str">
        <f>IF(B744="","",TEXT(DATE(YEAR(B744),MONTH(B744),DAY(B744)),"yyyy-mm-dd")&amp;"-"&amp;TEXT(COUNTIF($B$8:B744,B744),"00"))</f>
        <v>2026-06-18-17</v>
      </c>
      <c r="I744" s="86" t="str">
        <f t="shared" si="23"/>
        <v>LENC</v>
      </c>
      <c r="J744" s="86" t="str">
        <f t="shared" si="22"/>
        <v>26</v>
      </c>
      <c r="K744" s="77" t="s">
        <v>69</v>
      </c>
      <c r="L744" s="77">
        <v>1</v>
      </c>
      <c r="M744" s="77" t="s">
        <v>69</v>
      </c>
      <c r="N744" s="88"/>
      <c r="O744" s="77" t="s">
        <v>121</v>
      </c>
      <c r="P744" s="77"/>
      <c r="Q744" s="31"/>
      <c r="R744" s="63"/>
    </row>
    <row r="745" spans="1:18" ht="39.75" hidden="1" customHeight="1" x14ac:dyDescent="0.25">
      <c r="A745" s="78">
        <f>IF(B745="","",COUNTA($B$7:B744))</f>
        <v>738</v>
      </c>
      <c r="B745" s="85">
        <v>46191</v>
      </c>
      <c r="C745" s="77" t="s">
        <v>1076</v>
      </c>
      <c r="D745" s="77" t="s">
        <v>1607</v>
      </c>
      <c r="E745" s="77" t="s">
        <v>1078</v>
      </c>
      <c r="F745" s="77" t="s">
        <v>69</v>
      </c>
      <c r="G745" s="77">
        <v>21708</v>
      </c>
      <c r="H745" s="131" t="str">
        <f>IF(B745="","",TEXT(DATE(YEAR(B745),MONTH(B745),DAY(B745)),"yyyy-mm-dd")&amp;"-"&amp;TEXT(COUNTIF($B$8:B745,B745),"00"))</f>
        <v>2026-06-18-18</v>
      </c>
      <c r="I745" s="86" t="str">
        <f t="shared" si="23"/>
        <v>LENC</v>
      </c>
      <c r="J745" s="86" t="str">
        <f t="shared" si="22"/>
        <v>26</v>
      </c>
      <c r="K745" s="77" t="s">
        <v>69</v>
      </c>
      <c r="L745" s="77">
        <v>1</v>
      </c>
      <c r="M745" s="77" t="s">
        <v>69</v>
      </c>
      <c r="N745" s="88"/>
      <c r="O745" s="77" t="s">
        <v>121</v>
      </c>
      <c r="P745" s="77"/>
      <c r="Q745" s="31"/>
      <c r="R745" s="63"/>
    </row>
    <row r="746" spans="1:18" ht="39.75" hidden="1" customHeight="1" x14ac:dyDescent="0.25">
      <c r="A746" s="78">
        <f>IF(B746="","",COUNTA($B$7:B745))</f>
        <v>739</v>
      </c>
      <c r="B746" s="85">
        <v>46191</v>
      </c>
      <c r="C746" s="77" t="s">
        <v>1076</v>
      </c>
      <c r="D746" s="77" t="s">
        <v>1607</v>
      </c>
      <c r="E746" s="77" t="s">
        <v>1078</v>
      </c>
      <c r="F746" s="77" t="s">
        <v>69</v>
      </c>
      <c r="G746" s="77">
        <v>21712</v>
      </c>
      <c r="H746" s="131" t="str">
        <f>IF(B746="","",TEXT(DATE(YEAR(B746),MONTH(B746),DAY(B746)),"yyyy-mm-dd")&amp;"-"&amp;TEXT(COUNTIF($B$8:B746,B746),"00"))</f>
        <v>2026-06-18-19</v>
      </c>
      <c r="I746" s="86" t="str">
        <f t="shared" si="23"/>
        <v>LENC</v>
      </c>
      <c r="J746" s="86" t="str">
        <f t="shared" si="22"/>
        <v>26</v>
      </c>
      <c r="K746" s="77" t="s">
        <v>69</v>
      </c>
      <c r="L746" s="77">
        <v>1</v>
      </c>
      <c r="M746" s="77" t="s">
        <v>69</v>
      </c>
      <c r="N746" s="88"/>
      <c r="O746" s="77" t="s">
        <v>121</v>
      </c>
      <c r="P746" s="77"/>
      <c r="Q746" s="31"/>
      <c r="R746" s="63"/>
    </row>
    <row r="747" spans="1:18" ht="39.75" hidden="1" customHeight="1" x14ac:dyDescent="0.25">
      <c r="A747" s="78">
        <f>IF(B747="","",COUNTA($B$7:B746))</f>
        <v>740</v>
      </c>
      <c r="B747" s="85">
        <v>46191</v>
      </c>
      <c r="C747" s="77" t="s">
        <v>1076</v>
      </c>
      <c r="D747" s="77" t="s">
        <v>1608</v>
      </c>
      <c r="E747" s="77" t="s">
        <v>1078</v>
      </c>
      <c r="F747" s="77" t="s">
        <v>69</v>
      </c>
      <c r="G747" s="77">
        <v>21716</v>
      </c>
      <c r="H747" s="131" t="str">
        <f>IF(B747="","",TEXT(DATE(YEAR(B747),MONTH(B747),DAY(B747)),"yyyy-mm-dd")&amp;"-"&amp;TEXT(COUNTIF($B$8:B747,B747),"00"))</f>
        <v>2026-06-18-20</v>
      </c>
      <c r="I747" s="86" t="str">
        <f t="shared" si="23"/>
        <v>LENC</v>
      </c>
      <c r="J747" s="86" t="str">
        <f t="shared" si="22"/>
        <v>26</v>
      </c>
      <c r="K747" s="77" t="s">
        <v>69</v>
      </c>
      <c r="L747" s="77">
        <v>1</v>
      </c>
      <c r="M747" s="77" t="s">
        <v>69</v>
      </c>
      <c r="N747" s="88"/>
      <c r="O747" s="77" t="s">
        <v>121</v>
      </c>
      <c r="P747" s="77"/>
      <c r="Q747" s="31"/>
      <c r="R747" s="63"/>
    </row>
    <row r="748" spans="1:18" ht="39.75" hidden="1" customHeight="1" x14ac:dyDescent="0.25">
      <c r="A748" s="78">
        <f>IF(B748="","",COUNTA($B$7:B747))</f>
        <v>741</v>
      </c>
      <c r="B748" s="85">
        <v>46191</v>
      </c>
      <c r="C748" s="77" t="s">
        <v>1076</v>
      </c>
      <c r="D748" s="77" t="s">
        <v>1609</v>
      </c>
      <c r="E748" s="77" t="s">
        <v>1078</v>
      </c>
      <c r="F748" s="77" t="s">
        <v>69</v>
      </c>
      <c r="G748" s="77">
        <v>21713</v>
      </c>
      <c r="H748" s="131" t="str">
        <f>IF(B748="","",TEXT(DATE(YEAR(B748),MONTH(B748),DAY(B748)),"yyyy-mm-dd")&amp;"-"&amp;TEXT(COUNTIF($B$8:B748,B748),"00"))</f>
        <v>2026-06-18-21</v>
      </c>
      <c r="I748" s="86" t="str">
        <f t="shared" si="23"/>
        <v>LENC</v>
      </c>
      <c r="J748" s="86" t="str">
        <f t="shared" si="22"/>
        <v>26</v>
      </c>
      <c r="K748" s="77" t="s">
        <v>69</v>
      </c>
      <c r="L748" s="77">
        <v>1</v>
      </c>
      <c r="M748" s="77" t="s">
        <v>69</v>
      </c>
      <c r="N748" s="88"/>
      <c r="O748" s="77" t="s">
        <v>121</v>
      </c>
      <c r="P748" s="77"/>
      <c r="Q748" s="31"/>
      <c r="R748" s="63"/>
    </row>
    <row r="749" spans="1:18" ht="39.75" hidden="1" customHeight="1" x14ac:dyDescent="0.25">
      <c r="A749" s="78">
        <f>IF(B749="","",COUNTA($B$7:B748))</f>
        <v>742</v>
      </c>
      <c r="B749" s="85">
        <v>46191</v>
      </c>
      <c r="C749" s="77" t="s">
        <v>1076</v>
      </c>
      <c r="D749" s="77" t="s">
        <v>1610</v>
      </c>
      <c r="E749" s="77" t="s">
        <v>1078</v>
      </c>
      <c r="F749" s="77" t="s">
        <v>69</v>
      </c>
      <c r="G749" s="77">
        <v>21709</v>
      </c>
      <c r="H749" s="131" t="str">
        <f>IF(B749="","",TEXT(DATE(YEAR(B749),MONTH(B749),DAY(B749)),"yyyy-mm-dd")&amp;"-"&amp;TEXT(COUNTIF($B$8:B749,B749),"00"))</f>
        <v>2026-06-18-22</v>
      </c>
      <c r="I749" s="86" t="str">
        <f t="shared" si="23"/>
        <v>LENC</v>
      </c>
      <c r="J749" s="86" t="str">
        <f t="shared" si="22"/>
        <v>26</v>
      </c>
      <c r="K749" s="77" t="s">
        <v>69</v>
      </c>
      <c r="L749" s="77">
        <v>1</v>
      </c>
      <c r="M749" s="77" t="s">
        <v>69</v>
      </c>
      <c r="N749" s="88"/>
      <c r="O749" s="77" t="s">
        <v>121</v>
      </c>
      <c r="P749" s="77"/>
      <c r="Q749" s="31"/>
      <c r="R749" s="63"/>
    </row>
    <row r="750" spans="1:18" ht="39.75" hidden="1" customHeight="1" x14ac:dyDescent="0.25">
      <c r="A750" s="78">
        <f>IF(B750="","",COUNTA($B$7:B749))</f>
        <v>743</v>
      </c>
      <c r="B750" s="85">
        <v>46191</v>
      </c>
      <c r="C750" s="77" t="s">
        <v>1076</v>
      </c>
      <c r="D750" s="77" t="s">
        <v>1573</v>
      </c>
      <c r="E750" s="77" t="s">
        <v>1078</v>
      </c>
      <c r="F750" s="77" t="s">
        <v>69</v>
      </c>
      <c r="G750" s="77">
        <v>21715</v>
      </c>
      <c r="H750" s="131" t="str">
        <f>IF(B750="","",TEXT(DATE(YEAR(B750),MONTH(B750),DAY(B750)),"yyyy-mm-dd")&amp;"-"&amp;TEXT(COUNTIF($B$8:B750,B750),"00"))</f>
        <v>2026-06-18-23</v>
      </c>
      <c r="I750" s="86" t="str">
        <f t="shared" si="23"/>
        <v>LENC</v>
      </c>
      <c r="J750" s="86" t="str">
        <f t="shared" si="22"/>
        <v>26</v>
      </c>
      <c r="K750" s="77" t="s">
        <v>69</v>
      </c>
      <c r="L750" s="77">
        <v>1</v>
      </c>
      <c r="M750" s="77" t="s">
        <v>69</v>
      </c>
      <c r="N750" s="88"/>
      <c r="O750" s="77" t="s">
        <v>121</v>
      </c>
      <c r="P750" s="77"/>
      <c r="Q750" s="31"/>
      <c r="R750" s="63"/>
    </row>
    <row r="751" spans="1:18" ht="39.75" hidden="1" customHeight="1" x14ac:dyDescent="0.25">
      <c r="A751" s="78">
        <f>IF(B751="","",COUNTA($B$7:B750))</f>
        <v>744</v>
      </c>
      <c r="B751" s="85">
        <v>46191</v>
      </c>
      <c r="C751" s="77" t="s">
        <v>1076</v>
      </c>
      <c r="D751" s="77" t="s">
        <v>1611</v>
      </c>
      <c r="E751" s="77" t="s">
        <v>1078</v>
      </c>
      <c r="F751" s="77" t="s">
        <v>69</v>
      </c>
      <c r="G751" s="77">
        <v>21717</v>
      </c>
      <c r="H751" s="131" t="str">
        <f>IF(B751="","",TEXT(DATE(YEAR(B751),MONTH(B751),DAY(B751)),"yyyy-mm-dd")&amp;"-"&amp;TEXT(COUNTIF($B$8:B751,B751),"00"))</f>
        <v>2026-06-18-24</v>
      </c>
      <c r="I751" s="86" t="str">
        <f t="shared" si="23"/>
        <v>LENC</v>
      </c>
      <c r="J751" s="86" t="str">
        <f t="shared" si="22"/>
        <v>26</v>
      </c>
      <c r="K751" s="77" t="s">
        <v>69</v>
      </c>
      <c r="L751" s="77">
        <v>1</v>
      </c>
      <c r="M751" s="77" t="s">
        <v>69</v>
      </c>
      <c r="N751" s="88"/>
      <c r="O751" s="77" t="s">
        <v>121</v>
      </c>
      <c r="P751" s="77"/>
      <c r="Q751" s="31"/>
      <c r="R751" s="63"/>
    </row>
    <row r="752" spans="1:18" ht="39.75" hidden="1" customHeight="1" x14ac:dyDescent="0.25">
      <c r="A752" s="78">
        <f>IF(B752="","",COUNTA($B$7:B751))</f>
        <v>745</v>
      </c>
      <c r="B752" s="85">
        <v>46191</v>
      </c>
      <c r="C752" s="77" t="s">
        <v>1076</v>
      </c>
      <c r="D752" s="77" t="s">
        <v>1573</v>
      </c>
      <c r="E752" s="77" t="s">
        <v>1078</v>
      </c>
      <c r="F752" s="77" t="s">
        <v>69</v>
      </c>
      <c r="G752" s="77">
        <v>21714</v>
      </c>
      <c r="H752" s="131" t="str">
        <f>IF(B752="","",TEXT(DATE(YEAR(B752),MONTH(B752),DAY(B752)),"yyyy-mm-dd")&amp;"-"&amp;TEXT(COUNTIF($B$8:B752,B752),"00"))</f>
        <v>2026-06-18-25</v>
      </c>
      <c r="I752" s="86" t="str">
        <f t="shared" si="23"/>
        <v>LENC</v>
      </c>
      <c r="J752" s="86" t="str">
        <f t="shared" si="22"/>
        <v>26</v>
      </c>
      <c r="K752" s="77" t="s">
        <v>69</v>
      </c>
      <c r="L752" s="77">
        <v>1</v>
      </c>
      <c r="M752" s="77" t="s">
        <v>69</v>
      </c>
      <c r="N752" s="88"/>
      <c r="O752" s="77" t="s">
        <v>121</v>
      </c>
      <c r="P752" s="77"/>
      <c r="Q752" s="31"/>
      <c r="R752" s="63"/>
    </row>
    <row r="753" spans="1:18" ht="39.75" hidden="1" customHeight="1" x14ac:dyDescent="0.25">
      <c r="A753" s="78">
        <f>IF(B753="","",COUNTA($B$7:B752))</f>
        <v>746</v>
      </c>
      <c r="B753" s="85">
        <v>46191</v>
      </c>
      <c r="C753" s="77" t="s">
        <v>1076</v>
      </c>
      <c r="D753" s="77" t="s">
        <v>1611</v>
      </c>
      <c r="E753" s="77" t="s">
        <v>1078</v>
      </c>
      <c r="F753" s="77" t="s">
        <v>69</v>
      </c>
      <c r="G753" s="77">
        <v>21711</v>
      </c>
      <c r="H753" s="131" t="str">
        <f>IF(B753="","",TEXT(DATE(YEAR(B753),MONTH(B753),DAY(B753)),"yyyy-mm-dd")&amp;"-"&amp;TEXT(COUNTIF($B$8:B753,B753),"00"))</f>
        <v>2026-06-18-26</v>
      </c>
      <c r="I753" s="86" t="str">
        <f t="shared" si="23"/>
        <v>LENC</v>
      </c>
      <c r="J753" s="86" t="str">
        <f t="shared" si="22"/>
        <v>26</v>
      </c>
      <c r="K753" s="77" t="s">
        <v>69</v>
      </c>
      <c r="L753" s="77">
        <v>1</v>
      </c>
      <c r="M753" s="77" t="s">
        <v>69</v>
      </c>
      <c r="N753" s="88"/>
      <c r="O753" s="77" t="s">
        <v>121</v>
      </c>
      <c r="P753" s="77"/>
      <c r="Q753" s="31"/>
      <c r="R753" s="63"/>
    </row>
    <row r="754" spans="1:18" ht="39.75" hidden="1" customHeight="1" x14ac:dyDescent="0.25">
      <c r="A754" s="78">
        <f>IF(B754="","",COUNTA($B$7:B753))</f>
        <v>747</v>
      </c>
      <c r="B754" s="85">
        <v>46191</v>
      </c>
      <c r="C754" s="77" t="s">
        <v>1076</v>
      </c>
      <c r="D754" s="77" t="s">
        <v>998</v>
      </c>
      <c r="E754" s="77" t="s">
        <v>1078</v>
      </c>
      <c r="F754" s="77" t="s">
        <v>69</v>
      </c>
      <c r="G754" s="77">
        <v>21718</v>
      </c>
      <c r="H754" s="131" t="str">
        <f>IF(B754="","",TEXT(DATE(YEAR(B754),MONTH(B754),DAY(B754)),"yyyy-mm-dd")&amp;"-"&amp;TEXT(COUNTIF($B$8:B754,B754),"00"))</f>
        <v>2026-06-18-27</v>
      </c>
      <c r="I754" s="86" t="str">
        <f t="shared" si="23"/>
        <v>LENC</v>
      </c>
      <c r="J754" s="86" t="str">
        <f t="shared" si="22"/>
        <v>26</v>
      </c>
      <c r="K754" s="77" t="s">
        <v>69</v>
      </c>
      <c r="L754" s="77">
        <v>1</v>
      </c>
      <c r="M754" s="77" t="s">
        <v>69</v>
      </c>
      <c r="N754" s="88"/>
      <c r="O754" s="77" t="s">
        <v>121</v>
      </c>
      <c r="P754" s="77"/>
      <c r="Q754" s="31"/>
      <c r="R754" s="63"/>
    </row>
    <row r="755" spans="1:18" ht="39.75" hidden="1" customHeight="1" x14ac:dyDescent="0.25">
      <c r="A755" s="78">
        <f>IF(B755="","",COUNTA($B$7:B754))</f>
        <v>748</v>
      </c>
      <c r="B755" s="85">
        <v>46191</v>
      </c>
      <c r="C755" s="77" t="s">
        <v>1076</v>
      </c>
      <c r="D755" s="77" t="s">
        <v>1612</v>
      </c>
      <c r="E755" s="77" t="s">
        <v>1078</v>
      </c>
      <c r="F755" s="77" t="s">
        <v>69</v>
      </c>
      <c r="G755" s="77">
        <v>21720</v>
      </c>
      <c r="H755" s="131" t="str">
        <f>IF(B755="","",TEXT(DATE(YEAR(B755),MONTH(B755),DAY(B755)),"yyyy-mm-dd")&amp;"-"&amp;TEXT(COUNTIF($B$8:B755,B755),"00"))</f>
        <v>2026-06-18-28</v>
      </c>
      <c r="I755" s="86" t="str">
        <f t="shared" si="23"/>
        <v>LENC</v>
      </c>
      <c r="J755" s="86" t="str">
        <f t="shared" si="22"/>
        <v>26</v>
      </c>
      <c r="K755" s="77" t="s">
        <v>69</v>
      </c>
      <c r="L755" s="77">
        <v>1</v>
      </c>
      <c r="M755" s="77" t="s">
        <v>69</v>
      </c>
      <c r="N755" s="88"/>
      <c r="O755" s="77" t="s">
        <v>121</v>
      </c>
      <c r="P755" s="77"/>
      <c r="Q755" s="31"/>
      <c r="R755" s="63"/>
    </row>
    <row r="756" spans="1:18" ht="39.75" hidden="1" customHeight="1" x14ac:dyDescent="0.25">
      <c r="A756" s="78">
        <f>IF(B756="","",COUNTA($B$7:B755))</f>
        <v>749</v>
      </c>
      <c r="B756" s="85">
        <v>46205</v>
      </c>
      <c r="C756" s="77" t="s">
        <v>122</v>
      </c>
      <c r="D756" s="77" t="s">
        <v>135</v>
      </c>
      <c r="E756" s="77" t="s">
        <v>1613</v>
      </c>
      <c r="F756" s="77" t="s">
        <v>69</v>
      </c>
      <c r="G756" s="129">
        <v>20905</v>
      </c>
      <c r="H756" s="131" t="str">
        <f>IF(B756="","",TEXT(DATE(YEAR(B756),MONTH(B756),DAY(B756)),"yyyy-mm-dd")&amp;"-"&amp;TEXT(COUNTIF($B$8:B756,B756),"00"))</f>
        <v>2026-07-02-01</v>
      </c>
      <c r="I756" s="86" t="str">
        <f t="shared" si="23"/>
        <v>LENC</v>
      </c>
      <c r="J756" s="86" t="str">
        <f t="shared" si="22"/>
        <v>26</v>
      </c>
      <c r="K756" s="77" t="s">
        <v>1614</v>
      </c>
      <c r="L756" s="77">
        <v>1</v>
      </c>
      <c r="M756" s="77" t="s">
        <v>1615</v>
      </c>
      <c r="N756" s="88" t="s">
        <v>166</v>
      </c>
      <c r="O756" s="77" t="s">
        <v>121</v>
      </c>
      <c r="P756" s="77"/>
      <c r="Q756" s="31"/>
      <c r="R756" s="63"/>
    </row>
    <row r="757" spans="1:18" ht="39.75" hidden="1" customHeight="1" x14ac:dyDescent="0.25">
      <c r="A757" s="78">
        <f>IF(B757="","",COUNTA($B$7:B756))</f>
        <v>750</v>
      </c>
      <c r="B757" s="85">
        <v>46205</v>
      </c>
      <c r="C757" s="77" t="s">
        <v>122</v>
      </c>
      <c r="D757" s="77" t="s">
        <v>135</v>
      </c>
      <c r="E757" s="77" t="s">
        <v>1613</v>
      </c>
      <c r="F757" s="77" t="s">
        <v>69</v>
      </c>
      <c r="G757" s="77">
        <v>20802</v>
      </c>
      <c r="H757" s="131" t="str">
        <f>IF(B757="","",TEXT(DATE(YEAR(B757),MONTH(B757),DAY(B757)),"yyyy-mm-dd")&amp;"-"&amp;TEXT(COUNTIF($B$8:B757,B757),"00"))</f>
        <v>2026-07-02-02</v>
      </c>
      <c r="I757" s="86" t="str">
        <f t="shared" si="23"/>
        <v>LENC</v>
      </c>
      <c r="J757" s="86" t="str">
        <f t="shared" si="22"/>
        <v>26</v>
      </c>
      <c r="K757" s="77" t="s">
        <v>1614</v>
      </c>
      <c r="L757" s="77">
        <v>1</v>
      </c>
      <c r="M757" s="77" t="s">
        <v>1615</v>
      </c>
      <c r="N757" s="88" t="s">
        <v>166</v>
      </c>
      <c r="O757" s="77" t="s">
        <v>121</v>
      </c>
      <c r="P757" s="77"/>
      <c r="Q757" s="31"/>
      <c r="R757" s="63"/>
    </row>
    <row r="758" spans="1:18" ht="39.75" hidden="1" customHeight="1" x14ac:dyDescent="0.25">
      <c r="A758" s="78">
        <f>IF(B758="","",COUNTA($B$7:B757))</f>
        <v>751</v>
      </c>
      <c r="B758" s="85">
        <v>46205</v>
      </c>
      <c r="C758" s="77" t="s">
        <v>122</v>
      </c>
      <c r="D758" s="77" t="s">
        <v>135</v>
      </c>
      <c r="E758" s="77" t="s">
        <v>1613</v>
      </c>
      <c r="F758" s="77" t="s">
        <v>69</v>
      </c>
      <c r="G758" s="77">
        <v>20906</v>
      </c>
      <c r="H758" s="131" t="str">
        <f>IF(B758="","",TEXT(DATE(YEAR(B758),MONTH(B758),DAY(B758)),"yyyy-mm-dd")&amp;"-"&amp;TEXT(COUNTIF($B$8:B758,B758),"00"))</f>
        <v>2026-07-02-03</v>
      </c>
      <c r="I758" s="86" t="str">
        <f t="shared" si="23"/>
        <v>LENC</v>
      </c>
      <c r="J758" s="86" t="str">
        <f t="shared" si="22"/>
        <v>26</v>
      </c>
      <c r="K758" s="77" t="s">
        <v>1614</v>
      </c>
      <c r="L758" s="77">
        <v>1</v>
      </c>
      <c r="M758" s="77" t="s">
        <v>1615</v>
      </c>
      <c r="N758" s="88" t="s">
        <v>166</v>
      </c>
      <c r="O758" s="77" t="s">
        <v>121</v>
      </c>
      <c r="P758" s="77"/>
      <c r="Q758" s="31"/>
      <c r="R758" s="63"/>
    </row>
    <row r="759" spans="1:18" ht="39.75" hidden="1" customHeight="1" x14ac:dyDescent="0.25">
      <c r="A759" s="78">
        <f>IF(B759="","",COUNTA($B$7:B758))</f>
        <v>752</v>
      </c>
      <c r="B759" s="85">
        <v>46205</v>
      </c>
      <c r="C759" s="77" t="s">
        <v>122</v>
      </c>
      <c r="D759" s="77" t="s">
        <v>135</v>
      </c>
      <c r="E759" s="77" t="s">
        <v>1613</v>
      </c>
      <c r="F759" s="77" t="s">
        <v>69</v>
      </c>
      <c r="G759" s="77">
        <v>20906</v>
      </c>
      <c r="H759" s="131" t="str">
        <f>IF(B759="","",TEXT(DATE(YEAR(B759),MONTH(B759),DAY(B759)),"yyyy-mm-dd")&amp;"-"&amp;TEXT(COUNTIF($B$8:B759,B759),"00"))</f>
        <v>2026-07-02-04</v>
      </c>
      <c r="I759" s="86" t="str">
        <f t="shared" si="23"/>
        <v>LENC</v>
      </c>
      <c r="J759" s="86" t="str">
        <f t="shared" si="22"/>
        <v>26</v>
      </c>
      <c r="K759" s="77" t="s">
        <v>1614</v>
      </c>
      <c r="L759" s="77">
        <v>1</v>
      </c>
      <c r="M759" s="77" t="s">
        <v>1615</v>
      </c>
      <c r="N759" s="88" t="s">
        <v>166</v>
      </c>
      <c r="O759" s="77" t="s">
        <v>121</v>
      </c>
      <c r="P759" s="77"/>
      <c r="Q759" s="31"/>
      <c r="R759" s="63"/>
    </row>
    <row r="760" spans="1:18" ht="39.75" hidden="1" customHeight="1" x14ac:dyDescent="0.25">
      <c r="A760" s="78">
        <f>IF(B760="","",COUNTA($B$7:B759))</f>
        <v>753</v>
      </c>
      <c r="B760" s="85">
        <v>46205</v>
      </c>
      <c r="C760" s="77" t="s">
        <v>305</v>
      </c>
      <c r="D760" s="77" t="s">
        <v>1423</v>
      </c>
      <c r="E760" s="77" t="s">
        <v>1616</v>
      </c>
      <c r="F760" s="77" t="s">
        <v>69</v>
      </c>
      <c r="G760" s="77" t="s">
        <v>1617</v>
      </c>
      <c r="H760" s="131" t="str">
        <f>IF(B760="","",TEXT(DATE(YEAR(B760),MONTH(B760),DAY(B760)),"yyyy-mm-dd")&amp;"-"&amp;TEXT(COUNTIF($B$8:B760,B760),"00"))</f>
        <v>2026-07-02-05</v>
      </c>
      <c r="I760" s="86" t="str">
        <f t="shared" si="23"/>
        <v>LENC</v>
      </c>
      <c r="J760" s="86" t="str">
        <f t="shared" si="22"/>
        <v>26</v>
      </c>
      <c r="K760" s="77" t="s">
        <v>1618</v>
      </c>
      <c r="L760" s="77">
        <v>1</v>
      </c>
      <c r="M760" s="77" t="s">
        <v>1619</v>
      </c>
      <c r="N760" s="88"/>
      <c r="O760" s="77" t="s">
        <v>121</v>
      </c>
      <c r="P760" s="77"/>
      <c r="Q760" s="31"/>
      <c r="R760" s="63"/>
    </row>
    <row r="761" spans="1:18" ht="39.75" hidden="1" customHeight="1" x14ac:dyDescent="0.25">
      <c r="A761" s="78">
        <f>IF(B761="","",COUNTA($B$7:B760))</f>
        <v>754</v>
      </c>
      <c r="B761" s="85">
        <v>46205</v>
      </c>
      <c r="C761" s="77" t="s">
        <v>1377</v>
      </c>
      <c r="D761" s="77" t="s">
        <v>987</v>
      </c>
      <c r="E761" s="77" t="s">
        <v>1321</v>
      </c>
      <c r="F761" s="77" t="s">
        <v>69</v>
      </c>
      <c r="G761" s="77" t="s">
        <v>69</v>
      </c>
      <c r="H761" s="131" t="str">
        <f>IF(B761="","",TEXT(DATE(YEAR(B761),MONTH(B761),DAY(B761)),"yyyy-mm-dd")&amp;"-"&amp;TEXT(COUNTIF($B$8:B761,B761),"00"))</f>
        <v>2026-07-02-06</v>
      </c>
      <c r="I761" s="86" t="str">
        <f t="shared" si="23"/>
        <v>LENC</v>
      </c>
      <c r="J761" s="86" t="str">
        <f t="shared" si="22"/>
        <v>26</v>
      </c>
      <c r="K761" s="77" t="s">
        <v>1620</v>
      </c>
      <c r="L761" s="77">
        <v>1</v>
      </c>
      <c r="M761" s="77" t="s">
        <v>1621</v>
      </c>
      <c r="N761" s="88" t="s">
        <v>711</v>
      </c>
      <c r="O761" s="77" t="s">
        <v>121</v>
      </c>
      <c r="P761" s="77"/>
      <c r="Q761" s="31"/>
      <c r="R761" s="63"/>
    </row>
    <row r="762" spans="1:18" ht="39.75" hidden="1" customHeight="1" x14ac:dyDescent="0.25">
      <c r="A762" s="78">
        <f>IF(B762="","",COUNTA($B$7:B761))</f>
        <v>755</v>
      </c>
      <c r="B762" s="85">
        <v>46205</v>
      </c>
      <c r="C762" s="77" t="s">
        <v>1377</v>
      </c>
      <c r="D762" s="77" t="s">
        <v>1622</v>
      </c>
      <c r="E762" s="77" t="s">
        <v>1321</v>
      </c>
      <c r="F762" s="77" t="s">
        <v>69</v>
      </c>
      <c r="G762" s="77" t="s">
        <v>69</v>
      </c>
      <c r="H762" s="131" t="str">
        <f>IF(B762="","",TEXT(DATE(YEAR(B762),MONTH(B762),DAY(B762)),"yyyy-mm-dd")&amp;"-"&amp;TEXT(COUNTIF($B$8:B762,B762),"00"))</f>
        <v>2026-07-02-07</v>
      </c>
      <c r="I762" s="86" t="str">
        <f t="shared" si="23"/>
        <v>LENC</v>
      </c>
      <c r="J762" s="86" t="str">
        <f t="shared" si="22"/>
        <v>26</v>
      </c>
      <c r="K762" s="77" t="s">
        <v>1620</v>
      </c>
      <c r="L762" s="77">
        <v>1</v>
      </c>
      <c r="M762" s="77" t="s">
        <v>1621</v>
      </c>
      <c r="N762" s="88" t="s">
        <v>711</v>
      </c>
      <c r="O762" s="77" t="s">
        <v>121</v>
      </c>
      <c r="P762" s="77"/>
      <c r="Q762" s="31"/>
      <c r="R762" s="63"/>
    </row>
    <row r="763" spans="1:18" ht="39.75" hidden="1" customHeight="1" x14ac:dyDescent="0.25">
      <c r="A763" s="78">
        <f>IF(B763="","",COUNTA($B$7:B762))</f>
        <v>756</v>
      </c>
      <c r="B763" s="85">
        <v>46206</v>
      </c>
      <c r="C763" s="77" t="s">
        <v>1576</v>
      </c>
      <c r="D763" s="77" t="s">
        <v>1128</v>
      </c>
      <c r="E763" s="77" t="s">
        <v>1623</v>
      </c>
      <c r="F763" s="77" t="s">
        <v>69</v>
      </c>
      <c r="G763" s="77" t="s">
        <v>69</v>
      </c>
      <c r="H763" s="131" t="str">
        <f>IF(B763="","",TEXT(DATE(YEAR(B763),MONTH(B763),DAY(B763)),"yyyy-mm-dd")&amp;"-"&amp;TEXT(COUNTIF($B$8:B763,B763),"00"))</f>
        <v>2026-07-03-01</v>
      </c>
      <c r="I763" s="86" t="str">
        <f t="shared" si="23"/>
        <v>LENC</v>
      </c>
      <c r="J763" s="86" t="str">
        <f t="shared" si="22"/>
        <v>26</v>
      </c>
      <c r="K763" s="77" t="s">
        <v>69</v>
      </c>
      <c r="L763" s="77">
        <v>1</v>
      </c>
      <c r="M763" s="77" t="s">
        <v>69</v>
      </c>
      <c r="N763" s="88" t="s">
        <v>137</v>
      </c>
      <c r="O763" s="77" t="s">
        <v>121</v>
      </c>
      <c r="P763" s="77"/>
      <c r="Q763" s="31"/>
      <c r="R763" s="63"/>
    </row>
    <row r="764" spans="1:18" ht="39.75" hidden="1" customHeight="1" x14ac:dyDescent="0.25">
      <c r="A764" s="78">
        <f>IF(B764="","",COUNTA($B$7:B763))</f>
        <v>757</v>
      </c>
      <c r="B764" s="85">
        <v>46206</v>
      </c>
      <c r="C764" s="77" t="s">
        <v>286</v>
      </c>
      <c r="D764" s="77" t="s">
        <v>1624</v>
      </c>
      <c r="E764" s="77" t="s">
        <v>545</v>
      </c>
      <c r="F764" s="77" t="s">
        <v>69</v>
      </c>
      <c r="G764" s="129" t="s">
        <v>1625</v>
      </c>
      <c r="H764" s="131" t="str">
        <f>IF(B764="","",TEXT(DATE(YEAR(B764),MONTH(B764),DAY(B764)),"yyyy-mm-dd")&amp;"-"&amp;TEXT(COUNTIF($B$8:B764,B764),"00"))</f>
        <v>2026-07-03-02</v>
      </c>
      <c r="I764" s="86" t="str">
        <f t="shared" si="23"/>
        <v>LENC</v>
      </c>
      <c r="J764" s="86" t="str">
        <f t="shared" si="22"/>
        <v>26</v>
      </c>
      <c r="K764" s="77" t="s">
        <v>1626</v>
      </c>
      <c r="L764" s="77">
        <v>1</v>
      </c>
      <c r="M764" s="77" t="s">
        <v>1627</v>
      </c>
      <c r="N764" s="88" t="s">
        <v>137</v>
      </c>
      <c r="O764" s="77" t="s">
        <v>121</v>
      </c>
      <c r="P764" s="77"/>
      <c r="Q764" s="31"/>
      <c r="R764" s="63"/>
    </row>
    <row r="765" spans="1:18" ht="39.75" hidden="1" customHeight="1" x14ac:dyDescent="0.25">
      <c r="A765" s="78">
        <f>IF(B765="","",COUNTA($B$7:B764))</f>
        <v>758</v>
      </c>
      <c r="B765" s="85">
        <v>46206</v>
      </c>
      <c r="C765" s="77" t="s">
        <v>286</v>
      </c>
      <c r="D765" s="77" t="s">
        <v>1628</v>
      </c>
      <c r="E765" s="77" t="s">
        <v>545</v>
      </c>
      <c r="F765" s="77" t="s">
        <v>69</v>
      </c>
      <c r="G765" s="129" t="s">
        <v>1629</v>
      </c>
      <c r="H765" s="131" t="str">
        <f>IF(B765="","",TEXT(DATE(YEAR(B765),MONTH(B765),DAY(B765)),"yyyy-mm-dd")&amp;"-"&amp;TEXT(COUNTIF($B$8:B765,B765),"00"))</f>
        <v>2026-07-03-03</v>
      </c>
      <c r="I765" s="86" t="str">
        <f t="shared" si="23"/>
        <v>LENC</v>
      </c>
      <c r="J765" s="86" t="str">
        <f t="shared" si="22"/>
        <v>26</v>
      </c>
      <c r="K765" s="77" t="s">
        <v>69</v>
      </c>
      <c r="L765" s="77">
        <v>1</v>
      </c>
      <c r="M765" s="77" t="s">
        <v>69</v>
      </c>
      <c r="N765" s="88" t="s">
        <v>137</v>
      </c>
      <c r="O765" s="77" t="s">
        <v>121</v>
      </c>
      <c r="P765" s="77"/>
      <c r="Q765" s="31"/>
      <c r="R765" s="63"/>
    </row>
    <row r="766" spans="1:18" ht="39.75" hidden="1" customHeight="1" x14ac:dyDescent="0.25">
      <c r="A766" s="78">
        <f>IF(B766="","",COUNTA($B$7:B765))</f>
        <v>759</v>
      </c>
      <c r="B766" s="85">
        <v>46206</v>
      </c>
      <c r="C766" s="77" t="s">
        <v>286</v>
      </c>
      <c r="D766" s="77" t="s">
        <v>1630</v>
      </c>
      <c r="E766" s="77" t="s">
        <v>545</v>
      </c>
      <c r="F766" s="77" t="s">
        <v>69</v>
      </c>
      <c r="G766" s="129" t="s">
        <v>1631</v>
      </c>
      <c r="H766" s="131" t="str">
        <f>IF(B766="","",TEXT(DATE(YEAR(B766),MONTH(B766),DAY(B766)),"yyyy-mm-dd")&amp;"-"&amp;TEXT(COUNTIF($B$8:B766,B766),"00"))</f>
        <v>2026-07-03-04</v>
      </c>
      <c r="I766" s="86" t="str">
        <f t="shared" si="23"/>
        <v>LENC</v>
      </c>
      <c r="J766" s="86" t="str">
        <f t="shared" si="22"/>
        <v>26</v>
      </c>
      <c r="K766" s="77" t="s">
        <v>1632</v>
      </c>
      <c r="L766" s="77">
        <v>1</v>
      </c>
      <c r="M766" s="77" t="s">
        <v>1633</v>
      </c>
      <c r="N766" s="88" t="s">
        <v>137</v>
      </c>
      <c r="O766" s="77" t="s">
        <v>121</v>
      </c>
      <c r="P766" s="77"/>
      <c r="Q766" s="31"/>
      <c r="R766" s="63"/>
    </row>
    <row r="767" spans="1:18" ht="39.75" hidden="1" customHeight="1" x14ac:dyDescent="0.25">
      <c r="A767" s="78">
        <f>IF(B767="","",COUNTA($B$7:B766))</f>
        <v>760</v>
      </c>
      <c r="B767" s="85">
        <v>46206</v>
      </c>
      <c r="C767" s="77" t="s">
        <v>286</v>
      </c>
      <c r="D767" s="77" t="s">
        <v>261</v>
      </c>
      <c r="E767" s="77" t="s">
        <v>545</v>
      </c>
      <c r="F767" s="77" t="s">
        <v>69</v>
      </c>
      <c r="G767" s="129" t="s">
        <v>1634</v>
      </c>
      <c r="H767" s="131" t="str">
        <f>IF(B767="","",TEXT(DATE(YEAR(B767),MONTH(B767),DAY(B767)),"yyyy-mm-dd")&amp;"-"&amp;TEXT(COUNTIF($B$8:B767,B767),"00"))</f>
        <v>2026-07-03-05</v>
      </c>
      <c r="I767" s="86" t="str">
        <f t="shared" si="23"/>
        <v>LENC</v>
      </c>
      <c r="J767" s="86" t="str">
        <f t="shared" si="22"/>
        <v>26</v>
      </c>
      <c r="K767" s="77" t="s">
        <v>1626</v>
      </c>
      <c r="L767" s="77">
        <v>1</v>
      </c>
      <c r="M767" s="77" t="s">
        <v>1627</v>
      </c>
      <c r="N767" s="88" t="s">
        <v>137</v>
      </c>
      <c r="O767" s="77" t="s">
        <v>121</v>
      </c>
      <c r="P767" s="77"/>
      <c r="Q767" s="31"/>
      <c r="R767" s="63"/>
    </row>
    <row r="768" spans="1:18" ht="39.75" hidden="1" customHeight="1" x14ac:dyDescent="0.25">
      <c r="A768" s="78">
        <f>IF(B768="","",COUNTA($B$7:B767))</f>
        <v>761</v>
      </c>
      <c r="B768" s="85">
        <v>46206</v>
      </c>
      <c r="C768" s="77" t="s">
        <v>286</v>
      </c>
      <c r="D768" s="77" t="s">
        <v>1519</v>
      </c>
      <c r="E768" s="77" t="s">
        <v>545</v>
      </c>
      <c r="F768" s="77" t="s">
        <v>69</v>
      </c>
      <c r="G768" s="129" t="s">
        <v>1635</v>
      </c>
      <c r="H768" s="131" t="str">
        <f>IF(B768="","",TEXT(DATE(YEAR(B768),MONTH(B768),DAY(B768)),"yyyy-mm-dd")&amp;"-"&amp;TEXT(COUNTIF($B$8:B768,B768),"00"))</f>
        <v>2026-07-03-06</v>
      </c>
      <c r="I768" s="86" t="str">
        <f t="shared" si="23"/>
        <v>LENC</v>
      </c>
      <c r="J768" s="86" t="str">
        <f t="shared" si="22"/>
        <v>26</v>
      </c>
      <c r="K768" s="77" t="s">
        <v>1632</v>
      </c>
      <c r="L768" s="77">
        <v>1</v>
      </c>
      <c r="M768" s="77" t="s">
        <v>1633</v>
      </c>
      <c r="N768" s="88" t="s">
        <v>137</v>
      </c>
      <c r="O768" s="77" t="s">
        <v>121</v>
      </c>
      <c r="P768" s="77"/>
      <c r="Q768" s="31"/>
      <c r="R768" s="63"/>
    </row>
    <row r="769" spans="1:18" ht="39.75" hidden="1" customHeight="1" x14ac:dyDescent="0.25">
      <c r="A769" s="78">
        <f>IF(B769="","",COUNTA($B$7:B768))</f>
        <v>762</v>
      </c>
      <c r="B769" s="85">
        <v>46206</v>
      </c>
      <c r="C769" s="77" t="s">
        <v>286</v>
      </c>
      <c r="D769" s="77" t="s">
        <v>261</v>
      </c>
      <c r="E769" s="77" t="s">
        <v>545</v>
      </c>
      <c r="F769" s="77" t="s">
        <v>69</v>
      </c>
      <c r="G769" s="129" t="s">
        <v>1636</v>
      </c>
      <c r="H769" s="131" t="str">
        <f>IF(B769="","",TEXT(DATE(YEAR(B769),MONTH(B769),DAY(B769)),"yyyy-mm-dd")&amp;"-"&amp;TEXT(COUNTIF($B$8:B769,B769),"00"))</f>
        <v>2026-07-03-07</v>
      </c>
      <c r="I769" s="86" t="str">
        <f t="shared" si="23"/>
        <v>LENC</v>
      </c>
      <c r="J769" s="86" t="str">
        <f t="shared" si="22"/>
        <v>26</v>
      </c>
      <c r="K769" s="77" t="s">
        <v>1626</v>
      </c>
      <c r="L769" s="77">
        <v>1</v>
      </c>
      <c r="M769" s="77" t="s">
        <v>1627</v>
      </c>
      <c r="N769" s="88" t="s">
        <v>137</v>
      </c>
      <c r="O769" s="77" t="s">
        <v>121</v>
      </c>
      <c r="P769" s="77"/>
      <c r="Q769" s="31"/>
      <c r="R769" s="63"/>
    </row>
    <row r="770" spans="1:18" ht="39.75" hidden="1" customHeight="1" x14ac:dyDescent="0.25">
      <c r="A770" s="78">
        <f>IF(B770="","",COUNTA($B$7:B769))</f>
        <v>763</v>
      </c>
      <c r="B770" s="85">
        <v>46206</v>
      </c>
      <c r="C770" s="77" t="s">
        <v>286</v>
      </c>
      <c r="D770" s="77" t="s">
        <v>261</v>
      </c>
      <c r="E770" s="77" t="s">
        <v>545</v>
      </c>
      <c r="F770" s="77" t="s">
        <v>69</v>
      </c>
      <c r="G770" s="129" t="s">
        <v>1637</v>
      </c>
      <c r="H770" s="131" t="str">
        <f>IF(B770="","",TEXT(DATE(YEAR(B770),MONTH(B770),DAY(B770)),"yyyy-mm-dd")&amp;"-"&amp;TEXT(COUNTIF($B$8:B770,B770),"00"))</f>
        <v>2026-07-03-08</v>
      </c>
      <c r="I770" s="86" t="str">
        <f t="shared" si="23"/>
        <v>LENC</v>
      </c>
      <c r="J770" s="86" t="str">
        <f t="shared" si="22"/>
        <v>26</v>
      </c>
      <c r="K770" s="77" t="s">
        <v>1632</v>
      </c>
      <c r="L770" s="77">
        <v>1</v>
      </c>
      <c r="M770" s="77" t="s">
        <v>1633</v>
      </c>
      <c r="N770" s="88" t="s">
        <v>137</v>
      </c>
      <c r="O770" s="77" t="s">
        <v>121</v>
      </c>
      <c r="P770" s="77"/>
      <c r="Q770" s="31"/>
      <c r="R770" s="63"/>
    </row>
    <row r="771" spans="1:18" ht="39.75" hidden="1" customHeight="1" x14ac:dyDescent="0.25">
      <c r="A771" s="78">
        <f>IF(B771="","",COUNTA($B$7:B770))</f>
        <v>764</v>
      </c>
      <c r="B771" s="85">
        <v>46206</v>
      </c>
      <c r="C771" s="77" t="s">
        <v>286</v>
      </c>
      <c r="D771" s="77" t="s">
        <v>261</v>
      </c>
      <c r="E771" s="77" t="s">
        <v>545</v>
      </c>
      <c r="F771" s="77" t="s">
        <v>69</v>
      </c>
      <c r="G771" s="129" t="s">
        <v>1638</v>
      </c>
      <c r="H771" s="131" t="str">
        <f>IF(B771="","",TEXT(DATE(YEAR(B771),MONTH(B771),DAY(B771)),"yyyy-mm-dd")&amp;"-"&amp;TEXT(COUNTIF($B$8:B771,B771),"00"))</f>
        <v>2026-07-03-09</v>
      </c>
      <c r="I771" s="86" t="str">
        <f t="shared" si="23"/>
        <v>LENC</v>
      </c>
      <c r="J771" s="86" t="str">
        <f t="shared" si="22"/>
        <v>26</v>
      </c>
      <c r="K771" s="77" t="s">
        <v>1632</v>
      </c>
      <c r="L771" s="77">
        <v>1</v>
      </c>
      <c r="M771" s="77" t="s">
        <v>1633</v>
      </c>
      <c r="N771" s="88" t="s">
        <v>137</v>
      </c>
      <c r="O771" s="77" t="s">
        <v>121</v>
      </c>
      <c r="P771" s="77"/>
      <c r="Q771" s="31"/>
      <c r="R771" s="63"/>
    </row>
    <row r="772" spans="1:18" ht="39.75" hidden="1" customHeight="1" x14ac:dyDescent="0.25">
      <c r="A772" s="78">
        <f>IF(B772="","",COUNTA($B$7:B771))</f>
        <v>765</v>
      </c>
      <c r="B772" s="85">
        <v>46206</v>
      </c>
      <c r="C772" s="77" t="s">
        <v>286</v>
      </c>
      <c r="D772" s="77" t="s">
        <v>261</v>
      </c>
      <c r="E772" s="77" t="s">
        <v>545</v>
      </c>
      <c r="F772" s="77" t="s">
        <v>69</v>
      </c>
      <c r="G772" s="129" t="s">
        <v>1639</v>
      </c>
      <c r="H772" s="131" t="str">
        <f>IF(B772="","",TEXT(DATE(YEAR(B772),MONTH(B772),DAY(B772)),"yyyy-mm-dd")&amp;"-"&amp;TEXT(COUNTIF($B$8:B772,B772),"00"))</f>
        <v>2026-07-03-10</v>
      </c>
      <c r="I772" s="86" t="str">
        <f t="shared" si="23"/>
        <v>LENC</v>
      </c>
      <c r="J772" s="86" t="str">
        <f t="shared" si="22"/>
        <v>26</v>
      </c>
      <c r="K772" s="77" t="s">
        <v>1626</v>
      </c>
      <c r="L772" s="77">
        <v>1</v>
      </c>
      <c r="M772" s="77" t="s">
        <v>1627</v>
      </c>
      <c r="N772" s="88" t="s">
        <v>137</v>
      </c>
      <c r="O772" s="77" t="s">
        <v>121</v>
      </c>
      <c r="P772" s="77"/>
      <c r="Q772" s="31"/>
      <c r="R772" s="63"/>
    </row>
    <row r="773" spans="1:18" ht="39.75" hidden="1" customHeight="1" x14ac:dyDescent="0.25">
      <c r="A773" s="78">
        <f>IF(B773="","",COUNTA($B$7:B772))</f>
        <v>766</v>
      </c>
      <c r="B773" s="85">
        <v>46065</v>
      </c>
      <c r="C773" s="77" t="s">
        <v>448</v>
      </c>
      <c r="D773" s="77" t="s">
        <v>1640</v>
      </c>
      <c r="E773" s="77" t="s">
        <v>448</v>
      </c>
      <c r="F773" s="77" t="s">
        <v>69</v>
      </c>
      <c r="G773" s="129" t="s">
        <v>69</v>
      </c>
      <c r="H773" s="131" t="str">
        <f>IF(B773="","",TEXT(DATE(YEAR(B773),MONTH(B773),DAY(B773)),"yyyy-mm-dd")&amp;"-"&amp;TEXT(COUNTIF($B$8:B773,B773),"00"))</f>
        <v>2026-02-12-04</v>
      </c>
      <c r="I773" s="86" t="str">
        <f t="shared" si="23"/>
        <v>LENC</v>
      </c>
      <c r="J773" s="86" t="str">
        <f t="shared" si="22"/>
        <v>26</v>
      </c>
      <c r="K773" s="77" t="s">
        <v>1641</v>
      </c>
      <c r="L773" s="77">
        <v>3</v>
      </c>
      <c r="M773" s="77" t="s">
        <v>450</v>
      </c>
      <c r="N773" s="88">
        <v>108</v>
      </c>
      <c r="O773" s="77" t="s">
        <v>159</v>
      </c>
      <c r="P773" s="77"/>
      <c r="Q773" s="31"/>
      <c r="R773" s="63"/>
    </row>
    <row r="774" spans="1:18" ht="39.75" hidden="1" customHeight="1" x14ac:dyDescent="0.25">
      <c r="A774" s="78">
        <f>IF(B774="","",COUNTA($B$7:B773))</f>
        <v>767</v>
      </c>
      <c r="B774" s="85">
        <v>46205</v>
      </c>
      <c r="C774" s="77" t="s">
        <v>152</v>
      </c>
      <c r="D774" s="77" t="s">
        <v>1040</v>
      </c>
      <c r="E774" s="77" t="s">
        <v>69</v>
      </c>
      <c r="F774" s="77" t="s">
        <v>69</v>
      </c>
      <c r="G774" s="77">
        <v>21659</v>
      </c>
      <c r="H774" s="131" t="str">
        <f>IF(B774="","",TEXT(DATE(YEAR(B774),MONTH(B774),DAY(B774)),"yyyy-mm-dd")&amp;"-"&amp;TEXT(COUNTIF($B$8:B774,B774),"00"))</f>
        <v>2026-07-02-08</v>
      </c>
      <c r="I774" s="86" t="str">
        <f t="shared" si="23"/>
        <v>LENC</v>
      </c>
      <c r="J774" s="86" t="str">
        <f t="shared" si="22"/>
        <v>26</v>
      </c>
      <c r="K774" s="77" t="s">
        <v>69</v>
      </c>
      <c r="L774" s="77">
        <v>1</v>
      </c>
      <c r="M774" s="77" t="s">
        <v>69</v>
      </c>
      <c r="N774" s="88">
        <v>109</v>
      </c>
      <c r="O774" s="77" t="s">
        <v>159</v>
      </c>
      <c r="P774" s="77"/>
      <c r="Q774" s="31"/>
      <c r="R774" s="63"/>
    </row>
    <row r="775" spans="1:18" ht="39.75" hidden="1" customHeight="1" x14ac:dyDescent="0.25">
      <c r="A775" s="78">
        <f>IF(B775="","",COUNTA($B$7:B774))</f>
        <v>768</v>
      </c>
      <c r="B775" s="85">
        <v>46211</v>
      </c>
      <c r="C775" s="77" t="s">
        <v>1642</v>
      </c>
      <c r="D775" s="77" t="s">
        <v>1643</v>
      </c>
      <c r="E775" s="77" t="s">
        <v>1642</v>
      </c>
      <c r="F775" s="77" t="s">
        <v>1644</v>
      </c>
      <c r="G775" s="77">
        <v>21944</v>
      </c>
      <c r="H775" s="131" t="str">
        <f>IF(B775="","",TEXT(DATE(YEAR(B775),MONTH(B775),DAY(B775)),"yyyy-mm-dd")&amp;"-"&amp;TEXT(COUNTIF($B$8:B775,B775),"00"))</f>
        <v>2026-07-08-01</v>
      </c>
      <c r="I775" s="86" t="str">
        <f t="shared" si="23"/>
        <v>LENC</v>
      </c>
      <c r="J775" s="86" t="str">
        <f t="shared" si="22"/>
        <v>26</v>
      </c>
      <c r="K775" s="77" t="s">
        <v>69</v>
      </c>
      <c r="L775" s="77">
        <v>1</v>
      </c>
      <c r="M775" s="77" t="s">
        <v>69</v>
      </c>
      <c r="N775" s="88" t="s">
        <v>166</v>
      </c>
      <c r="O775" s="77" t="s">
        <v>121</v>
      </c>
      <c r="P775" s="77"/>
      <c r="Q775" s="31"/>
      <c r="R775" s="63"/>
    </row>
    <row r="776" spans="1:18" ht="39.75" hidden="1" customHeight="1" x14ac:dyDescent="0.25">
      <c r="A776" s="78">
        <f>IF(B776="","",COUNTA($B$7:B775))</f>
        <v>769</v>
      </c>
      <c r="B776" s="85">
        <v>46211</v>
      </c>
      <c r="C776" s="77" t="s">
        <v>1642</v>
      </c>
      <c r="D776" s="77" t="s">
        <v>1643</v>
      </c>
      <c r="E776" s="77" t="s">
        <v>1642</v>
      </c>
      <c r="F776" s="77" t="s">
        <v>1644</v>
      </c>
      <c r="G776" s="77">
        <v>21945</v>
      </c>
      <c r="H776" s="131" t="str">
        <f>IF(B776="","",TEXT(DATE(YEAR(B776),MONTH(B776),DAY(B776)),"yyyy-mm-dd")&amp;"-"&amp;TEXT(COUNTIF($B$8:B776,B776),"00"))</f>
        <v>2026-07-08-02</v>
      </c>
      <c r="I776" s="86" t="str">
        <f t="shared" si="23"/>
        <v>LENC</v>
      </c>
      <c r="J776" s="86" t="str">
        <f t="shared" si="22"/>
        <v>26</v>
      </c>
      <c r="K776" s="77" t="s">
        <v>69</v>
      </c>
      <c r="L776" s="77">
        <v>1</v>
      </c>
      <c r="M776" s="77" t="s">
        <v>69</v>
      </c>
      <c r="N776" s="88" t="s">
        <v>166</v>
      </c>
      <c r="O776" s="77" t="s">
        <v>121</v>
      </c>
      <c r="P776" s="77"/>
      <c r="Q776" s="31"/>
      <c r="R776" s="63"/>
    </row>
    <row r="777" spans="1:18" ht="39.75" hidden="1" customHeight="1" x14ac:dyDescent="0.25">
      <c r="A777" s="78">
        <f>IF(B777="","",COUNTA($B$7:B776))</f>
        <v>770</v>
      </c>
      <c r="B777" s="85">
        <v>46211</v>
      </c>
      <c r="C777" s="77" t="s">
        <v>1642</v>
      </c>
      <c r="D777" s="77" t="s">
        <v>1643</v>
      </c>
      <c r="E777" s="77" t="s">
        <v>1642</v>
      </c>
      <c r="F777" s="77" t="s">
        <v>1644</v>
      </c>
      <c r="G777" s="77">
        <v>21946</v>
      </c>
      <c r="H777" s="131" t="str">
        <f>IF(B777="","",TEXT(DATE(YEAR(B777),MONTH(B777),DAY(B777)),"yyyy-mm-dd")&amp;"-"&amp;TEXT(COUNTIF($B$8:B777,B777),"00"))</f>
        <v>2026-07-08-03</v>
      </c>
      <c r="I777" s="86" t="str">
        <f t="shared" si="23"/>
        <v>LENC</v>
      </c>
      <c r="J777" s="86" t="str">
        <f t="shared" si="22"/>
        <v>26</v>
      </c>
      <c r="K777" s="77" t="s">
        <v>69</v>
      </c>
      <c r="L777" s="77">
        <v>1</v>
      </c>
      <c r="M777" s="77" t="s">
        <v>69</v>
      </c>
      <c r="N777" s="88" t="s">
        <v>166</v>
      </c>
      <c r="O777" s="77" t="s">
        <v>121</v>
      </c>
      <c r="P777" s="77"/>
      <c r="Q777" s="31"/>
      <c r="R777" s="63"/>
    </row>
    <row r="778" spans="1:18" ht="39.75" hidden="1" customHeight="1" x14ac:dyDescent="0.25">
      <c r="A778" s="78">
        <f>IF(B778="","",COUNTA($B$7:B777))</f>
        <v>771</v>
      </c>
      <c r="B778" s="85">
        <v>46211</v>
      </c>
      <c r="C778" s="77" t="s">
        <v>1642</v>
      </c>
      <c r="D778" s="77" t="s">
        <v>1643</v>
      </c>
      <c r="E778" s="77" t="s">
        <v>1642</v>
      </c>
      <c r="F778" s="77" t="s">
        <v>1644</v>
      </c>
      <c r="G778" s="77">
        <v>21947</v>
      </c>
      <c r="H778" s="131" t="str">
        <f>IF(B778="","",TEXT(DATE(YEAR(B778),MONTH(B778),DAY(B778)),"yyyy-mm-dd")&amp;"-"&amp;TEXT(COUNTIF($B$8:B778,B778),"00"))</f>
        <v>2026-07-08-04</v>
      </c>
      <c r="I778" s="86" t="str">
        <f t="shared" si="23"/>
        <v>LENC</v>
      </c>
      <c r="J778" s="86" t="str">
        <f t="shared" si="22"/>
        <v>26</v>
      </c>
      <c r="K778" s="77" t="s">
        <v>69</v>
      </c>
      <c r="L778" s="77">
        <v>1</v>
      </c>
      <c r="M778" s="77" t="s">
        <v>69</v>
      </c>
      <c r="N778" s="88" t="s">
        <v>166</v>
      </c>
      <c r="O778" s="77" t="s">
        <v>121</v>
      </c>
      <c r="P778" s="77"/>
      <c r="Q778" s="31"/>
      <c r="R778" s="63"/>
    </row>
    <row r="779" spans="1:18" ht="39.75" hidden="1" customHeight="1" x14ac:dyDescent="0.25">
      <c r="A779" s="78">
        <f>IF(B779="","",COUNTA($B$7:B778))</f>
        <v>772</v>
      </c>
      <c r="B779" s="85">
        <v>46211</v>
      </c>
      <c r="C779" s="77" t="s">
        <v>1642</v>
      </c>
      <c r="D779" s="77" t="s">
        <v>1643</v>
      </c>
      <c r="E779" s="77" t="s">
        <v>1642</v>
      </c>
      <c r="F779" s="77" t="s">
        <v>1644</v>
      </c>
      <c r="G779" s="77">
        <v>21948</v>
      </c>
      <c r="H779" s="131" t="str">
        <f>IF(B779="","",TEXT(DATE(YEAR(B779),MONTH(B779),DAY(B779)),"yyyy-mm-dd")&amp;"-"&amp;TEXT(COUNTIF($B$8:B779,B779),"00"))</f>
        <v>2026-07-08-05</v>
      </c>
      <c r="I779" s="86" t="str">
        <f t="shared" si="23"/>
        <v>LENC</v>
      </c>
      <c r="J779" s="86" t="str">
        <f t="shared" si="22"/>
        <v>26</v>
      </c>
      <c r="K779" s="77" t="s">
        <v>69</v>
      </c>
      <c r="L779" s="77">
        <v>1</v>
      </c>
      <c r="M779" s="77" t="s">
        <v>69</v>
      </c>
      <c r="N779" s="88" t="s">
        <v>166</v>
      </c>
      <c r="O779" s="77" t="s">
        <v>121</v>
      </c>
      <c r="P779" s="77"/>
      <c r="Q779" s="31"/>
      <c r="R779" s="63"/>
    </row>
    <row r="780" spans="1:18" ht="39.75" hidden="1" customHeight="1" x14ac:dyDescent="0.25">
      <c r="A780" s="78">
        <f>IF(B780="","",COUNTA($B$7:B779))</f>
        <v>773</v>
      </c>
      <c r="B780" s="85">
        <v>46211</v>
      </c>
      <c r="C780" s="77" t="s">
        <v>1642</v>
      </c>
      <c r="D780" s="77" t="s">
        <v>1645</v>
      </c>
      <c r="E780" s="77" t="s">
        <v>1642</v>
      </c>
      <c r="F780" s="77" t="s">
        <v>1646</v>
      </c>
      <c r="G780" s="77">
        <v>21949</v>
      </c>
      <c r="H780" s="131" t="str">
        <f>IF(B780="","",TEXT(DATE(YEAR(B780),MONTH(B780),DAY(B780)),"yyyy-mm-dd")&amp;"-"&amp;TEXT(COUNTIF($B$8:B780,B780),"00"))</f>
        <v>2026-07-08-06</v>
      </c>
      <c r="I780" s="86" t="str">
        <f t="shared" si="23"/>
        <v>LENC</v>
      </c>
      <c r="J780" s="86" t="str">
        <f t="shared" si="22"/>
        <v>26</v>
      </c>
      <c r="K780" s="77" t="s">
        <v>69</v>
      </c>
      <c r="L780" s="77">
        <v>1</v>
      </c>
      <c r="M780" s="77" t="s">
        <v>69</v>
      </c>
      <c r="N780" s="88" t="s">
        <v>166</v>
      </c>
      <c r="O780" s="77" t="s">
        <v>121</v>
      </c>
      <c r="P780" s="77"/>
      <c r="Q780" s="31"/>
      <c r="R780" s="63"/>
    </row>
    <row r="781" spans="1:18" ht="39.75" hidden="1" customHeight="1" x14ac:dyDescent="0.25">
      <c r="A781" s="78">
        <f>IF(B781="","",COUNTA($B$7:B780))</f>
        <v>774</v>
      </c>
      <c r="B781" s="85">
        <v>46211</v>
      </c>
      <c r="C781" s="77" t="s">
        <v>1642</v>
      </c>
      <c r="D781" s="77" t="s">
        <v>1645</v>
      </c>
      <c r="E781" s="77" t="s">
        <v>1642</v>
      </c>
      <c r="F781" s="77" t="s">
        <v>1646</v>
      </c>
      <c r="G781" s="77">
        <v>21950</v>
      </c>
      <c r="H781" s="131" t="str">
        <f>IF(B781="","",TEXT(DATE(YEAR(B781),MONTH(B781),DAY(B781)),"yyyy-mm-dd")&amp;"-"&amp;TEXT(COUNTIF($B$8:B781,B781),"00"))</f>
        <v>2026-07-08-07</v>
      </c>
      <c r="I781" s="86" t="str">
        <f t="shared" si="23"/>
        <v>LENC</v>
      </c>
      <c r="J781" s="86" t="str">
        <f t="shared" si="22"/>
        <v>26</v>
      </c>
      <c r="K781" s="77" t="s">
        <v>69</v>
      </c>
      <c r="L781" s="77">
        <v>1</v>
      </c>
      <c r="M781" s="77" t="s">
        <v>69</v>
      </c>
      <c r="N781" s="88" t="s">
        <v>166</v>
      </c>
      <c r="O781" s="77" t="s">
        <v>121</v>
      </c>
      <c r="P781" s="77"/>
      <c r="Q781" s="31"/>
      <c r="R781" s="63"/>
    </row>
    <row r="782" spans="1:18" ht="39.75" hidden="1" customHeight="1" x14ac:dyDescent="0.25">
      <c r="A782" s="78">
        <f>IF(B782="","",COUNTA($B$7:B781))</f>
        <v>775</v>
      </c>
      <c r="B782" s="85">
        <v>46211</v>
      </c>
      <c r="C782" s="77" t="s">
        <v>1642</v>
      </c>
      <c r="D782" s="77" t="s">
        <v>1645</v>
      </c>
      <c r="E782" s="77" t="s">
        <v>1642</v>
      </c>
      <c r="F782" s="77" t="s">
        <v>1646</v>
      </c>
      <c r="G782" s="77">
        <v>21951</v>
      </c>
      <c r="H782" s="131" t="str">
        <f>IF(B782="","",TEXT(DATE(YEAR(B782),MONTH(B782),DAY(B782)),"yyyy-mm-dd")&amp;"-"&amp;TEXT(COUNTIF($B$8:B782,B782),"00"))</f>
        <v>2026-07-08-08</v>
      </c>
      <c r="I782" s="86" t="str">
        <f t="shared" si="23"/>
        <v>LENC</v>
      </c>
      <c r="J782" s="86" t="str">
        <f t="shared" si="22"/>
        <v>26</v>
      </c>
      <c r="K782" s="77" t="s">
        <v>69</v>
      </c>
      <c r="L782" s="77">
        <v>1</v>
      </c>
      <c r="M782" s="77" t="s">
        <v>69</v>
      </c>
      <c r="N782" s="88" t="s">
        <v>166</v>
      </c>
      <c r="O782" s="77" t="s">
        <v>121</v>
      </c>
      <c r="P782" s="77"/>
      <c r="Q782" s="31"/>
      <c r="R782" s="63"/>
    </row>
    <row r="783" spans="1:18" ht="39.75" hidden="1" customHeight="1" x14ac:dyDescent="0.25">
      <c r="A783" s="78">
        <f>IF(B783="","",COUNTA($B$7:B782))</f>
        <v>776</v>
      </c>
      <c r="B783" s="85">
        <v>46211</v>
      </c>
      <c r="C783" s="77" t="s">
        <v>1642</v>
      </c>
      <c r="D783" s="77" t="s">
        <v>1645</v>
      </c>
      <c r="E783" s="77" t="s">
        <v>1642</v>
      </c>
      <c r="F783" s="77" t="s">
        <v>1646</v>
      </c>
      <c r="G783" s="77">
        <v>21952</v>
      </c>
      <c r="H783" s="131" t="str">
        <f>IF(B783="","",TEXT(DATE(YEAR(B783),MONTH(B783),DAY(B783)),"yyyy-mm-dd")&amp;"-"&amp;TEXT(COUNTIF($B$8:B783,B783),"00"))</f>
        <v>2026-07-08-09</v>
      </c>
      <c r="I783" s="86" t="str">
        <f t="shared" si="23"/>
        <v>LENC</v>
      </c>
      <c r="J783" s="86" t="str">
        <f t="shared" si="22"/>
        <v>26</v>
      </c>
      <c r="K783" s="77" t="s">
        <v>69</v>
      </c>
      <c r="L783" s="77">
        <v>1</v>
      </c>
      <c r="M783" s="77" t="s">
        <v>69</v>
      </c>
      <c r="N783" s="88" t="s">
        <v>166</v>
      </c>
      <c r="O783" s="77" t="s">
        <v>121</v>
      </c>
      <c r="P783" s="77"/>
      <c r="Q783" s="31"/>
      <c r="R783" s="63"/>
    </row>
    <row r="784" spans="1:18" ht="39.75" hidden="1" customHeight="1" x14ac:dyDescent="0.25">
      <c r="A784" s="78">
        <f>IF(B784="","",COUNTA($B$7:B783))</f>
        <v>777</v>
      </c>
      <c r="B784" s="85">
        <v>46211</v>
      </c>
      <c r="C784" s="77" t="s">
        <v>1642</v>
      </c>
      <c r="D784" s="77" t="s">
        <v>1645</v>
      </c>
      <c r="E784" s="77" t="s">
        <v>1642</v>
      </c>
      <c r="F784" s="77" t="s">
        <v>1646</v>
      </c>
      <c r="G784" s="77">
        <v>21953</v>
      </c>
      <c r="H784" s="131" t="str">
        <f>IF(B784="","",TEXT(DATE(YEAR(B784),MONTH(B784),DAY(B784)),"yyyy-mm-dd")&amp;"-"&amp;TEXT(COUNTIF($B$8:B784,B784),"00"))</f>
        <v>2026-07-08-10</v>
      </c>
      <c r="I784" s="86" t="str">
        <f t="shared" si="23"/>
        <v>LENC</v>
      </c>
      <c r="J784" s="86" t="str">
        <f t="shared" si="22"/>
        <v>26</v>
      </c>
      <c r="K784" s="77" t="s">
        <v>69</v>
      </c>
      <c r="L784" s="77">
        <v>1</v>
      </c>
      <c r="M784" s="77" t="s">
        <v>69</v>
      </c>
      <c r="N784" s="88" t="s">
        <v>166</v>
      </c>
      <c r="O784" s="77" t="s">
        <v>121</v>
      </c>
      <c r="P784" s="77"/>
      <c r="Q784" s="31"/>
      <c r="R784" s="63"/>
    </row>
    <row r="785" spans="1:18" ht="39.75" hidden="1" customHeight="1" x14ac:dyDescent="0.25">
      <c r="A785" s="78">
        <f>IF(B785="","",COUNTA($B$7:B784))</f>
        <v>778</v>
      </c>
      <c r="B785" s="85">
        <v>46211</v>
      </c>
      <c r="C785" s="77" t="s">
        <v>1642</v>
      </c>
      <c r="D785" s="77" t="s">
        <v>1647</v>
      </c>
      <c r="E785" s="77" t="s">
        <v>1642</v>
      </c>
      <c r="F785" s="77" t="s">
        <v>1648</v>
      </c>
      <c r="G785" s="77">
        <v>21954</v>
      </c>
      <c r="H785" s="131" t="str">
        <f>IF(B785="","",TEXT(DATE(YEAR(B785),MONTH(B785),DAY(B785)),"yyyy-mm-dd")&amp;"-"&amp;TEXT(COUNTIF($B$8:B785,B785),"00"))</f>
        <v>2026-07-08-11</v>
      </c>
      <c r="I785" s="86" t="str">
        <f t="shared" si="23"/>
        <v>LENC</v>
      </c>
      <c r="J785" s="86" t="str">
        <f t="shared" si="22"/>
        <v>26</v>
      </c>
      <c r="K785" s="77" t="s">
        <v>69</v>
      </c>
      <c r="L785" s="77">
        <v>1</v>
      </c>
      <c r="M785" s="77" t="s">
        <v>69</v>
      </c>
      <c r="N785" s="88" t="s">
        <v>166</v>
      </c>
      <c r="O785" s="77" t="s">
        <v>121</v>
      </c>
      <c r="P785" s="77"/>
      <c r="Q785" s="31"/>
      <c r="R785" s="63"/>
    </row>
    <row r="786" spans="1:18" ht="39.75" hidden="1" customHeight="1" x14ac:dyDescent="0.25">
      <c r="A786" s="78">
        <f>IF(B786="","",COUNTA($B$7:B785))</f>
        <v>779</v>
      </c>
      <c r="B786" s="85">
        <v>46211</v>
      </c>
      <c r="C786" s="77" t="s">
        <v>1642</v>
      </c>
      <c r="D786" s="77" t="s">
        <v>1647</v>
      </c>
      <c r="E786" s="77" t="s">
        <v>1642</v>
      </c>
      <c r="F786" s="77" t="s">
        <v>1648</v>
      </c>
      <c r="G786" s="77">
        <v>21955</v>
      </c>
      <c r="H786" s="131" t="str">
        <f>IF(B786="","",TEXT(DATE(YEAR(B786),MONTH(B786),DAY(B786)),"yyyy-mm-dd")&amp;"-"&amp;TEXT(COUNTIF($B$8:B786,B786),"00"))</f>
        <v>2026-07-08-12</v>
      </c>
      <c r="I786" s="86" t="str">
        <f t="shared" si="23"/>
        <v>LENC</v>
      </c>
      <c r="J786" s="86" t="str">
        <f t="shared" si="22"/>
        <v>26</v>
      </c>
      <c r="K786" s="77" t="s">
        <v>69</v>
      </c>
      <c r="L786" s="77">
        <v>1</v>
      </c>
      <c r="M786" s="77" t="s">
        <v>69</v>
      </c>
      <c r="N786" s="88" t="s">
        <v>166</v>
      </c>
      <c r="O786" s="77" t="s">
        <v>121</v>
      </c>
      <c r="P786" s="77"/>
      <c r="Q786" s="31"/>
      <c r="R786" s="63"/>
    </row>
    <row r="787" spans="1:18" ht="39.75" hidden="1" customHeight="1" x14ac:dyDescent="0.25">
      <c r="A787" s="78">
        <f>IF(B787="","",COUNTA($B$7:B786))</f>
        <v>780</v>
      </c>
      <c r="B787" s="85">
        <v>46211</v>
      </c>
      <c r="C787" s="77" t="s">
        <v>1642</v>
      </c>
      <c r="D787" s="77" t="s">
        <v>1647</v>
      </c>
      <c r="E787" s="77" t="s">
        <v>1642</v>
      </c>
      <c r="F787" s="77" t="s">
        <v>1648</v>
      </c>
      <c r="G787" s="77">
        <v>21956</v>
      </c>
      <c r="H787" s="131" t="str">
        <f>IF(B787="","",TEXT(DATE(YEAR(B787),MONTH(B787),DAY(B787)),"yyyy-mm-dd")&amp;"-"&amp;TEXT(COUNTIF($B$8:B787,B787),"00"))</f>
        <v>2026-07-08-13</v>
      </c>
      <c r="I787" s="86" t="str">
        <f t="shared" si="23"/>
        <v>LENC</v>
      </c>
      <c r="J787" s="86" t="str">
        <f t="shared" si="22"/>
        <v>26</v>
      </c>
      <c r="K787" s="77" t="s">
        <v>69</v>
      </c>
      <c r="L787" s="77">
        <v>1</v>
      </c>
      <c r="M787" s="77" t="s">
        <v>69</v>
      </c>
      <c r="N787" s="88" t="s">
        <v>166</v>
      </c>
      <c r="O787" s="77" t="s">
        <v>121</v>
      </c>
      <c r="P787" s="77"/>
      <c r="Q787" s="31"/>
      <c r="R787" s="63"/>
    </row>
    <row r="788" spans="1:18" ht="39.75" hidden="1" customHeight="1" x14ac:dyDescent="0.25">
      <c r="A788" s="78">
        <f>IF(B788="","",COUNTA($B$7:B787))</f>
        <v>781</v>
      </c>
      <c r="B788" s="85">
        <v>46211</v>
      </c>
      <c r="C788" s="77" t="s">
        <v>1642</v>
      </c>
      <c r="D788" s="77" t="s">
        <v>1647</v>
      </c>
      <c r="E788" s="77" t="s">
        <v>1642</v>
      </c>
      <c r="F788" s="77" t="s">
        <v>1648</v>
      </c>
      <c r="G788" s="77">
        <v>21957</v>
      </c>
      <c r="H788" s="131" t="str">
        <f>IF(B788="","",TEXT(DATE(YEAR(B788),MONTH(B788),DAY(B788)),"yyyy-mm-dd")&amp;"-"&amp;TEXT(COUNTIF($B$8:B788,B788),"00"))</f>
        <v>2026-07-08-14</v>
      </c>
      <c r="I788" s="86" t="str">
        <f t="shared" si="23"/>
        <v>LENC</v>
      </c>
      <c r="J788" s="86" t="str">
        <f t="shared" si="22"/>
        <v>26</v>
      </c>
      <c r="K788" s="77" t="s">
        <v>69</v>
      </c>
      <c r="L788" s="77">
        <v>1</v>
      </c>
      <c r="M788" s="77" t="s">
        <v>69</v>
      </c>
      <c r="N788" s="88" t="s">
        <v>166</v>
      </c>
      <c r="O788" s="77" t="s">
        <v>121</v>
      </c>
      <c r="P788" s="77"/>
      <c r="Q788" s="31"/>
      <c r="R788" s="63"/>
    </row>
    <row r="789" spans="1:18" ht="39.75" hidden="1" customHeight="1" x14ac:dyDescent="0.25">
      <c r="A789" s="78">
        <f>IF(B789="","",COUNTA($B$7:B788))</f>
        <v>782</v>
      </c>
      <c r="B789" s="85">
        <v>46211</v>
      </c>
      <c r="C789" s="77" t="s">
        <v>1642</v>
      </c>
      <c r="D789" s="77" t="s">
        <v>1647</v>
      </c>
      <c r="E789" s="77" t="s">
        <v>1642</v>
      </c>
      <c r="F789" s="77" t="s">
        <v>1648</v>
      </c>
      <c r="G789" s="77">
        <v>21958</v>
      </c>
      <c r="H789" s="131" t="str">
        <f>IF(B789="","",TEXT(DATE(YEAR(B789),MONTH(B789),DAY(B789)),"yyyy-mm-dd")&amp;"-"&amp;TEXT(COUNTIF($B$8:B789,B789),"00"))</f>
        <v>2026-07-08-15</v>
      </c>
      <c r="I789" s="86" t="str">
        <f t="shared" si="23"/>
        <v>LENC</v>
      </c>
      <c r="J789" s="86" t="str">
        <f t="shared" si="22"/>
        <v>26</v>
      </c>
      <c r="K789" s="77" t="s">
        <v>69</v>
      </c>
      <c r="L789" s="77">
        <v>1</v>
      </c>
      <c r="M789" s="77" t="s">
        <v>69</v>
      </c>
      <c r="N789" s="88" t="s">
        <v>166</v>
      </c>
      <c r="O789" s="77" t="s">
        <v>121</v>
      </c>
      <c r="P789" s="77"/>
      <c r="Q789" s="31"/>
      <c r="R789" s="63"/>
    </row>
    <row r="790" spans="1:18" ht="39.75" hidden="1" customHeight="1" x14ac:dyDescent="0.25">
      <c r="A790" s="78">
        <f>IF(B790="","",COUNTA($B$7:B789))</f>
        <v>783</v>
      </c>
      <c r="B790" s="85">
        <v>46212</v>
      </c>
      <c r="C790" s="77" t="s">
        <v>305</v>
      </c>
      <c r="D790" s="77" t="s">
        <v>1649</v>
      </c>
      <c r="E790" s="77" t="s">
        <v>1482</v>
      </c>
      <c r="F790" s="77" t="s">
        <v>1650</v>
      </c>
      <c r="G790" s="77" t="s">
        <v>1651</v>
      </c>
      <c r="H790" s="131" t="str">
        <f>IF(B790="","",TEXT(DATE(YEAR(B790),MONTH(B790),DAY(B790)),"yyyy-mm-dd")&amp;"-"&amp;TEXT(COUNTIF($B$8:B790,B790),"00"))</f>
        <v>2026-07-09-01</v>
      </c>
      <c r="I790" s="86" t="str">
        <f t="shared" si="23"/>
        <v>LENC</v>
      </c>
      <c r="J790" s="86" t="str">
        <f t="shared" si="22"/>
        <v>26</v>
      </c>
      <c r="K790" s="77" t="s">
        <v>69</v>
      </c>
      <c r="L790" s="77">
        <v>1</v>
      </c>
      <c r="M790" s="77" t="s">
        <v>69</v>
      </c>
      <c r="N790" s="88" t="s">
        <v>166</v>
      </c>
      <c r="O790" s="77" t="s">
        <v>121</v>
      </c>
      <c r="P790" s="77"/>
      <c r="Q790" s="31"/>
      <c r="R790" s="63"/>
    </row>
    <row r="791" spans="1:18" ht="39.75" hidden="1" customHeight="1" x14ac:dyDescent="0.25">
      <c r="A791" s="78">
        <f>IF(B791="","",COUNTA($B$7:B790))</f>
        <v>784</v>
      </c>
      <c r="B791" s="85">
        <v>46212</v>
      </c>
      <c r="C791" s="77" t="s">
        <v>305</v>
      </c>
      <c r="D791" s="77" t="s">
        <v>1652</v>
      </c>
      <c r="E791" s="77" t="s">
        <v>1482</v>
      </c>
      <c r="F791" s="77" t="s">
        <v>1653</v>
      </c>
      <c r="G791" s="77" t="s">
        <v>1654</v>
      </c>
      <c r="H791" s="131" t="str">
        <f>IF(B791="","",TEXT(DATE(YEAR(B791),MONTH(B791),DAY(B791)),"yyyy-mm-dd")&amp;"-"&amp;TEXT(COUNTIF($B$8:B791,B791),"00"))</f>
        <v>2026-07-09-02</v>
      </c>
      <c r="I791" s="86" t="str">
        <f t="shared" si="23"/>
        <v>LENC</v>
      </c>
      <c r="J791" s="86" t="str">
        <f t="shared" si="22"/>
        <v>26</v>
      </c>
      <c r="K791" s="77" t="s">
        <v>69</v>
      </c>
      <c r="L791" s="77">
        <v>1</v>
      </c>
      <c r="M791" s="77" t="s">
        <v>69</v>
      </c>
      <c r="N791" s="88" t="s">
        <v>166</v>
      </c>
      <c r="O791" s="77" t="s">
        <v>121</v>
      </c>
      <c r="P791" s="77"/>
      <c r="Q791" s="31"/>
      <c r="R791" s="63"/>
    </row>
    <row r="792" spans="1:18" ht="39.75" hidden="1" customHeight="1" x14ac:dyDescent="0.25">
      <c r="A792" s="78">
        <f>IF(B792="","",COUNTA($B$7:B791))</f>
        <v>785</v>
      </c>
      <c r="B792" s="85">
        <v>46212</v>
      </c>
      <c r="C792" s="77" t="s">
        <v>122</v>
      </c>
      <c r="D792" s="77" t="s">
        <v>1655</v>
      </c>
      <c r="E792" s="77" t="s">
        <v>423</v>
      </c>
      <c r="F792" s="77" t="s">
        <v>1656</v>
      </c>
      <c r="G792" s="77">
        <v>20925</v>
      </c>
      <c r="H792" s="131" t="str">
        <f>IF(B792="","",TEXT(DATE(YEAR(B792),MONTH(B792),DAY(B792)),"yyyy-mm-dd")&amp;"-"&amp;TEXT(COUNTIF($B$8:B792,B792),"00"))</f>
        <v>2026-07-09-03</v>
      </c>
      <c r="I792" s="86" t="str">
        <f t="shared" si="23"/>
        <v>LENC</v>
      </c>
      <c r="J792" s="86" t="str">
        <f t="shared" si="22"/>
        <v>26</v>
      </c>
      <c r="K792" s="77" t="s">
        <v>69</v>
      </c>
      <c r="L792" s="77">
        <v>1</v>
      </c>
      <c r="M792" s="77" t="s">
        <v>69</v>
      </c>
      <c r="N792" s="88" t="s">
        <v>166</v>
      </c>
      <c r="O792" s="77" t="s">
        <v>121</v>
      </c>
      <c r="P792" s="77"/>
      <c r="Q792" s="31"/>
      <c r="R792" s="63"/>
    </row>
    <row r="793" spans="1:18" ht="39.75" hidden="1" customHeight="1" x14ac:dyDescent="0.25">
      <c r="A793" s="78">
        <f>IF(B793="","",COUNTA($B$7:B792))</f>
        <v>786</v>
      </c>
      <c r="B793" s="85">
        <v>46212</v>
      </c>
      <c r="C793" s="77" t="s">
        <v>122</v>
      </c>
      <c r="D793" s="77" t="s">
        <v>1655</v>
      </c>
      <c r="E793" s="77" t="s">
        <v>423</v>
      </c>
      <c r="F793" s="77" t="s">
        <v>1656</v>
      </c>
      <c r="G793" s="77">
        <v>20927</v>
      </c>
      <c r="H793" s="131" t="str">
        <f>IF(B793="","",TEXT(DATE(YEAR(B793),MONTH(B793),DAY(B793)),"yyyy-mm-dd")&amp;"-"&amp;TEXT(COUNTIF($B$8:B793,B793),"00"))</f>
        <v>2026-07-09-04</v>
      </c>
      <c r="I793" s="86" t="str">
        <f t="shared" si="23"/>
        <v>LENC</v>
      </c>
      <c r="J793" s="86" t="str">
        <f t="shared" si="22"/>
        <v>26</v>
      </c>
      <c r="K793" s="77" t="s">
        <v>69</v>
      </c>
      <c r="L793" s="77">
        <v>1</v>
      </c>
      <c r="M793" s="77" t="s">
        <v>69</v>
      </c>
      <c r="N793" s="88" t="s">
        <v>166</v>
      </c>
      <c r="O793" s="77" t="s">
        <v>121</v>
      </c>
      <c r="P793" s="77"/>
      <c r="Q793" s="31"/>
      <c r="R793" s="63"/>
    </row>
    <row r="794" spans="1:18" ht="39.75" hidden="1" customHeight="1" x14ac:dyDescent="0.25">
      <c r="A794" s="78">
        <f>IF(B794="","",COUNTA($B$7:B793))</f>
        <v>787</v>
      </c>
      <c r="B794" s="85">
        <v>46217</v>
      </c>
      <c r="C794" s="77" t="s">
        <v>942</v>
      </c>
      <c r="D794" s="77" t="s">
        <v>1705</v>
      </c>
      <c r="E794" s="77" t="s">
        <v>1706</v>
      </c>
      <c r="F794" s="77" t="s">
        <v>1707</v>
      </c>
      <c r="G794" s="77" t="s">
        <v>69</v>
      </c>
      <c r="H794" s="131" t="str">
        <f>IF(B794="","",TEXT(DATE(YEAR(B794),MONTH(B794),DAY(B794)),"yyyy-mm-dd")&amp;"-"&amp;TEXT(COUNTIF($B$8:B794,B794),"00"))</f>
        <v>2026-07-14-01</v>
      </c>
      <c r="I794" s="86" t="str">
        <f t="shared" si="23"/>
        <v>LENC</v>
      </c>
      <c r="J794" s="86" t="str">
        <f t="shared" si="22"/>
        <v>26</v>
      </c>
      <c r="K794" s="77" t="s">
        <v>69</v>
      </c>
      <c r="L794" s="77">
        <v>5</v>
      </c>
      <c r="M794" s="77" t="s">
        <v>69</v>
      </c>
      <c r="N794" s="88" t="s">
        <v>166</v>
      </c>
      <c r="O794" s="77" t="s">
        <v>121</v>
      </c>
      <c r="P794" s="77"/>
      <c r="Q794" s="31"/>
      <c r="R794" s="63"/>
    </row>
    <row r="795" spans="1:18" ht="39.75" hidden="1" customHeight="1" x14ac:dyDescent="0.25">
      <c r="A795" s="78">
        <f>IF(B795="","",COUNTA($B$7:B794))</f>
        <v>788</v>
      </c>
      <c r="B795" s="85">
        <v>46217</v>
      </c>
      <c r="C795" s="77" t="s">
        <v>152</v>
      </c>
      <c r="D795" s="77" t="s">
        <v>1708</v>
      </c>
      <c r="E795" s="77" t="s">
        <v>1709</v>
      </c>
      <c r="F795" s="77" t="s">
        <v>1710</v>
      </c>
      <c r="G795" s="77" t="s">
        <v>69</v>
      </c>
      <c r="H795" s="131" t="str">
        <f>IF(B795="","",TEXT(DATE(YEAR(B795),MONTH(B795),DAY(B795)),"yyyy-mm-dd")&amp;"-"&amp;TEXT(COUNTIF($B$8:B795,B795),"00"))</f>
        <v>2026-07-14-02</v>
      </c>
      <c r="I795" s="86" t="str">
        <f t="shared" si="23"/>
        <v>LENC</v>
      </c>
      <c r="J795" s="86" t="str">
        <f t="shared" si="22"/>
        <v>26</v>
      </c>
      <c r="K795" s="77" t="s">
        <v>69</v>
      </c>
      <c r="L795" s="77">
        <v>1</v>
      </c>
      <c r="M795" s="77" t="s">
        <v>69</v>
      </c>
      <c r="N795" s="88" t="s">
        <v>137</v>
      </c>
      <c r="O795" s="77" t="s">
        <v>121</v>
      </c>
      <c r="P795" s="77"/>
      <c r="Q795" s="31"/>
      <c r="R795" s="63"/>
    </row>
    <row r="796" spans="1:18" ht="39.75" hidden="1" customHeight="1" x14ac:dyDescent="0.25">
      <c r="A796" s="78">
        <f>IF(B796="","",COUNTA($B$7:B795))</f>
        <v>789</v>
      </c>
      <c r="B796" s="85">
        <v>46217</v>
      </c>
      <c r="C796" s="77" t="s">
        <v>1711</v>
      </c>
      <c r="D796" s="77" t="s">
        <v>1712</v>
      </c>
      <c r="E796" s="77" t="s">
        <v>204</v>
      </c>
      <c r="F796" s="77">
        <v>102889</v>
      </c>
      <c r="G796" s="77">
        <v>102889</v>
      </c>
      <c r="H796" s="131" t="str">
        <f>IF(B796="","",TEXT(DATE(YEAR(B796),MONTH(B796),DAY(B796)),"yyyy-mm-dd")&amp;"-"&amp;TEXT(COUNTIF($B$8:B796,B796),"00"))</f>
        <v>2026-07-14-03</v>
      </c>
      <c r="I796" s="86" t="str">
        <f t="shared" si="23"/>
        <v>LENC</v>
      </c>
      <c r="J796" s="86" t="str">
        <f t="shared" si="22"/>
        <v>26</v>
      </c>
      <c r="K796" s="77" t="s">
        <v>69</v>
      </c>
      <c r="L796" s="77">
        <v>7</v>
      </c>
      <c r="M796" s="77" t="s">
        <v>69</v>
      </c>
      <c r="N796" s="88" t="s">
        <v>166</v>
      </c>
      <c r="O796" s="77" t="s">
        <v>121</v>
      </c>
      <c r="P796" s="77"/>
      <c r="Q796" s="31"/>
      <c r="R796" s="63"/>
    </row>
    <row r="797" spans="1:18" ht="39.75" customHeight="1" x14ac:dyDescent="0.25">
      <c r="A797" s="78">
        <f>IF(B797="","",COUNTA($B$7:B796))</f>
        <v>790</v>
      </c>
      <c r="B797" s="85">
        <v>46217</v>
      </c>
      <c r="C797" s="77" t="s">
        <v>138</v>
      </c>
      <c r="D797" s="77" t="s">
        <v>1519</v>
      </c>
      <c r="E797" s="77" t="s">
        <v>1155</v>
      </c>
      <c r="F797" s="77" t="s">
        <v>1713</v>
      </c>
      <c r="G797" s="77" t="s">
        <v>1729</v>
      </c>
      <c r="H797" s="131" t="str">
        <f>IF(B797="","",TEXT(DATE(YEAR(B797),MONTH(B797),DAY(B797)),"yyyy-mm-dd")&amp;"-"&amp;TEXT(COUNTIF($B$8:B797,B797),"00"))</f>
        <v>2026-07-14-04</v>
      </c>
      <c r="I797" s="86" t="str">
        <f t="shared" si="23"/>
        <v>LENC</v>
      </c>
      <c r="J797" s="86" t="str">
        <f t="shared" si="22"/>
        <v>26</v>
      </c>
      <c r="K797" s="77" t="s">
        <v>1731</v>
      </c>
      <c r="L797" s="77">
        <v>1</v>
      </c>
      <c r="M797" s="77" t="s">
        <v>1730</v>
      </c>
      <c r="N797" s="88" t="s">
        <v>711</v>
      </c>
      <c r="O797" s="77" t="s">
        <v>172</v>
      </c>
      <c r="P797" s="77"/>
      <c r="Q797" s="31"/>
      <c r="R797" s="63"/>
    </row>
    <row r="798" spans="1:18" ht="39.75" hidden="1" customHeight="1" x14ac:dyDescent="0.25">
      <c r="A798" s="78">
        <f>IF(B798="","",COUNTA($B$7:B797))</f>
        <v>791</v>
      </c>
      <c r="B798" s="85">
        <v>46217</v>
      </c>
      <c r="C798" s="77" t="s">
        <v>1714</v>
      </c>
      <c r="D798" s="77" t="s">
        <v>308</v>
      </c>
      <c r="E798" s="77" t="s">
        <v>1714</v>
      </c>
      <c r="F798" s="77" t="s">
        <v>69</v>
      </c>
      <c r="G798" s="77" t="s">
        <v>69</v>
      </c>
      <c r="H798" s="131" t="str">
        <f>IF(B798="","",TEXT(DATE(YEAR(B798),MONTH(B798),DAY(B798)),"yyyy-mm-dd")&amp;"-"&amp;TEXT(COUNTIF($B$8:B798,B798),"00"))</f>
        <v>2026-07-14-05</v>
      </c>
      <c r="I798" s="86" t="str">
        <f t="shared" si="23"/>
        <v>LENC</v>
      </c>
      <c r="J798" s="86" t="str">
        <f t="shared" si="22"/>
        <v>26</v>
      </c>
      <c r="K798" s="77" t="s">
        <v>69</v>
      </c>
      <c r="L798" s="77">
        <v>3</v>
      </c>
      <c r="M798" s="77" t="s">
        <v>69</v>
      </c>
      <c r="N798" s="88" t="s">
        <v>137</v>
      </c>
      <c r="O798" s="77" t="s">
        <v>121</v>
      </c>
      <c r="P798" s="77"/>
      <c r="Q798" s="31"/>
      <c r="R798" s="63"/>
    </row>
    <row r="799" spans="1:18" ht="39.75" hidden="1" customHeight="1" x14ac:dyDescent="0.25">
      <c r="A799" s="78">
        <f>IF(B799="","",COUNTA($B$7:B798))</f>
        <v>792</v>
      </c>
      <c r="B799" s="85">
        <v>46217</v>
      </c>
      <c r="C799" s="77" t="s">
        <v>115</v>
      </c>
      <c r="D799" s="77" t="s">
        <v>1715</v>
      </c>
      <c r="E799" s="77" t="s">
        <v>1716</v>
      </c>
      <c r="F799" s="77" t="s">
        <v>1717</v>
      </c>
      <c r="G799" s="77" t="s">
        <v>1718</v>
      </c>
      <c r="H799" s="131" t="str">
        <f>IF(B799="","",TEXT(DATE(YEAR(B799),MONTH(B799),DAY(B799)),"yyyy-mm-dd")&amp;"-"&amp;TEXT(COUNTIF($B$8:B799,B799),"00"))</f>
        <v>2026-07-14-06</v>
      </c>
      <c r="I799" s="86" t="str">
        <f t="shared" si="23"/>
        <v>LENC</v>
      </c>
      <c r="J799" s="86" t="str">
        <f t="shared" si="22"/>
        <v>26</v>
      </c>
      <c r="K799" s="77" t="s">
        <v>69</v>
      </c>
      <c r="L799" s="77">
        <v>1</v>
      </c>
      <c r="M799" s="77" t="s">
        <v>69</v>
      </c>
      <c r="N799" s="88" t="s">
        <v>137</v>
      </c>
      <c r="O799" s="77" t="s">
        <v>121</v>
      </c>
      <c r="P799" s="77"/>
      <c r="Q799" s="31"/>
      <c r="R799" s="63"/>
    </row>
    <row r="800" spans="1:18" ht="39.75" hidden="1" customHeight="1" x14ac:dyDescent="0.25">
      <c r="A800" s="78">
        <f>IF(B800="","",COUNTA($B$7:B799))</f>
        <v>793</v>
      </c>
      <c r="B800" s="85">
        <v>46213</v>
      </c>
      <c r="C800" s="77" t="s">
        <v>448</v>
      </c>
      <c r="D800" s="77" t="s">
        <v>1722</v>
      </c>
      <c r="E800" s="77" t="s">
        <v>1248</v>
      </c>
      <c r="F800" s="77" t="s">
        <v>69</v>
      </c>
      <c r="G800" s="77" t="s">
        <v>1721</v>
      </c>
      <c r="H800" s="131" t="str">
        <f>IF(B800="","",TEXT(DATE(YEAR(B800),MONTH(B800),DAY(B800)),"yyyy-mm-dd")&amp;"-"&amp;TEXT(COUNTIF($B$8:B800,B800),"00"))</f>
        <v>2026-07-10-01</v>
      </c>
      <c r="I800" s="86" t="str">
        <f t="shared" si="23"/>
        <v>LENC</v>
      </c>
      <c r="J800" s="86" t="str">
        <f t="shared" si="22"/>
        <v>26</v>
      </c>
      <c r="K800" s="77" t="s">
        <v>1720</v>
      </c>
      <c r="L800" s="77">
        <v>13</v>
      </c>
      <c r="M800" s="77" t="s">
        <v>1719</v>
      </c>
      <c r="N800" s="88" t="s">
        <v>711</v>
      </c>
      <c r="O800" s="77" t="s">
        <v>172</v>
      </c>
      <c r="P800" s="77"/>
      <c r="Q800" s="31"/>
      <c r="R800" s="63"/>
    </row>
    <row r="801" spans="1:18" ht="39.75" hidden="1" customHeight="1" x14ac:dyDescent="0.25">
      <c r="A801" s="78" t="str">
        <f>IF(B801="","",COUNTA($B$7:B800))</f>
        <v/>
      </c>
      <c r="B801" s="85"/>
      <c r="C801" s="77"/>
      <c r="D801" s="77"/>
      <c r="E801" s="77"/>
      <c r="F801" s="77"/>
      <c r="G801" s="77"/>
      <c r="H801" s="131" t="str">
        <f>IF(B801="","",TEXT(DATE(YEAR(B801),MONTH(B801),DAY(B801)),"yyyy-mm-dd")&amp;"-"&amp;TEXT(COUNTIF($B$8:B801,B801),"00"))</f>
        <v/>
      </c>
      <c r="I801" s="86" t="str">
        <f t="shared" si="23"/>
        <v/>
      </c>
      <c r="J801" s="86" t="str">
        <f t="shared" si="22"/>
        <v/>
      </c>
      <c r="K801" s="77"/>
      <c r="L801" s="77"/>
      <c r="M801" s="77"/>
      <c r="N801" s="88"/>
      <c r="O801" s="77"/>
      <c r="P801" s="77"/>
      <c r="Q801" s="31"/>
      <c r="R801" s="63"/>
    </row>
    <row r="802" spans="1:18" ht="39.75" hidden="1" customHeight="1" x14ac:dyDescent="0.25">
      <c r="A802" s="78" t="str">
        <f>IF(B802="","",COUNTA($B$7:B801))</f>
        <v/>
      </c>
      <c r="B802" s="85"/>
      <c r="C802" s="77"/>
      <c r="D802" s="77"/>
      <c r="E802" s="77"/>
      <c r="F802" s="77"/>
      <c r="G802" s="77"/>
      <c r="H802" s="131" t="str">
        <f>IF(B802="","",TEXT(DATE(YEAR(B802),MONTH(B802),DAY(B802)),"yyyy-mm-dd")&amp;"-"&amp;TEXT(COUNTIF($B$8:B802,B802),"00"))</f>
        <v/>
      </c>
      <c r="I802" s="86" t="str">
        <f t="shared" si="23"/>
        <v/>
      </c>
      <c r="J802" s="86" t="str">
        <f t="shared" si="22"/>
        <v/>
      </c>
      <c r="K802" s="77"/>
      <c r="L802" s="77"/>
      <c r="M802" s="77"/>
      <c r="N802" s="88"/>
      <c r="O802" s="77"/>
      <c r="P802" s="77"/>
      <c r="Q802" s="31"/>
      <c r="R802" s="63"/>
    </row>
    <row r="803" spans="1:18" ht="39.75" hidden="1" customHeight="1" x14ac:dyDescent="0.25">
      <c r="A803" s="78" t="str">
        <f>IF(B803="","",COUNTA($B$7:B802))</f>
        <v/>
      </c>
      <c r="B803" s="85"/>
      <c r="C803" s="77"/>
      <c r="D803" s="77"/>
      <c r="E803" s="77"/>
      <c r="F803" s="77"/>
      <c r="G803" s="77"/>
      <c r="H803" s="131" t="str">
        <f>IF(B803="","",TEXT(DATE(YEAR(B803),MONTH(B803),DAY(B803)),"yyyy-mm-dd")&amp;"-"&amp;TEXT(COUNTIF($B$8:B803,B803),"00"))</f>
        <v/>
      </c>
      <c r="I803" s="86" t="str">
        <f t="shared" si="23"/>
        <v/>
      </c>
      <c r="J803" s="86" t="str">
        <f t="shared" si="22"/>
        <v/>
      </c>
      <c r="K803" s="77"/>
      <c r="L803" s="77"/>
      <c r="M803" s="77"/>
      <c r="N803" s="88"/>
      <c r="O803" s="77"/>
      <c r="P803" s="77"/>
      <c r="Q803" s="31"/>
      <c r="R803" s="63"/>
    </row>
    <row r="804" spans="1:18" ht="39.75" hidden="1" customHeight="1" x14ac:dyDescent="0.25">
      <c r="A804" s="78" t="str">
        <f>IF(B804="","",COUNTA($B$7:B803))</f>
        <v/>
      </c>
      <c r="B804" s="85"/>
      <c r="C804" s="77"/>
      <c r="D804" s="77"/>
      <c r="E804" s="77"/>
      <c r="F804" s="77"/>
      <c r="G804" s="77"/>
      <c r="H804" s="131" t="str">
        <f>IF(B804="","",TEXT(DATE(YEAR(B804),MONTH(B804),DAY(B804)),"yyyy-mm-dd")&amp;"-"&amp;TEXT(COUNTIF($B$8:B804,B804),"00"))</f>
        <v/>
      </c>
      <c r="I804" s="86" t="str">
        <f t="shared" si="23"/>
        <v/>
      </c>
      <c r="J804" s="86" t="str">
        <f t="shared" si="22"/>
        <v/>
      </c>
      <c r="K804" s="77"/>
      <c r="L804" s="77"/>
      <c r="M804" s="77"/>
      <c r="N804" s="88"/>
      <c r="O804" s="77"/>
      <c r="P804" s="77"/>
      <c r="Q804" s="31"/>
      <c r="R804" s="63"/>
    </row>
    <row r="805" spans="1:18" ht="39.75" hidden="1" customHeight="1" x14ac:dyDescent="0.25">
      <c r="A805" s="78" t="str">
        <f>IF(B805="","",COUNTA($B$7:B780))</f>
        <v/>
      </c>
      <c r="B805" s="85"/>
      <c r="C805" s="77"/>
      <c r="D805" s="77"/>
      <c r="E805" s="77"/>
      <c r="F805" s="77"/>
      <c r="G805" s="77"/>
      <c r="H805" s="131" t="str">
        <f>IF(B805="","",TEXT(DATE(YEAR(B805),MONTH(B805),DAY(B805)),"yyyy-mm-dd")&amp;"-"&amp;TEXT(COUNTIF($B$8:B805,B805),"00"))</f>
        <v/>
      </c>
      <c r="I805" s="86" t="str">
        <f t="shared" si="23"/>
        <v/>
      </c>
      <c r="J805" s="86" t="str">
        <f t="shared" si="22"/>
        <v/>
      </c>
      <c r="K805" s="77"/>
      <c r="L805" s="77"/>
      <c r="M805" s="77"/>
      <c r="N805" s="88"/>
      <c r="O805" s="77"/>
      <c r="P805" s="77"/>
      <c r="Q805" s="31"/>
      <c r="R805" s="63"/>
    </row>
    <row r="806" spans="1:18" ht="39.75" hidden="1" customHeight="1" x14ac:dyDescent="0.25">
      <c r="A806" s="89"/>
      <c r="B806" s="63"/>
      <c r="C806" s="87"/>
      <c r="D806" s="87"/>
      <c r="E806" s="87"/>
      <c r="F806" s="87"/>
      <c r="G806" s="87"/>
      <c r="H806" s="87"/>
      <c r="I806" s="31"/>
      <c r="J806" s="144" t="str">
        <f t="shared" si="22"/>
        <v/>
      </c>
      <c r="K806" s="87"/>
      <c r="L806" s="87"/>
      <c r="M806" s="87"/>
      <c r="N806" s="90"/>
      <c r="O806" s="87"/>
      <c r="P806" s="87"/>
      <c r="Q806" s="31"/>
      <c r="R806" s="63"/>
    </row>
    <row r="807" spans="1:18" ht="39.75" hidden="1" customHeight="1" x14ac:dyDescent="0.25">
      <c r="A807" s="89"/>
      <c r="B807" s="63"/>
      <c r="C807" s="87"/>
      <c r="D807" s="87"/>
      <c r="E807" s="87"/>
      <c r="F807" s="87"/>
      <c r="G807" s="87"/>
      <c r="H807" s="87"/>
      <c r="I807" s="31"/>
      <c r="J807" s="145"/>
      <c r="K807" s="87"/>
      <c r="L807" s="87"/>
      <c r="M807" s="87"/>
      <c r="N807" s="90"/>
      <c r="O807" s="87"/>
      <c r="P807" s="87"/>
      <c r="Q807" s="31"/>
      <c r="R807" s="63"/>
    </row>
    <row r="808" spans="1:18" s="29" customFormat="1" ht="15" hidden="1" customHeight="1" x14ac:dyDescent="0.25">
      <c r="A808" s="89"/>
      <c r="B808" s="115"/>
      <c r="C808" s="115"/>
      <c r="D808" s="115"/>
      <c r="E808" s="117" t="s">
        <v>1657</v>
      </c>
      <c r="F808" s="117"/>
      <c r="G808" s="115"/>
      <c r="H808" s="115"/>
      <c r="I808" s="31"/>
      <c r="J808" s="145"/>
      <c r="K808" s="87"/>
      <c r="L808" s="87"/>
      <c r="M808" s="115"/>
      <c r="N808" s="133"/>
      <c r="O808" s="132"/>
      <c r="P808" s="115"/>
    </row>
    <row r="809" spans="1:18" ht="39.75" hidden="1" customHeight="1" x14ac:dyDescent="0.25">
      <c r="A809" s="78"/>
      <c r="I809" s="31"/>
      <c r="J809" s="145"/>
      <c r="K809" s="87"/>
      <c r="L809" s="87"/>
      <c r="P809" s="77"/>
      <c r="Q809" s="31"/>
      <c r="R809" s="63"/>
    </row>
    <row r="810" spans="1:18" hidden="1" x14ac:dyDescent="0.25">
      <c r="A810" s="89"/>
      <c r="B810" s="29"/>
      <c r="C810" s="29"/>
      <c r="D810" s="101"/>
      <c r="E810" s="116" t="s">
        <v>1658</v>
      </c>
      <c r="F810" s="116"/>
      <c r="G810" s="101"/>
      <c r="H810" s="101"/>
      <c r="I810" s="115"/>
      <c r="J810" s="145"/>
      <c r="K810" s="115"/>
      <c r="L810" s="119"/>
      <c r="M810" s="101"/>
      <c r="N810" s="120"/>
      <c r="O810" s="101"/>
      <c r="P810" s="101"/>
    </row>
    <row r="811" spans="1:18" ht="44.25" hidden="1" customHeight="1" x14ac:dyDescent="0.25">
      <c r="A811" s="89"/>
      <c r="G811" s="87"/>
      <c r="H811" s="87"/>
      <c r="J811" s="145"/>
    </row>
    <row r="812" spans="1:18" hidden="1" x14ac:dyDescent="0.25">
      <c r="A812" s="52">
        <v>0</v>
      </c>
      <c r="I812" s="101"/>
      <c r="J812" s="145"/>
      <c r="K812" s="101"/>
      <c r="L812" s="118"/>
    </row>
    <row r="813" spans="1:18" hidden="1" x14ac:dyDescent="0.25">
      <c r="A813" s="136" t="s">
        <v>1659</v>
      </c>
      <c r="B813" s="136"/>
      <c r="C813" s="30"/>
      <c r="D813" s="30"/>
      <c r="E813" s="30" t="s">
        <v>1660</v>
      </c>
      <c r="F813" s="30"/>
      <c r="G813" s="30"/>
      <c r="H813" s="30"/>
      <c r="J813" s="145"/>
      <c r="K813" s="31" t="s">
        <v>110</v>
      </c>
      <c r="M813" s="30"/>
      <c r="N813" s="30"/>
    </row>
    <row r="814" spans="1:18" hidden="1" x14ac:dyDescent="0.25">
      <c r="A814" s="136" t="s">
        <v>1661</v>
      </c>
      <c r="B814" s="136"/>
      <c r="C814" s="30"/>
      <c r="D814" s="30"/>
      <c r="E814" s="30" t="s">
        <v>1662</v>
      </c>
      <c r="F814" s="30"/>
      <c r="G814" s="30"/>
      <c r="H814" s="30"/>
      <c r="J814" s="145"/>
      <c r="M814" s="30"/>
      <c r="N814" s="30"/>
    </row>
    <row r="815" spans="1:18" x14ac:dyDescent="0.25">
      <c r="I815" s="30"/>
      <c r="J815" s="145"/>
      <c r="K815" s="30"/>
      <c r="L815" s="30" t="s">
        <v>1663</v>
      </c>
      <c r="N815" s="90"/>
      <c r="O815" t="s">
        <v>110</v>
      </c>
    </row>
    <row r="816" spans="1:18" x14ac:dyDescent="0.25">
      <c r="I816" s="30" t="s">
        <v>110</v>
      </c>
      <c r="J816" s="30"/>
      <c r="K816" s="30"/>
      <c r="L816" s="30" t="s">
        <v>1664</v>
      </c>
    </row>
    <row r="817" spans="3:19" ht="92.25" x14ac:dyDescent="0.25">
      <c r="C817" s="93"/>
      <c r="D817" s="93"/>
      <c r="E817" s="93" t="s">
        <v>110</v>
      </c>
      <c r="F817" s="93"/>
      <c r="G817" s="93"/>
      <c r="H817" s="93"/>
      <c r="J817" t="s">
        <v>110</v>
      </c>
      <c r="M817" s="93"/>
      <c r="N817" s="93"/>
      <c r="O817" s="93"/>
      <c r="P817" s="93"/>
      <c r="Q817" s="93"/>
      <c r="R817" s="93"/>
      <c r="S817" s="93"/>
    </row>
    <row r="818" spans="3:19" ht="92.25" x14ac:dyDescent="0.25">
      <c r="C818" s="93"/>
      <c r="D818" s="93"/>
      <c r="E818" s="93" t="s">
        <v>1665</v>
      </c>
      <c r="F818" s="93"/>
      <c r="G818" s="93"/>
      <c r="H818" s="93"/>
      <c r="M818" s="93"/>
      <c r="N818" s="93"/>
      <c r="O818" s="93"/>
      <c r="P818" s="93"/>
      <c r="Q818" s="93"/>
      <c r="R818" s="93"/>
      <c r="S818" s="93"/>
    </row>
    <row r="819" spans="3:19" ht="92.25" x14ac:dyDescent="0.25"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</row>
    <row r="820" spans="3:19" ht="92.25" x14ac:dyDescent="0.25"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</row>
    <row r="821" spans="3:19" ht="92.25" x14ac:dyDescent="0.25"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</row>
    <row r="822" spans="3:19" ht="92.25" x14ac:dyDescent="0.25"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</row>
    <row r="823" spans="3:19" ht="92.25" x14ac:dyDescent="0.25"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</row>
    <row r="824" spans="3:19" ht="92.25" x14ac:dyDescent="0.25"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</row>
    <row r="825" spans="3:19" ht="92.25" x14ac:dyDescent="0.25"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</row>
    <row r="826" spans="3:19" ht="92.25" x14ac:dyDescent="0.25"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</row>
    <row r="827" spans="3:19" ht="92.25" x14ac:dyDescent="0.25"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</row>
    <row r="828" spans="3:19" ht="92.25" x14ac:dyDescent="0.25"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</row>
    <row r="829" spans="3:19" ht="92.25" x14ac:dyDescent="0.25"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</row>
    <row r="830" spans="3:19" ht="92.25" x14ac:dyDescent="0.25"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</row>
    <row r="831" spans="3:19" ht="92.25" x14ac:dyDescent="0.25"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</row>
    <row r="832" spans="3:19" ht="92.25" x14ac:dyDescent="0.25"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</row>
    <row r="833" spans="3:19" ht="92.25" x14ac:dyDescent="0.25"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</row>
    <row r="834" spans="3:19" ht="92.25" x14ac:dyDescent="0.25">
      <c r="I834" s="93"/>
      <c r="J834" s="93"/>
      <c r="K834" s="93"/>
      <c r="L834" s="93"/>
    </row>
    <row r="835" spans="3:19" ht="92.25" x14ac:dyDescent="0.25">
      <c r="I835" s="93"/>
      <c r="J835" s="93"/>
      <c r="K835" s="93"/>
      <c r="L835" s="93"/>
    </row>
  </sheetData>
  <autoFilter ref="A7:P814" xr:uid="{698FA88D-560D-4D6C-981D-1E9D3DDB0512}">
    <filterColumn colId="6">
      <filters>
        <filter val="A-4367-2026"/>
      </filters>
    </filterColumn>
  </autoFilter>
  <mergeCells count="12">
    <mergeCell ref="D1:P2"/>
    <mergeCell ref="A814:B814"/>
    <mergeCell ref="A5:A6"/>
    <mergeCell ref="C5:C6"/>
    <mergeCell ref="I5:M5"/>
    <mergeCell ref="A813:B813"/>
    <mergeCell ref="D5:D6"/>
    <mergeCell ref="H5:H6"/>
    <mergeCell ref="G5:G6"/>
    <mergeCell ref="E5:E6"/>
    <mergeCell ref="J806:J815"/>
    <mergeCell ref="F5:F6"/>
  </mergeCells>
  <phoneticPr fontId="7" type="noConversion"/>
  <conditionalFormatting sqref="P281 O3:O808">
    <cfRule type="containsText" dxfId="59" priority="23" operator="containsText" text="DESTRUCCIÓN">
      <formula>NOT(ISERROR(SEARCH("DESTRUCCIÓN",O3)))</formula>
    </cfRule>
    <cfRule type="containsText" dxfId="58" priority="24" operator="containsText" text="ENVIADO">
      <formula>NOT(ISERROR(SEARCH("ENVIADO",O3)))</formula>
    </cfRule>
    <cfRule type="containsText" dxfId="57" priority="25" operator="containsText" text="EN CURSO">
      <formula>NOT(ISERROR(SEARCH("EN CURSO",O3)))</formula>
    </cfRule>
    <cfRule type="containsText" dxfId="56" priority="26" operator="containsText" text="EN CUSTODIA">
      <formula>NOT(ISERROR(SEARCH("EN CUSTODIA",O3)))</formula>
    </cfRule>
    <cfRule type="containsText" dxfId="55" priority="27" operator="containsText" text="ALMACENADO">
      <formula>NOT(ISERROR(SEARCH("ALMACENADO",O3)))</formula>
    </cfRule>
  </conditionalFormatting>
  <conditionalFormatting sqref="P281 O8:O807">
    <cfRule type="cellIs" dxfId="54" priority="19" operator="equal">
      <formula>#REF!</formula>
    </cfRule>
    <cfRule type="cellIs" dxfId="53" priority="20" operator="equal">
      <formula>#REF!</formula>
    </cfRule>
    <cfRule type="cellIs" dxfId="52" priority="21" operator="equal">
      <formula>#REF!</formula>
    </cfRule>
    <cfRule type="cellIs" dxfId="51" priority="22" operator="equal">
      <formula>"Laboratorio externo"</formula>
    </cfRule>
  </conditionalFormatting>
  <conditionalFormatting sqref="O25 O834:O1048576">
    <cfRule type="containsText" dxfId="50" priority="173" operator="containsText" text="DESTRUCCIÓN">
      <formula>NOT(ISERROR(SEARCH("DESTRUCCIÓN",O25)))</formula>
    </cfRule>
    <cfRule type="containsText" dxfId="49" priority="174" operator="containsText" text="ENVIADO">
      <formula>NOT(ISERROR(SEARCH("ENVIADO",O25)))</formula>
    </cfRule>
    <cfRule type="containsText" dxfId="48" priority="175" operator="containsText" text="EN CURSO">
      <formula>NOT(ISERROR(SEARCH("EN CURSO",O25)))</formula>
    </cfRule>
    <cfRule type="containsText" dxfId="47" priority="176" operator="containsText" text="EN CUSTODIA">
      <formula>NOT(ISERROR(SEARCH("EN CUSTODIA",O25)))</formula>
    </cfRule>
    <cfRule type="containsText" dxfId="46" priority="177" operator="containsText" text="ALMACENADO">
      <formula>NOT(ISERROR(SEARCH("ALMACENADO",O25)))</formula>
    </cfRule>
  </conditionalFormatting>
  <conditionalFormatting sqref="O25">
    <cfRule type="cellIs" dxfId="45" priority="118" operator="equal">
      <formula>#REF!</formula>
    </cfRule>
    <cfRule type="cellIs" dxfId="44" priority="119" operator="equal">
      <formula>#REF!</formula>
    </cfRule>
    <cfRule type="cellIs" dxfId="43" priority="120" operator="equal">
      <formula>#REF!</formula>
    </cfRule>
    <cfRule type="cellIs" dxfId="42" priority="121" operator="equal">
      <formula>#REF!</formula>
    </cfRule>
  </conditionalFormatting>
  <conditionalFormatting sqref="O810:O816">
    <cfRule type="containsText" dxfId="41" priority="32" operator="containsText" text="DESTRUCCIÓN">
      <formula>NOT(ISERROR(SEARCH("DESTRUCCIÓN",O810)))</formula>
    </cfRule>
    <cfRule type="containsText" dxfId="40" priority="33" operator="containsText" text="ENVIADO">
      <formula>NOT(ISERROR(SEARCH("ENVIADO",O810)))</formula>
    </cfRule>
    <cfRule type="containsText" dxfId="39" priority="34" operator="containsText" text="EN CURSO">
      <formula>NOT(ISERROR(SEARCH("EN CURSO",O810)))</formula>
    </cfRule>
    <cfRule type="containsText" dxfId="38" priority="35" operator="containsText" text="EN CUSTODIA">
      <formula>NOT(ISERROR(SEARCH("EN CUSTODIA",O810)))</formula>
    </cfRule>
    <cfRule type="containsText" dxfId="37" priority="36" operator="containsText" text="ALMACENADO">
      <formula>NOT(ISERROR(SEARCH("ALMACENADO",O810)))</formula>
    </cfRule>
  </conditionalFormatting>
  <conditionalFormatting sqref="P4">
    <cfRule type="containsText" dxfId="36" priority="167" operator="containsText" text="DESTRUCCIÓN">
      <formula>NOT(ISERROR(SEARCH("DESTRUCCIÓN",P4)))</formula>
    </cfRule>
    <cfRule type="containsText" dxfId="35" priority="168" operator="containsText" text="ENVIADO">
      <formula>NOT(ISERROR(SEARCH("ENVIADO",P4)))</formula>
    </cfRule>
    <cfRule type="containsText" dxfId="34" priority="169" operator="containsText" text="EN CURSO">
      <formula>NOT(ISERROR(SEARCH("EN CURSO",P4)))</formula>
    </cfRule>
    <cfRule type="containsText" dxfId="33" priority="170" operator="containsText" text="EN CUSTODIA">
      <formula>NOT(ISERROR(SEARCH("EN CUSTODIA",P4)))</formula>
    </cfRule>
    <cfRule type="containsText" dxfId="32" priority="171" operator="containsText" text="ALMACENADO">
      <formula>NOT(ISERROR(SEARCH("ALMACENADO",P4)))</formula>
    </cfRule>
  </conditionalFormatting>
  <dataValidations count="1">
    <dataValidation type="list" allowBlank="1" showInputMessage="1" showErrorMessage="1" sqref="O4" xr:uid="{D394202E-5B6B-4BE9-965A-D135C9C79F65}">
      <formula1>"Almacenado,Enviado,En curso,En custodia,Aprobado sin asignar, "</formula1>
    </dataValidation>
  </dataValidations>
  <pageMargins left="0.7" right="0.7" top="0.75" bottom="0.75" header="0.3" footer="0.3"/>
  <pageSetup fitToHeight="0" orientation="portrait" r:id="rId1"/>
  <ignoredErrors>
    <ignoredError sqref="G95:G96 G113 G114:G117 G207 G60:G61 G162 G187 G248 G251 G293 G333:G334 G391:G392 G396 G350 G284 G410 G422:G423 G424:G430 G504:G506 G510:G512 G515 G522 G528:G530 G545:G548 G583 G585 G628:G629 G492:G493 G691:G694 G731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E3F5F8-DBF6-4947-9114-CEB891497790}">
          <x14:formula1>
            <xm:f>DATOS!$D$3:$D$9</xm:f>
          </x14:formula1>
          <xm:sqref>P281 O8:O807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2FA7-213F-455D-88A6-50EB3A7276F9}">
  <sheetPr codeName="Hoja7">
    <pageSetUpPr fitToPage="1"/>
  </sheetPr>
  <dimension ref="A1:AE77"/>
  <sheetViews>
    <sheetView showGridLines="0" showZeros="0" view="pageBreakPreview" topLeftCell="A37" zoomScale="70" zoomScaleNormal="85" zoomScaleSheetLayoutView="70" workbookViewId="0">
      <selection activeCell="B77" sqref="B77:K77"/>
    </sheetView>
  </sheetViews>
  <sheetFormatPr baseColWidth="10" defaultColWidth="11.42578125" defaultRowHeight="15" x14ac:dyDescent="0.25"/>
  <cols>
    <col min="1" max="1" width="2.7109375" style="14" customWidth="1"/>
    <col min="2" max="2" width="16.5703125" style="14" bestFit="1" customWidth="1"/>
    <col min="3" max="3" width="17.7109375" style="14" customWidth="1"/>
    <col min="4" max="4" width="22.140625" style="14" customWidth="1"/>
    <col min="5" max="5" width="22.42578125" style="14" customWidth="1"/>
    <col min="6" max="6" width="20.5703125" style="14" customWidth="1"/>
    <col min="7" max="7" width="20.85546875" style="14" customWidth="1"/>
    <col min="8" max="8" width="13.85546875" style="14" customWidth="1"/>
    <col min="9" max="9" width="21.5703125" style="14" customWidth="1"/>
    <col min="10" max="11" width="14.85546875" style="14" customWidth="1"/>
    <col min="12" max="12" width="2.140625" style="14" customWidth="1"/>
    <col min="13" max="14" width="12.42578125" style="14" customWidth="1"/>
    <col min="15" max="15" width="11.42578125" style="14"/>
    <col min="16" max="16" width="20.7109375" style="14" customWidth="1"/>
    <col min="17" max="16384" width="11.42578125" style="14"/>
  </cols>
  <sheetData>
    <row r="1" spans="1:18" s="7" customFormat="1" ht="15" customHeight="1" x14ac:dyDescent="0.25">
      <c r="C1" s="8"/>
      <c r="D1" s="9"/>
      <c r="E1" s="10"/>
      <c r="F1" s="10"/>
      <c r="G1" s="10"/>
      <c r="H1" s="10"/>
      <c r="I1" s="10"/>
      <c r="J1" s="10"/>
    </row>
    <row r="2" spans="1:18" s="7" customFormat="1" ht="28.5" customHeight="1" x14ac:dyDescent="0.25">
      <c r="A2" s="188" t="s">
        <v>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1"/>
    </row>
    <row r="3" spans="1:18" s="7" customFormat="1" ht="14.25" customHeight="1" x14ac:dyDescent="0.25">
      <c r="C3" s="12"/>
      <c r="D3" s="10"/>
      <c r="E3" s="10"/>
      <c r="F3" s="10"/>
      <c r="G3" s="10"/>
      <c r="H3" s="10"/>
      <c r="I3" s="10"/>
      <c r="J3" s="10"/>
      <c r="K3" s="13" t="s">
        <v>1</v>
      </c>
    </row>
    <row r="4" spans="1:18" ht="16.5" customHeight="1" x14ac:dyDescent="0.25">
      <c r="B4" s="15"/>
      <c r="C4" s="15"/>
      <c r="D4" s="16"/>
      <c r="E4" s="16"/>
      <c r="F4" s="189" t="s">
        <v>2</v>
      </c>
      <c r="G4" s="191">
        <f ca="1">TODAY()</f>
        <v>46217</v>
      </c>
      <c r="H4" s="191"/>
      <c r="I4" s="193" t="s">
        <v>3</v>
      </c>
      <c r="J4" s="222">
        <v>109</v>
      </c>
      <c r="K4" s="223"/>
      <c r="M4" s="17"/>
    </row>
    <row r="5" spans="1:18" ht="16.5" customHeight="1" x14ac:dyDescent="0.25">
      <c r="A5" s="15"/>
      <c r="B5" s="15"/>
      <c r="C5" s="15"/>
      <c r="D5" s="16"/>
      <c r="E5" s="16"/>
      <c r="F5" s="190"/>
      <c r="G5" s="192"/>
      <c r="H5" s="192"/>
      <c r="I5" s="194"/>
      <c r="J5" s="224"/>
      <c r="K5" s="225"/>
    </row>
    <row r="6" spans="1:18" ht="6" customHeight="1" x14ac:dyDescent="0.25">
      <c r="C6" s="18"/>
      <c r="J6" s="181"/>
      <c r="K6" s="181"/>
    </row>
    <row r="7" spans="1:18" ht="21.75" customHeight="1" x14ac:dyDescent="0.25">
      <c r="B7" s="182" t="s">
        <v>4</v>
      </c>
      <c r="C7" s="182"/>
      <c r="D7" s="182"/>
      <c r="E7" s="182"/>
      <c r="F7" s="182"/>
      <c r="G7" s="182"/>
      <c r="H7" s="182"/>
      <c r="I7" s="182"/>
      <c r="J7" s="182"/>
      <c r="K7" s="182"/>
      <c r="L7" s="19"/>
      <c r="N7" s="14">
        <v>0</v>
      </c>
    </row>
    <row r="8" spans="1:18" ht="6.75" customHeight="1" x14ac:dyDescent="0.25"/>
    <row r="9" spans="1:18" s="20" customFormat="1" ht="30" customHeight="1" x14ac:dyDescent="0.25">
      <c r="B9" s="183" t="s">
        <v>5</v>
      </c>
      <c r="C9" s="184"/>
      <c r="D9" s="226" t="str">
        <f>IF(M12&gt;0,(UPPER(_xlfn.XLOOKUP(M12,CONTROL_MUESTRAS_2026!A:A,CONTROL_MUESTRAS_2026!C:C,"No encontrado",0))),"")</f>
        <v>NICOMAR ELECTRONICS</v>
      </c>
      <c r="E9" s="226"/>
      <c r="G9" s="186" t="s">
        <v>6</v>
      </c>
      <c r="H9" s="186"/>
      <c r="I9" s="227" t="s">
        <v>1666</v>
      </c>
      <c r="J9" s="228"/>
      <c r="K9" s="229"/>
    </row>
    <row r="10" spans="1:18" s="20" customFormat="1" ht="6" customHeight="1" x14ac:dyDescent="0.25">
      <c r="M10" s="21"/>
    </row>
    <row r="11" spans="1:18" s="20" customFormat="1" ht="40.5" customHeight="1" x14ac:dyDescent="0.25">
      <c r="B11" s="178" t="s">
        <v>8</v>
      </c>
      <c r="C11" s="179"/>
      <c r="D11" s="22" t="s">
        <v>9</v>
      </c>
      <c r="E11" s="180" t="s">
        <v>10</v>
      </c>
      <c r="F11" s="179"/>
      <c r="G11" s="22" t="s">
        <v>11</v>
      </c>
      <c r="H11" s="180" t="s">
        <v>12</v>
      </c>
      <c r="I11" s="179"/>
      <c r="J11" s="22" t="s">
        <v>13</v>
      </c>
      <c r="K11" s="23" t="s">
        <v>14</v>
      </c>
      <c r="M11" s="24" t="s">
        <v>15</v>
      </c>
    </row>
    <row r="12" spans="1:18" s="20" customFormat="1" ht="39" customHeight="1" x14ac:dyDescent="0.25">
      <c r="B12" s="203" t="str" cm="1">
        <f t="array" ref="B12">IF(M12&gt;0,(UPPER(_xlfn.XLOOKUP(M12,CONTROL_MUESTRAS_2026!A:A,CONCATENATE(CONTROL_MUESTRAS_2026!I:I," - ",CONTROL_MUESTRAS_2026!J:J," - ",CONTROL_MUESTRAS_2026!K:K),"No encontrado",0))),"")</f>
        <v>LENC - 26 - N/E</v>
      </c>
      <c r="C12" s="204"/>
      <c r="D12" s="111" t="str">
        <f>IF(M12&gt;0,(UPPER(_xlfn.XLOOKUP(M12,CONTROL_MUESTRAS_2026!A:A,CONTROL_MUESTRAS_2026!G:G,"No encontrado",0))),"")</f>
        <v>21714</v>
      </c>
      <c r="E12" s="177" t="str">
        <f>IF(M12&gt;0,(UPPER(_xlfn.XLOOKUP(M12,CONTROL_MUESTRAS_2026!A:A,CONTROL_MUESTRAS_2026!D:D,"No encontrado",0))),"")</f>
        <v>MULTITOMA FIJA</v>
      </c>
      <c r="F12" s="177"/>
      <c r="G12" s="111" t="str">
        <f>IF(M12&gt;0,(UPPER(_xlfn.XLOOKUP(M12,CONTROL_MUESTRAS_2026!A:A,CONTROL_MUESTRAS_2026!E:E,"No encontrado",0))),"")</f>
        <v>POWEST</v>
      </c>
      <c r="H12" s="210" t="s">
        <v>17</v>
      </c>
      <c r="I12" s="221"/>
      <c r="J12" s="54" t="str">
        <f>IF(M12&gt;0,TEXT(_xlfn.XLOOKUP(M12,CONTROL_MUESTRAS_2026!A:A,CONTROL_MUESTRAS_2026!B:B,"No encontrado",0),"yyyy-mm-dd"),"")</f>
        <v>2026-06-18</v>
      </c>
      <c r="K12" s="54">
        <f t="shared" ref="K12:K27" ca="1" si="0">$G$4</f>
        <v>46217</v>
      </c>
      <c r="M12" s="78">
        <v>745</v>
      </c>
      <c r="P12" s="227" t="s">
        <v>1667</v>
      </c>
      <c r="Q12" s="228"/>
      <c r="R12" s="229"/>
    </row>
    <row r="13" spans="1:18" s="20" customFormat="1" ht="39" hidden="1" customHeight="1" x14ac:dyDescent="0.25">
      <c r="B13" s="203" t="str" cm="1">
        <f t="array" ref="B13">IF(M13&gt;0,(UPPER(_xlfn.XLOOKUP(M13,CONTROL_MUESTRAS_2026!A:A,CONCATENATE(CONTROL_MUESTRAS_2026!I:I," - ",CONTROL_MUESTRAS_2026!J:J," - ",CONTROL_MUESTRAS_2026!K:K),"No encontrado",0))),"")</f>
        <v/>
      </c>
      <c r="C13" s="204"/>
      <c r="D13" s="111" t="str">
        <f>IF(M13&gt;0,(UPPER(_xlfn.XLOOKUP(M13,CONTROL_MUESTRAS_2026!A:A,CONTROL_MUESTRAS_2026!G:G,"No encontrado",0))),"")</f>
        <v/>
      </c>
      <c r="E13" s="177" t="str">
        <f>IF(M13&gt;0,(UPPER(_xlfn.XLOOKUP(M13,CONTROL_MUESTRAS_2026!A:A,CONTROL_MUESTRAS_2026!D:D,"No encontrado",0))),"")</f>
        <v/>
      </c>
      <c r="F13" s="177"/>
      <c r="G13" s="111" t="str">
        <f>IF(M13&gt;0,(UPPER(_xlfn.XLOOKUP(M13,CONTROL_MUESTRAS_2026!A:A,CONTROL_MUESTRAS_2026!E:E,"No encontrado",0))),"")</f>
        <v/>
      </c>
      <c r="H13" s="210" t="s">
        <v>17</v>
      </c>
      <c r="I13" s="221"/>
      <c r="J13" s="54" t="str">
        <f>IF(M13&gt;0,TEXT(_xlfn.XLOOKUP(M13,CONTROL_MUESTRAS_2026!A:A,CONTROL_MUESTRAS_2026!B:B,"No encontrado",0),"yyyy-mm-dd"),"")</f>
        <v/>
      </c>
      <c r="K13" s="54">
        <f t="shared" ca="1" si="0"/>
        <v>46217</v>
      </c>
      <c r="M13" s="78"/>
      <c r="P13" s="227" t="s">
        <v>1668</v>
      </c>
      <c r="Q13" s="228"/>
      <c r="R13" s="229"/>
    </row>
    <row r="14" spans="1:18" s="20" customFormat="1" ht="39" hidden="1" customHeight="1" x14ac:dyDescent="0.25">
      <c r="B14" s="203" t="str" cm="1">
        <f t="array" ref="B14">IF(M14&gt;0,(UPPER(_xlfn.XLOOKUP(M14,CONTROL_MUESTRAS_2026!A:A,CONCATENATE(CONTROL_MUESTRAS_2026!I:I," - ",CONTROL_MUESTRAS_2026!J:J," - ",CONTROL_MUESTRAS_2026!K:K),"No encontrado",0))),"")</f>
        <v/>
      </c>
      <c r="C14" s="204"/>
      <c r="D14" s="111" t="str">
        <f>IF(M14&gt;0,(UPPER(_xlfn.XLOOKUP(M14,CONTROL_MUESTRAS_2026!A:A,CONTROL_MUESTRAS_2026!G:G,"No encontrado",0))),"")</f>
        <v/>
      </c>
      <c r="E14" s="177" t="str">
        <f>IF(M14&gt;0,(UPPER(_xlfn.XLOOKUP(M14,CONTROL_MUESTRAS_2026!A:A,CONTROL_MUESTRAS_2026!D:D,"No encontrado",0))),"")</f>
        <v/>
      </c>
      <c r="F14" s="177"/>
      <c r="G14" s="111" t="str">
        <f>IF(M14&gt;0,(UPPER(_xlfn.XLOOKUP(M14,CONTROL_MUESTRAS_2026!A:A,CONTROL_MUESTRAS_2026!E:E,"No encontrado",0))),"")</f>
        <v/>
      </c>
      <c r="H14" s="210" t="s">
        <v>17</v>
      </c>
      <c r="I14" s="221"/>
      <c r="J14" s="54" t="str">
        <f>IF(M14&gt;0,TEXT(_xlfn.XLOOKUP(M14,CONTROL_MUESTRAS_2026!A:A,CONTROL_MUESTRAS_2026!B:B,"No encontrado",0),"yyyy-mm-dd"),"")</f>
        <v/>
      </c>
      <c r="K14" s="54">
        <f t="shared" ca="1" si="0"/>
        <v>46217</v>
      </c>
      <c r="M14" s="78"/>
      <c r="P14" s="227" t="s">
        <v>478</v>
      </c>
      <c r="Q14" s="228"/>
      <c r="R14" s="229"/>
    </row>
    <row r="15" spans="1:18" s="20" customFormat="1" ht="39" hidden="1" customHeight="1" x14ac:dyDescent="0.25">
      <c r="B15" s="203" t="str" cm="1">
        <f t="array" ref="B15">IF(M15&gt;0,(UPPER(_xlfn.XLOOKUP(M15,CONTROL_MUESTRAS_2026!A:A,CONCATENATE(CONTROL_MUESTRAS_2026!I:I," - ",CONTROL_MUESTRAS_2026!J:J," - ",CONTROL_MUESTRAS_2026!K:K),"No encontrado",0))),"")</f>
        <v/>
      </c>
      <c r="C15" s="204"/>
      <c r="D15" s="111" t="str">
        <f>IF(M15&gt;0,(UPPER(_xlfn.XLOOKUP(M15,CONTROL_MUESTRAS_2026!A:A,CONTROL_MUESTRAS_2026!G:G,"No encontrado",0))),"")</f>
        <v/>
      </c>
      <c r="E15" s="177" t="str">
        <f>IF(M15&gt;0,(UPPER(_xlfn.XLOOKUP(M15,CONTROL_MUESTRAS_2026!A:A,CONTROL_MUESTRAS_2026!D:D,"No encontrado",0))),"")</f>
        <v/>
      </c>
      <c r="F15" s="177"/>
      <c r="G15" s="111" t="str">
        <f>IF(M15&gt;0,(UPPER(_xlfn.XLOOKUP(M15,CONTROL_MUESTRAS_2026!A:A,CONTROL_MUESTRAS_2026!E:E,"No encontrado",0))),"")</f>
        <v/>
      </c>
      <c r="H15" s="210" t="s">
        <v>17</v>
      </c>
      <c r="I15" s="221"/>
      <c r="J15" s="54" t="str">
        <f>IF(M15&gt;0,TEXT(_xlfn.XLOOKUP(M15,CONTROL_MUESTRAS_2026!A:A,CONTROL_MUESTRAS_2026!B:B,"No encontrado",0),"yyyy-mm-dd"),"")</f>
        <v/>
      </c>
      <c r="K15" s="54">
        <f t="shared" ca="1" si="0"/>
        <v>46217</v>
      </c>
      <c r="M15" s="78"/>
      <c r="P15" s="258" t="s">
        <v>1669</v>
      </c>
      <c r="Q15" s="259"/>
      <c r="R15" s="260"/>
    </row>
    <row r="16" spans="1:18" s="20" customFormat="1" ht="39" hidden="1" customHeight="1" x14ac:dyDescent="0.25">
      <c r="B16" s="203" t="str" cm="1">
        <f t="array" ref="B16">IF(M16&gt;0,(UPPER(_xlfn.XLOOKUP(M16,CONTROL_MUESTRAS_2026!A:A,CONCATENATE(CONTROL_MUESTRAS_2026!I:I," - ",CONTROL_MUESTRAS_2026!J:J," - ",CONTROL_MUESTRAS_2026!K:K),"No encontrado",0))),"")</f>
        <v/>
      </c>
      <c r="C16" s="204"/>
      <c r="D16" s="111" t="str">
        <f>IF(M16&gt;0,(UPPER(_xlfn.XLOOKUP(M16,CONTROL_MUESTRAS_2026!A:A,CONTROL_MUESTRAS_2026!G:G,"No encontrado",0))),"")</f>
        <v/>
      </c>
      <c r="E16" s="177" t="str">
        <f>IF(M16&gt;0,(UPPER(_xlfn.XLOOKUP(M16,CONTROL_MUESTRAS_2026!A:A,CONTROL_MUESTRAS_2026!D:D,"No encontrado",0))),"")</f>
        <v/>
      </c>
      <c r="F16" s="177"/>
      <c r="G16" s="111" t="str">
        <f>IF(M16&gt;0,(UPPER(_xlfn.XLOOKUP(M16,CONTROL_MUESTRAS_2026!A:A,CONTROL_MUESTRAS_2026!E:E,"No encontrado",0))),"")</f>
        <v/>
      </c>
      <c r="H16" s="210" t="s">
        <v>17</v>
      </c>
      <c r="I16" s="221"/>
      <c r="J16" s="54" t="str">
        <f>IF(M16&gt;0,TEXT(_xlfn.XLOOKUP(M16,CONTROL_MUESTRAS_2026!A:A,CONTROL_MUESTRAS_2026!B:B,"No encontrado",0),"yyyy-mm-dd"),"")</f>
        <v/>
      </c>
      <c r="K16" s="54">
        <f t="shared" ca="1" si="0"/>
        <v>46217</v>
      </c>
      <c r="M16" s="78"/>
    </row>
    <row r="17" spans="2:23" s="20" customFormat="1" ht="39" hidden="1" customHeight="1" x14ac:dyDescent="0.25">
      <c r="B17" s="203" t="str" cm="1">
        <f t="array" ref="B17">IF(M17&gt;0,(UPPER(_xlfn.XLOOKUP(M17,CONTROL_MUESTRAS_2026!A:A,CONCATENATE(CONTROL_MUESTRAS_2026!I:I," - ",CONTROL_MUESTRAS_2026!J:J," - ",CONTROL_MUESTRAS_2026!K:K),"No encontrado",0))),"")</f>
        <v/>
      </c>
      <c r="C17" s="204"/>
      <c r="D17" s="111" t="str">
        <f>IF(M17&gt;0,(UPPER(_xlfn.XLOOKUP(M17,CONTROL_MUESTRAS_2026!A:A,CONTROL_MUESTRAS_2026!G:G,"No encontrado",0))),"")</f>
        <v/>
      </c>
      <c r="E17" s="177" t="str">
        <f>IF(M17&gt;0,(UPPER(_xlfn.XLOOKUP(M17,CONTROL_MUESTRAS_2026!A:A,CONTROL_MUESTRAS_2026!D:D,"No encontrado",0))),"")</f>
        <v/>
      </c>
      <c r="F17" s="177"/>
      <c r="G17" s="111" t="str">
        <f>IF(M17&gt;0,(UPPER(_xlfn.XLOOKUP(M17,CONTROL_MUESTRAS_2026!A:A,CONTROL_MUESTRAS_2026!E:E,"No encontrado",0))),"")</f>
        <v/>
      </c>
      <c r="H17" s="210" t="s">
        <v>17</v>
      </c>
      <c r="I17" s="221"/>
      <c r="J17" s="54" t="str">
        <f>IF(M17&gt;0,TEXT(_xlfn.XLOOKUP(M17,CONTROL_MUESTRAS_2026!A:A,CONTROL_MUESTRAS_2026!B:B,"No encontrado",0),"yyyy-mm-dd"),"")</f>
        <v/>
      </c>
      <c r="K17" s="54">
        <f t="shared" ca="1" si="0"/>
        <v>46217</v>
      </c>
      <c r="M17" s="78"/>
    </row>
    <row r="18" spans="2:23" s="20" customFormat="1" ht="39" hidden="1" customHeight="1" x14ac:dyDescent="0.25">
      <c r="B18" s="203" t="str" cm="1">
        <f t="array" ref="B18">IF(M18&gt;0,(UPPER(_xlfn.XLOOKUP(M18,CONTROL_MUESTRAS_2026!A:A,CONCATENATE(CONTROL_MUESTRAS_2026!I:I," - ",CONTROL_MUESTRAS_2026!J:J," - ",CONTROL_MUESTRAS_2026!K:K),"No encontrado",0))),"")</f>
        <v/>
      </c>
      <c r="C18" s="204"/>
      <c r="D18" s="111" t="str">
        <f>IF(M18&gt;0,(UPPER(_xlfn.XLOOKUP(M18,CONTROL_MUESTRAS_2026!A:A,CONTROL_MUESTRAS_2026!G:G,"No encontrado",0))),"")</f>
        <v/>
      </c>
      <c r="E18" s="177" t="str">
        <f>IF(M18&gt;0,(UPPER(_xlfn.XLOOKUP(M18,CONTROL_MUESTRAS_2026!A:A,CONTROL_MUESTRAS_2026!D:D,"No encontrado",0))),"")</f>
        <v/>
      </c>
      <c r="F18" s="177"/>
      <c r="G18" s="111" t="str">
        <f>IF(M18&gt;0,(UPPER(_xlfn.XLOOKUP(M18,CONTROL_MUESTRAS_2026!A:A,CONTROL_MUESTRAS_2026!E:E,"No encontrado",0))),"")</f>
        <v/>
      </c>
      <c r="H18" s="210" t="s">
        <v>17</v>
      </c>
      <c r="I18" s="221"/>
      <c r="J18" s="54" t="str">
        <f>IF(M18&gt;0,TEXT(_xlfn.XLOOKUP(M18,CONTROL_MUESTRAS_2026!A:A,CONTROL_MUESTRAS_2026!B:B,"No encontrado",0),"yyyy-mm-dd"),"")</f>
        <v/>
      </c>
      <c r="K18" s="54">
        <f t="shared" ca="1" si="0"/>
        <v>46217</v>
      </c>
      <c r="M18" s="78"/>
    </row>
    <row r="19" spans="2:23" s="20" customFormat="1" ht="39" hidden="1" customHeight="1" x14ac:dyDescent="0.25">
      <c r="B19" s="203" t="str" cm="1">
        <f t="array" ref="B19">IF(M19&gt;0,(UPPER(_xlfn.XLOOKUP(M19,CONTROL_MUESTRAS_2026!A:A,CONCATENATE(CONTROL_MUESTRAS_2026!I:I," - ",CONTROL_MUESTRAS_2026!J:J," - ",CONTROL_MUESTRAS_2026!K:K),"No encontrado",0))),"")</f>
        <v/>
      </c>
      <c r="C19" s="204"/>
      <c r="D19" s="111" t="str">
        <f>IF(M19&gt;0,(UPPER(_xlfn.XLOOKUP(M19,CONTROL_MUESTRAS_2026!A:A,CONTROL_MUESTRAS_2026!G:G,"No encontrado",0))),"")</f>
        <v/>
      </c>
      <c r="E19" s="177" t="str">
        <f>IF(M19&gt;0,(UPPER(_xlfn.XLOOKUP(M19,CONTROL_MUESTRAS_2026!A:A,CONTROL_MUESTRAS_2026!D:D,"No encontrado",0))),"")</f>
        <v/>
      </c>
      <c r="F19" s="177"/>
      <c r="G19" s="111" t="str">
        <f>IF(M19&gt;0,(UPPER(_xlfn.XLOOKUP(M19,CONTROL_MUESTRAS_2026!A:A,CONTROL_MUESTRAS_2026!E:E,"No encontrado",0))),"")</f>
        <v/>
      </c>
      <c r="H19" s="210" t="s">
        <v>17</v>
      </c>
      <c r="I19" s="221"/>
      <c r="J19" s="54" t="str">
        <f>IF(M19&gt;0,TEXT(_xlfn.XLOOKUP(M19,CONTROL_MUESTRAS_2026!A:A,CONTROL_MUESTRAS_2026!B:B,"No encontrado",0),"yyyy-mm-dd"),"")</f>
        <v/>
      </c>
      <c r="K19" s="54">
        <f t="shared" ca="1" si="0"/>
        <v>46217</v>
      </c>
      <c r="M19" s="78"/>
    </row>
    <row r="20" spans="2:23" s="20" customFormat="1" ht="39" hidden="1" customHeight="1" x14ac:dyDescent="0.25">
      <c r="B20" s="203" t="str" cm="1">
        <f t="array" ref="B20">IF(M20&gt;0,(UPPER(_xlfn.XLOOKUP(M20,CONTROL_MUESTRAS_2026!A:A,CONCATENATE(CONTROL_MUESTRAS_2026!I:I," - ",CONTROL_MUESTRAS_2026!J:J," - ",CONTROL_MUESTRAS_2026!K:K),"No encontrado",0))),"")</f>
        <v/>
      </c>
      <c r="C20" s="204"/>
      <c r="D20" s="111" t="str">
        <f>IF(M20&gt;0,(UPPER(_xlfn.XLOOKUP(M20,CONTROL_MUESTRAS_2026!A:A,CONTROL_MUESTRAS_2026!G:G,"No encontrado",0))),"")</f>
        <v/>
      </c>
      <c r="E20" s="177" t="str">
        <f>IF(M20&gt;0,(UPPER(_xlfn.XLOOKUP(M20,CONTROL_MUESTRAS_2026!A:A,CONTROL_MUESTRAS_2026!D:D,"No encontrado",0))),"")</f>
        <v/>
      </c>
      <c r="F20" s="177"/>
      <c r="G20" s="111" t="str">
        <f>IF(M20&gt;0,(UPPER(_xlfn.XLOOKUP(M20,CONTROL_MUESTRAS_2026!A:A,CONTROL_MUESTRAS_2026!E:E,"No encontrado",0))),"")</f>
        <v/>
      </c>
      <c r="H20" s="210" t="s">
        <v>17</v>
      </c>
      <c r="I20" s="221"/>
      <c r="J20" s="54" t="str">
        <f>IF(M20&gt;0,TEXT(_xlfn.XLOOKUP(M20,CONTROL_MUESTRAS_2026!A:A,CONTROL_MUESTRAS_2026!B:B,"No encontrado",0),"yyyy-mm-dd"),"")</f>
        <v/>
      </c>
      <c r="K20" s="54">
        <f t="shared" ca="1" si="0"/>
        <v>46217</v>
      </c>
      <c r="M20" s="78"/>
    </row>
    <row r="21" spans="2:23" s="20" customFormat="1" ht="39" hidden="1" customHeight="1" x14ac:dyDescent="0.25">
      <c r="B21" s="203" t="str" cm="1">
        <f t="array" ref="B21">IF(M21&gt;0,(UPPER(_xlfn.XLOOKUP(M21,CONTROL_MUESTRAS_2026!A:A,CONCATENATE(CONTROL_MUESTRAS_2026!I:I," - ",CONTROL_MUESTRAS_2026!J:J," - ",CONTROL_MUESTRAS_2026!K:K),"No encontrado",0))),"")</f>
        <v/>
      </c>
      <c r="C21" s="204"/>
      <c r="D21" s="111" t="str">
        <f>IF(M21&gt;0,(UPPER(_xlfn.XLOOKUP(M21,CONTROL_MUESTRAS_2026!A:A,CONTROL_MUESTRAS_2026!G:G,"No encontrado",0))),"")</f>
        <v/>
      </c>
      <c r="E21" s="177" t="str">
        <f>IF(M21&gt;0,(UPPER(_xlfn.XLOOKUP(M21,CONTROL_MUESTRAS_2026!A:A,CONTROL_MUESTRAS_2026!D:D,"No encontrado",0))),"")</f>
        <v/>
      </c>
      <c r="F21" s="177"/>
      <c r="G21" s="111" t="str">
        <f>IF(M21&gt;0,(UPPER(_xlfn.XLOOKUP(M21,CONTROL_MUESTRAS_2026!A:A,CONTROL_MUESTRAS_2026!E:E,"No encontrado",0))),"")</f>
        <v/>
      </c>
      <c r="H21" s="210" t="s">
        <v>17</v>
      </c>
      <c r="I21" s="221"/>
      <c r="J21" s="54" t="str">
        <f>IF(M21&gt;0,TEXT(_xlfn.XLOOKUP(M21,CONTROL_MUESTRAS_2026!A:A,CONTROL_MUESTRAS_2026!B:B,"No encontrado",0),"yyyy-mm-dd"),"")</f>
        <v/>
      </c>
      <c r="K21" s="54">
        <f t="shared" ca="1" si="0"/>
        <v>46217</v>
      </c>
      <c r="M21" s="78"/>
    </row>
    <row r="22" spans="2:23" s="20" customFormat="1" ht="39" hidden="1" customHeight="1" x14ac:dyDescent="0.25">
      <c r="B22" s="203" t="str" cm="1">
        <f t="array" ref="B22">IF(M22&gt;0,(UPPER(_xlfn.XLOOKUP(M22,CONTROL_MUESTRAS_2026!A:A,CONCATENATE(CONTROL_MUESTRAS_2026!I:I," - ",CONTROL_MUESTRAS_2026!J:J," - ",CONTROL_MUESTRAS_2026!K:K),"No encontrado",0))),"")</f>
        <v/>
      </c>
      <c r="C22" s="204"/>
      <c r="D22" s="111" t="str">
        <f>IF(M22&gt;0,(UPPER(_xlfn.XLOOKUP(M22,CONTROL_MUESTRAS_2026!A:A,CONTROL_MUESTRAS_2026!G:G,"No encontrado",0))),"")</f>
        <v/>
      </c>
      <c r="E22" s="177" t="str">
        <f>IF(M22&gt;0,(UPPER(_xlfn.XLOOKUP(M22,CONTROL_MUESTRAS_2026!A:A,CONTROL_MUESTRAS_2026!D:D,"No encontrado",0))),"")</f>
        <v/>
      </c>
      <c r="F22" s="177"/>
      <c r="G22" s="111" t="str">
        <f>IF(M22&gt;0,(UPPER(_xlfn.XLOOKUP(M22,CONTROL_MUESTRAS_2026!A:A,CONTROL_MUESTRAS_2026!E:E,"No encontrado",0))),"")</f>
        <v/>
      </c>
      <c r="H22" s="210" t="s">
        <v>17</v>
      </c>
      <c r="I22" s="221"/>
      <c r="J22" s="54" t="str">
        <f>IF(M22&gt;0,TEXT(_xlfn.XLOOKUP(M22,CONTROL_MUESTRAS_2026!A:A,CONTROL_MUESTRAS_2026!B:B,"No encontrado",0),"yyyy-mm-dd"),"")</f>
        <v/>
      </c>
      <c r="K22" s="54">
        <f t="shared" ca="1" si="0"/>
        <v>46217</v>
      </c>
      <c r="M22" s="78"/>
    </row>
    <row r="23" spans="2:23" s="20" customFormat="1" ht="39" hidden="1" customHeight="1" x14ac:dyDescent="0.25">
      <c r="B23" s="203" t="str" cm="1">
        <f t="array" ref="B23">IF(M23&gt;0,(UPPER(_xlfn.XLOOKUP(M23,CONTROL_MUESTRAS_2026!A:A,CONCATENATE(CONTROL_MUESTRAS_2026!I:I," - ",CONTROL_MUESTRAS_2026!J:J," - ",CONTROL_MUESTRAS_2026!K:K),"No encontrado",0))),"")</f>
        <v/>
      </c>
      <c r="C23" s="204"/>
      <c r="D23" s="111" t="str">
        <f>IF(M23&gt;0,(UPPER(_xlfn.XLOOKUP(M23,CONTROL_MUESTRAS_2026!A:A,CONTROL_MUESTRAS_2026!G:G,"No encontrado",0))),"")</f>
        <v/>
      </c>
      <c r="E23" s="177" t="str">
        <f>IF(M23&gt;0,(UPPER(_xlfn.XLOOKUP(M23,CONTROL_MUESTRAS_2026!A:A,CONTROL_MUESTRAS_2026!D:D,"No encontrado",0))),"")</f>
        <v/>
      </c>
      <c r="F23" s="177"/>
      <c r="G23" s="111" t="str">
        <f>IF(M23&gt;0,(UPPER(_xlfn.XLOOKUP(M23,CONTROL_MUESTRAS_2026!A:A,CONTROL_MUESTRAS_2026!E:E,"No encontrado",0))),"")</f>
        <v/>
      </c>
      <c r="H23" s="210" t="s">
        <v>17</v>
      </c>
      <c r="I23" s="221"/>
      <c r="J23" s="54" t="str">
        <f>IF(M23&gt;0,TEXT(_xlfn.XLOOKUP(M23,CONTROL_MUESTRAS_2026!A:A,CONTROL_MUESTRAS_2026!B:B,"No encontrado",0),"yyyy-mm-dd"),"")</f>
        <v/>
      </c>
      <c r="K23" s="54">
        <f t="shared" ca="1" si="0"/>
        <v>46217</v>
      </c>
      <c r="M23" s="78"/>
    </row>
    <row r="24" spans="2:23" s="20" customFormat="1" ht="39" hidden="1" customHeight="1" x14ac:dyDescent="0.25">
      <c r="B24" s="203" t="str" cm="1">
        <f t="array" ref="B24">IF(M24&gt;0,(UPPER(_xlfn.XLOOKUP(M24,CONTROL_MUESTRAS_2026!A:A,CONCATENATE(CONTROL_MUESTRAS_2026!I:I," - ",CONTROL_MUESTRAS_2026!J:J," - ",CONTROL_MUESTRAS_2026!K:K),"No encontrado",0))),"")</f>
        <v/>
      </c>
      <c r="C24" s="204"/>
      <c r="D24" s="111" t="str">
        <f>IF(M24&gt;0,(UPPER(_xlfn.XLOOKUP(M24,CONTROL_MUESTRAS_2026!A:A,CONTROL_MUESTRAS_2026!G:G,"No encontrado",0))),"")</f>
        <v/>
      </c>
      <c r="E24" s="177" t="str">
        <f>IF(M24&gt;0,(UPPER(_xlfn.XLOOKUP(M24,CONTROL_MUESTRAS_2026!A:A,CONTROL_MUESTRAS_2026!D:D,"No encontrado",0))),"")</f>
        <v/>
      </c>
      <c r="F24" s="177"/>
      <c r="G24" s="111" t="str">
        <f>IF(M24&gt;0,(UPPER(_xlfn.XLOOKUP(M24,CONTROL_MUESTRAS_2026!A:A,CONTROL_MUESTRAS_2026!E:E,"No encontrado",0))),"")</f>
        <v/>
      </c>
      <c r="H24" s="210" t="s">
        <v>17</v>
      </c>
      <c r="I24" s="221"/>
      <c r="J24" s="54" t="str">
        <f>IF(M24&gt;0,TEXT(_xlfn.XLOOKUP(M24,CONTROL_MUESTRAS_2026!A:A,CONTROL_MUESTRAS_2026!B:B,"No encontrado",0),"yyyy-mm-dd"),"")</f>
        <v/>
      </c>
      <c r="K24" s="54">
        <f t="shared" ca="1" si="0"/>
        <v>46217</v>
      </c>
      <c r="M24" s="78"/>
    </row>
    <row r="25" spans="2:23" s="20" customFormat="1" ht="39" hidden="1" customHeight="1" x14ac:dyDescent="0.25">
      <c r="B25" s="203" t="str" cm="1">
        <f t="array" ref="B25">IF(M25&gt;0,(UPPER(_xlfn.XLOOKUP(M25,CONTROL_MUESTRAS_2026!A:A,CONCATENATE(CONTROL_MUESTRAS_2026!I:I," - ",CONTROL_MUESTRAS_2026!J:J," - ",CONTROL_MUESTRAS_2026!K:K),"No encontrado",0))),"")</f>
        <v/>
      </c>
      <c r="C25" s="204"/>
      <c r="D25" s="111" t="str">
        <f>IF(M25&gt;0,(UPPER(_xlfn.XLOOKUP(M25,CONTROL_MUESTRAS_2026!A:A,CONTROL_MUESTRAS_2026!G:G,"No encontrado",0))),"")</f>
        <v/>
      </c>
      <c r="E25" s="177" t="str">
        <f>IF(M25&gt;0,(UPPER(_xlfn.XLOOKUP(M25,CONTROL_MUESTRAS_2026!A:A,CONTROL_MUESTRAS_2026!D:D,"No encontrado",0))),"")</f>
        <v/>
      </c>
      <c r="F25" s="177"/>
      <c r="G25" s="111" t="str">
        <f>IF(M25&gt;0,(UPPER(_xlfn.XLOOKUP(M25,CONTROL_MUESTRAS_2026!A:A,CONTROL_MUESTRAS_2026!E:E,"No encontrado",0))),"")</f>
        <v/>
      </c>
      <c r="H25" s="210" t="s">
        <v>17</v>
      </c>
      <c r="I25" s="221"/>
      <c r="J25" s="54" t="str">
        <f>IF(M25&gt;0,TEXT(_xlfn.XLOOKUP(M25,CONTROL_MUESTRAS_2026!A:A,CONTROL_MUESTRAS_2026!B:B,"No encontrado",0),"yyyy-mm-dd"),"")</f>
        <v/>
      </c>
      <c r="K25" s="54">
        <f t="shared" ca="1" si="0"/>
        <v>46217</v>
      </c>
      <c r="M25" s="78"/>
    </row>
    <row r="26" spans="2:23" s="20" customFormat="1" ht="39" hidden="1" customHeight="1" x14ac:dyDescent="0.25">
      <c r="B26" s="203" t="str" cm="1">
        <f t="array" ref="B26">IF(M26&gt;0,(UPPER(_xlfn.XLOOKUP(M26,CONTROL_MUESTRAS_2026!A:A,CONCATENATE(CONTROL_MUESTRAS_2026!I:I," - ",CONTROL_MUESTRAS_2026!J:J," - ",CONTROL_MUESTRAS_2026!K:K),"No encontrado",0))),"")</f>
        <v/>
      </c>
      <c r="C26" s="204"/>
      <c r="D26" s="111" t="str">
        <f>IF(M26&gt;0,(UPPER(_xlfn.XLOOKUP(M26,CONTROL_MUESTRAS_2026!A:A,CONTROL_MUESTRAS_2026!G:G,"No encontrado",0))),"")</f>
        <v/>
      </c>
      <c r="E26" s="177" t="str">
        <f>IF(M26&gt;0,(UPPER(_xlfn.XLOOKUP(M26,CONTROL_MUESTRAS_2026!A:A,CONTROL_MUESTRAS_2026!D:D,"No encontrado",0))),"")</f>
        <v/>
      </c>
      <c r="F26" s="177"/>
      <c r="G26" s="111" t="str">
        <f>IF(M26&gt;0,(UPPER(_xlfn.XLOOKUP(M26,CONTROL_MUESTRAS_2026!A:A,CONTROL_MUESTRAS_2026!E:E,"No encontrado",0))),"")</f>
        <v/>
      </c>
      <c r="H26" s="210" t="s">
        <v>17</v>
      </c>
      <c r="I26" s="221"/>
      <c r="J26" s="54" t="str">
        <f>IF(M26&gt;0,TEXT(_xlfn.XLOOKUP(M26,CONTROL_MUESTRAS_2026!A:A,CONTROL_MUESTRAS_2026!B:B,"No encontrado",0),"yyyy-mm-dd"),"")</f>
        <v/>
      </c>
      <c r="K26" s="54">
        <f t="shared" ca="1" si="0"/>
        <v>46217</v>
      </c>
      <c r="M26" s="78"/>
    </row>
    <row r="27" spans="2:23" s="20" customFormat="1" ht="38.25" hidden="1" customHeight="1" x14ac:dyDescent="0.25">
      <c r="B27" s="203" t="str" cm="1">
        <f t="array" ref="B27">IF(M27&gt;0,(UPPER(_xlfn.XLOOKUP(M27,CONTROL_MUESTRAS_2026!A:A,CONCATENATE(CONTROL_MUESTRAS_2026!I:I," - ",CONTROL_MUESTRAS_2026!J:J," - ",CONTROL_MUESTRAS_2026!K:K),"No encontrado",0))),"")</f>
        <v/>
      </c>
      <c r="C27" s="204"/>
      <c r="D27" s="111" t="str">
        <f>IF(M27&gt;0,(UPPER(_xlfn.XLOOKUP(M27,CONTROL_MUESTRAS_2026!A:A,CONTROL_MUESTRAS_2026!G:G,"No encontrado",0))),"")</f>
        <v/>
      </c>
      <c r="E27" s="177" t="str">
        <f>IF(M27&gt;0,(UPPER(_xlfn.XLOOKUP(M27,CONTROL_MUESTRAS_2026!A:A,CONTROL_MUESTRAS_2026!D:D,"No encontrado",0))),"")</f>
        <v/>
      </c>
      <c r="F27" s="177"/>
      <c r="G27" s="111" t="str">
        <f>IF(M27&gt;0,(UPPER(_xlfn.XLOOKUP(M27,CONTROL_MUESTRAS_2026!A:A,CONTROL_MUESTRAS_2026!E:E,"No encontrado",0))),"")</f>
        <v/>
      </c>
      <c r="H27" s="210" t="s">
        <v>17</v>
      </c>
      <c r="I27" s="221"/>
      <c r="J27" s="54" t="str">
        <f>IF(M27&gt;0,TEXT(_xlfn.XLOOKUP(M27,CONTROL_MUESTRAS_2026!A:A,CONTROL_MUESTRAS_2026!B:B,"No encontrado",0),"yyyy-mm-dd"),"")</f>
        <v/>
      </c>
      <c r="K27" s="54">
        <f t="shared" ca="1" si="0"/>
        <v>46217</v>
      </c>
      <c r="M27" s="78"/>
    </row>
    <row r="28" spans="2:23" s="20" customFormat="1" ht="12" customHeight="1" x14ac:dyDescent="0.25">
      <c r="H28" s="199"/>
      <c r="I28" s="199"/>
    </row>
    <row r="29" spans="2:23" s="20" customFormat="1" ht="34.5" customHeight="1" x14ac:dyDescent="0.25">
      <c r="B29" s="162" t="s">
        <v>20</v>
      </c>
      <c r="C29" s="239" cm="1">
        <f t="array" ref="C29">SUMPRODUCT((D12:D27&lt;&gt;"")*1)</f>
        <v>1</v>
      </c>
      <c r="D29" s="166" t="s">
        <v>21</v>
      </c>
      <c r="E29" s="239">
        <v>1</v>
      </c>
      <c r="F29" s="166" t="s">
        <v>22</v>
      </c>
      <c r="G29" s="166"/>
      <c r="H29" s="241"/>
      <c r="I29" s="241"/>
      <c r="J29" s="241"/>
      <c r="K29" s="242"/>
      <c r="P29" s="227" t="s">
        <v>1667</v>
      </c>
      <c r="Q29" s="228"/>
      <c r="R29" s="229"/>
    </row>
    <row r="30" spans="2:23" s="20" customFormat="1" ht="22.5" customHeight="1" x14ac:dyDescent="0.25">
      <c r="B30" s="163"/>
      <c r="C30" s="240"/>
      <c r="D30" s="167"/>
      <c r="E30" s="240"/>
      <c r="F30" s="167"/>
      <c r="G30" s="167"/>
      <c r="H30" s="243"/>
      <c r="I30" s="243"/>
      <c r="J30" s="243"/>
      <c r="K30" s="244"/>
      <c r="P30" s="227" t="s">
        <v>478</v>
      </c>
      <c r="Q30" s="228"/>
      <c r="R30" s="229"/>
    </row>
    <row r="31" spans="2:23" s="20" customFormat="1" ht="16.5" customHeight="1" x14ac:dyDescent="0.25">
      <c r="C31" s="20" t="s">
        <v>1670</v>
      </c>
      <c r="I31" s="20" t="s">
        <v>24</v>
      </c>
      <c r="P31" s="257"/>
      <c r="Q31" s="257"/>
      <c r="R31" s="257"/>
    </row>
    <row r="32" spans="2:23" ht="25.5" customHeight="1" x14ac:dyDescent="0.25">
      <c r="B32" s="20"/>
      <c r="C32" s="230" t="s">
        <v>25</v>
      </c>
      <c r="D32" s="231"/>
      <c r="E32" s="231"/>
      <c r="F32" s="232"/>
      <c r="G32" s="233" t="s">
        <v>26</v>
      </c>
      <c r="H32" s="231"/>
      <c r="I32" s="231"/>
      <c r="J32" s="231"/>
      <c r="K32" s="20"/>
      <c r="L32" s="27"/>
      <c r="M32" s="27"/>
      <c r="R32" s="20" t="str">
        <f>IF(H30&gt;0,(UPPER(_xlfn.XLOOKUP(H30,[2]CONTROL_MUESTRAS_2025!A:A,[2]CONTROL_MUESTRAS_2025!I:I,"No encontrado",0))),"")</f>
        <v/>
      </c>
      <c r="W32" s="127"/>
    </row>
    <row r="33" spans="1:31" ht="25.5" customHeight="1" x14ac:dyDescent="0.25">
      <c r="B33" s="20"/>
      <c r="C33" s="246" t="s">
        <v>1671</v>
      </c>
      <c r="D33" s="247"/>
      <c r="E33" s="247"/>
      <c r="F33" s="248"/>
      <c r="G33" s="234" t="s">
        <v>1672</v>
      </c>
      <c r="H33" s="235"/>
      <c r="I33" s="235"/>
      <c r="J33" s="235"/>
      <c r="K33" s="20"/>
      <c r="R33" s="20" t="str">
        <f>IF(M30&gt;0,(UPPER(_xlfn.XLOOKUP(M30,[2]CONTROL_MUESTRAS_2025!A:A,[2]CONTROL_MUESTRAS_2025!I:I,"No encontrado",0))),"")</f>
        <v/>
      </c>
      <c r="U33" s="104"/>
      <c r="V33" s="104"/>
      <c r="W33" s="104"/>
      <c r="X33" s="104"/>
      <c r="Y33" s="104"/>
      <c r="Z33" s="105"/>
      <c r="AA33" s="104"/>
      <c r="AB33" s="104"/>
      <c r="AC33" s="104"/>
      <c r="AD33" s="104"/>
      <c r="AE33" s="104"/>
    </row>
    <row r="34" spans="1:31" ht="25.5" customHeight="1" x14ac:dyDescent="0.25">
      <c r="B34" s="20"/>
      <c r="C34" s="249"/>
      <c r="D34" s="250"/>
      <c r="E34" s="250"/>
      <c r="F34" s="251"/>
      <c r="G34" s="236" t="s">
        <v>1673</v>
      </c>
      <c r="H34" s="237"/>
      <c r="I34" s="237"/>
      <c r="J34" s="238"/>
      <c r="K34" s="20"/>
      <c r="P34" s="241" t="s">
        <v>1674</v>
      </c>
      <c r="Q34" s="241"/>
      <c r="R34" s="241" t="str">
        <f>IF(M31&gt;0,(UPPER(_xlfn.XLOOKUP(M31,[2]CONTROL_MUESTRAS_2025!A:A,[2]CONTROL_MUESTRAS_2025!I:I,"No encontrado",0))),"")</f>
        <v/>
      </c>
      <c r="S34" s="242"/>
      <c r="U34" s="104"/>
      <c r="V34" s="106"/>
      <c r="W34" s="104"/>
      <c r="X34" s="104"/>
      <c r="Y34" s="104"/>
      <c r="Z34" s="107"/>
      <c r="AA34" s="104"/>
      <c r="AB34" s="104"/>
      <c r="AC34" s="104"/>
      <c r="AD34" s="104"/>
      <c r="AE34" s="104"/>
    </row>
    <row r="35" spans="1:31" ht="25.5" customHeight="1" thickBot="1" x14ac:dyDescent="0.3">
      <c r="A35" s="35"/>
      <c r="B35" s="20"/>
      <c r="C35" s="252" t="s">
        <v>1675</v>
      </c>
      <c r="D35" s="253"/>
      <c r="E35" s="253"/>
      <c r="F35" s="254"/>
      <c r="G35" s="234" t="s">
        <v>1676</v>
      </c>
      <c r="H35" s="235"/>
      <c r="I35" s="235"/>
      <c r="J35" s="235"/>
      <c r="K35" s="20"/>
      <c r="P35" s="243"/>
      <c r="Q35" s="243"/>
      <c r="R35" s="243" t="str">
        <f>IF(M32&gt;0,(UPPER(_xlfn.XLOOKUP(M32,[2]CONTROL_MUESTRAS_2025!A:A,[2]CONTROL_MUESTRAS_2025!I:I,"No encontrado",0))),"")</f>
        <v/>
      </c>
      <c r="S35" s="244"/>
      <c r="U35" s="104"/>
      <c r="V35" s="108"/>
      <c r="W35" s="104"/>
      <c r="X35" s="104"/>
      <c r="Y35" s="104"/>
      <c r="Z35" s="104"/>
      <c r="AA35" s="104"/>
      <c r="AB35" s="104"/>
      <c r="AC35" s="104"/>
      <c r="AD35" s="104"/>
      <c r="AE35" s="104"/>
    </row>
    <row r="36" spans="1:31" ht="11.25" customHeight="1" x14ac:dyDescent="0.25">
      <c r="B36" s="20"/>
      <c r="C36" s="123"/>
      <c r="D36" s="123"/>
      <c r="E36" s="123"/>
      <c r="F36" s="123"/>
      <c r="G36" s="124"/>
      <c r="H36" s="125"/>
      <c r="I36" s="125"/>
      <c r="J36" s="125"/>
      <c r="K36" s="20"/>
      <c r="P36" s="126"/>
      <c r="Q36" s="126"/>
      <c r="R36" s="126"/>
      <c r="S36" s="126"/>
      <c r="U36" s="104"/>
      <c r="V36" s="108"/>
      <c r="W36" s="104"/>
      <c r="X36" s="104"/>
      <c r="Y36" s="104"/>
      <c r="Z36" s="104"/>
      <c r="AA36" s="104"/>
      <c r="AB36" s="104"/>
      <c r="AC36" s="104"/>
      <c r="AD36" s="104"/>
      <c r="AE36" s="104"/>
    </row>
    <row r="37" spans="1:31" ht="15.75" thickBot="1" x14ac:dyDescent="0.3">
      <c r="B37" s="27" t="s">
        <v>31</v>
      </c>
      <c r="C37" s="27"/>
      <c r="D37" s="27"/>
      <c r="E37" s="27"/>
      <c r="F37" s="27"/>
      <c r="G37" s="27"/>
      <c r="H37" s="27"/>
      <c r="I37" s="27"/>
      <c r="J37" s="27"/>
      <c r="K37" s="27"/>
      <c r="R37" s="20" t="str">
        <f>IF(M33&gt;0,(UPPER(_xlfn.XLOOKUP(M33,[2]CONTROL_MUESTRAS_2025!A:A,[2]CONTROL_MUESTRAS_2025!I:I,"No encontrado",0))),"")</f>
        <v/>
      </c>
      <c r="U37" s="104"/>
      <c r="V37" s="109"/>
      <c r="W37" s="104"/>
      <c r="X37" s="104"/>
      <c r="Y37" s="104"/>
      <c r="Z37" s="104"/>
      <c r="AA37" s="104"/>
      <c r="AB37" s="104"/>
      <c r="AC37" s="104"/>
      <c r="AD37" s="104"/>
      <c r="AE37" s="104"/>
    </row>
    <row r="38" spans="1:31" ht="30" customHeight="1" x14ac:dyDescent="0.25">
      <c r="B38" s="146" t="s">
        <v>32</v>
      </c>
      <c r="C38" s="146"/>
      <c r="D38" s="146"/>
      <c r="E38" s="146"/>
      <c r="F38" s="146"/>
      <c r="G38" s="146"/>
      <c r="H38" s="146"/>
      <c r="I38" s="146"/>
      <c r="J38" s="146"/>
      <c r="K38" s="146"/>
      <c r="R38" s="20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</row>
    <row r="39" spans="1:31" ht="30" customHeight="1" x14ac:dyDescent="0.25">
      <c r="B39" s="146" t="s">
        <v>1677</v>
      </c>
      <c r="C39" s="146"/>
      <c r="D39" s="146"/>
      <c r="E39" s="146"/>
      <c r="F39" s="146"/>
      <c r="G39" s="146"/>
      <c r="H39" s="146"/>
      <c r="I39" s="146"/>
      <c r="J39" s="146"/>
      <c r="K39" s="146"/>
      <c r="R39" s="2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</row>
    <row r="40" spans="1:31" s="7" customFormat="1" ht="28.5" customHeight="1" thickBo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O40" s="94"/>
      <c r="R40" s="20" t="str">
        <f>IF(M37&gt;0,(UPPER(_xlfn.XLOOKUP(M37,[2]CONTROL_MUESTRAS_2025!A:A,[2]CONTROL_MUESTRAS_2025!I:I,"No encontrado",0))),"")</f>
        <v/>
      </c>
    </row>
    <row r="41" spans="1:31" s="7" customFormat="1" ht="28.5" customHeight="1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O41" s="94"/>
      <c r="R41" s="20"/>
    </row>
    <row r="42" spans="1:31" s="7" customFormat="1" ht="14.25" customHeight="1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R42" s="20"/>
    </row>
    <row r="43" spans="1:31" s="7" customFormat="1" ht="28.5" customHeight="1" x14ac:dyDescent="0.25">
      <c r="A43" s="188" t="s">
        <v>0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1"/>
    </row>
    <row r="44" spans="1:31" ht="16.5" customHeight="1" x14ac:dyDescent="0.25">
      <c r="R44" s="20"/>
    </row>
    <row r="45" spans="1:31" ht="21.75" customHeight="1" x14ac:dyDescent="0.25">
      <c r="B45" s="7"/>
      <c r="C45" s="12"/>
      <c r="D45" s="10"/>
      <c r="E45" s="10"/>
      <c r="F45" s="10"/>
      <c r="G45" s="10"/>
      <c r="H45" s="10"/>
      <c r="I45" s="10"/>
      <c r="J45" s="10"/>
      <c r="K45" s="13" t="s">
        <v>1</v>
      </c>
      <c r="L45" s="19"/>
    </row>
    <row r="46" spans="1:31" ht="6.75" customHeight="1" x14ac:dyDescent="0.25">
      <c r="B46" s="15"/>
      <c r="C46" s="15"/>
      <c r="D46" s="16"/>
      <c r="E46" s="16"/>
      <c r="F46" s="189" t="s">
        <v>2</v>
      </c>
      <c r="G46" s="191">
        <f ca="1">G4</f>
        <v>46217</v>
      </c>
      <c r="H46" s="191"/>
      <c r="I46" s="193" t="s">
        <v>3</v>
      </c>
      <c r="J46" s="195">
        <f>J4</f>
        <v>109</v>
      </c>
      <c r="K46" s="196"/>
    </row>
    <row r="47" spans="1:31" s="20" customFormat="1" ht="27.75" customHeight="1" x14ac:dyDescent="0.25">
      <c r="B47" s="15"/>
      <c r="C47" s="15"/>
      <c r="D47" s="16"/>
      <c r="E47" s="16"/>
      <c r="F47" s="190"/>
      <c r="G47" s="192"/>
      <c r="H47" s="192"/>
      <c r="I47" s="194"/>
      <c r="J47" s="197"/>
      <c r="K47" s="198"/>
    </row>
    <row r="48" spans="1:31" s="20" customFormat="1" ht="6" customHeight="1" x14ac:dyDescent="0.25">
      <c r="B48" s="14"/>
      <c r="C48" s="18"/>
      <c r="D48" s="14"/>
      <c r="E48" s="14"/>
      <c r="F48" s="14"/>
      <c r="G48" s="14"/>
      <c r="H48" s="14"/>
      <c r="I48" s="14"/>
      <c r="J48" s="181"/>
      <c r="K48" s="181"/>
    </row>
    <row r="49" spans="2:11" s="20" customFormat="1" ht="21" customHeight="1" x14ac:dyDescent="0.25">
      <c r="B49" s="182" t="s">
        <v>4</v>
      </c>
      <c r="C49" s="182"/>
      <c r="D49" s="182"/>
      <c r="E49" s="182"/>
      <c r="F49" s="182"/>
      <c r="G49" s="182"/>
      <c r="H49" s="182"/>
      <c r="I49" s="182"/>
      <c r="J49" s="182"/>
      <c r="K49" s="182"/>
    </row>
    <row r="50" spans="2:11" s="20" customFormat="1" ht="6" customHeight="1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2:11" s="20" customFormat="1" ht="6.75" customHeight="1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2:11" s="20" customFormat="1" ht="30" customHeight="1" x14ac:dyDescent="0.25">
      <c r="B52" s="183" t="s">
        <v>5</v>
      </c>
      <c r="C52" s="184"/>
      <c r="D52" s="226" t="str">
        <f>D9</f>
        <v>NICOMAR ELECTRONICS</v>
      </c>
      <c r="E52" s="226"/>
      <c r="G52" s="186" t="s">
        <v>6</v>
      </c>
      <c r="H52" s="186"/>
      <c r="I52" s="245" t="str">
        <f>I9</f>
        <v>Solicitado por personal de Nyce</v>
      </c>
      <c r="J52" s="245"/>
      <c r="K52" s="245"/>
    </row>
    <row r="53" spans="2:11" s="20" customFormat="1" ht="6.75" customHeight="1" x14ac:dyDescent="0.25"/>
    <row r="54" spans="2:11" s="20" customFormat="1" ht="39.950000000000003" customHeight="1" x14ac:dyDescent="0.25">
      <c r="B54" s="178" t="s">
        <v>8</v>
      </c>
      <c r="C54" s="179"/>
      <c r="D54" s="22" t="s">
        <v>9</v>
      </c>
      <c r="E54" s="180" t="s">
        <v>10</v>
      </c>
      <c r="F54" s="179"/>
      <c r="G54" s="22" t="s">
        <v>11</v>
      </c>
      <c r="H54" s="180" t="s">
        <v>12</v>
      </c>
      <c r="I54" s="179"/>
      <c r="J54" s="22" t="s">
        <v>13</v>
      </c>
      <c r="K54" s="23" t="s">
        <v>14</v>
      </c>
    </row>
    <row r="55" spans="2:11" s="20" customFormat="1" ht="38.25" customHeight="1" x14ac:dyDescent="0.25">
      <c r="B55" s="203" t="str">
        <f t="shared" ref="B55:B64" si="1">B12</f>
        <v>LENC - 26 - N/E</v>
      </c>
      <c r="C55" s="204"/>
      <c r="D55" s="111" t="str">
        <f t="shared" ref="D55:E64" si="2">D12</f>
        <v>21714</v>
      </c>
      <c r="E55" s="177" t="str">
        <f t="shared" si="2"/>
        <v>MULTITOMA FIJA</v>
      </c>
      <c r="F55" s="177"/>
      <c r="G55" s="111" t="str">
        <f t="shared" ref="G55:H57" si="3">G12</f>
        <v>POWEST</v>
      </c>
      <c r="H55" s="210" t="str">
        <f t="shared" si="3"/>
        <v>Ninguna</v>
      </c>
      <c r="I55" s="221"/>
      <c r="J55" s="54" t="str">
        <f>J12</f>
        <v>2026-06-18</v>
      </c>
      <c r="K55" s="54">
        <f ca="1">K12</f>
        <v>46217</v>
      </c>
    </row>
    <row r="56" spans="2:11" s="20" customFormat="1" ht="38.25" hidden="1" customHeight="1" x14ac:dyDescent="0.25">
      <c r="B56" s="203" t="str">
        <f t="shared" si="1"/>
        <v/>
      </c>
      <c r="C56" s="204"/>
      <c r="D56" s="111" t="str">
        <f t="shared" si="2"/>
        <v/>
      </c>
      <c r="E56" s="177" t="str">
        <f t="shared" si="2"/>
        <v/>
      </c>
      <c r="F56" s="177"/>
      <c r="G56" s="111" t="str">
        <f t="shared" si="3"/>
        <v/>
      </c>
      <c r="H56" s="210" t="str">
        <f t="shared" si="3"/>
        <v>Ninguna</v>
      </c>
      <c r="I56" s="221"/>
      <c r="J56" s="54" t="str">
        <f>J13</f>
        <v/>
      </c>
      <c r="K56" s="54">
        <f ca="1">K13</f>
        <v>46217</v>
      </c>
    </row>
    <row r="57" spans="2:11" s="20" customFormat="1" ht="38.25" hidden="1" customHeight="1" x14ac:dyDescent="0.25">
      <c r="B57" s="203" t="str">
        <f t="shared" si="1"/>
        <v/>
      </c>
      <c r="C57" s="204"/>
      <c r="D57" s="111" t="str">
        <f t="shared" si="2"/>
        <v/>
      </c>
      <c r="E57" s="177" t="str">
        <f t="shared" si="2"/>
        <v/>
      </c>
      <c r="F57" s="177"/>
      <c r="G57" s="111" t="str">
        <f t="shared" si="3"/>
        <v/>
      </c>
      <c r="H57" s="210" t="str">
        <f t="shared" si="3"/>
        <v>Ninguna</v>
      </c>
      <c r="I57" s="221"/>
      <c r="J57" s="54" t="str">
        <f t="shared" ref="J57" si="4">J14</f>
        <v/>
      </c>
      <c r="K57" s="54">
        <f t="shared" ref="K57:K64" ca="1" si="5">K14</f>
        <v>46217</v>
      </c>
    </row>
    <row r="58" spans="2:11" s="20" customFormat="1" ht="38.25" hidden="1" customHeight="1" x14ac:dyDescent="0.25">
      <c r="B58" s="203" t="str">
        <f t="shared" si="1"/>
        <v/>
      </c>
      <c r="C58" s="204"/>
      <c r="D58" s="111" t="str">
        <f t="shared" si="2"/>
        <v/>
      </c>
      <c r="E58" s="177" t="str">
        <f t="shared" si="2"/>
        <v/>
      </c>
      <c r="F58" s="177"/>
      <c r="G58" s="111" t="str">
        <f t="shared" ref="G58:G64" si="6">G15</f>
        <v/>
      </c>
      <c r="H58" s="210" t="str">
        <f t="shared" ref="H58" si="7">H15</f>
        <v>Ninguna</v>
      </c>
      <c r="I58" s="221"/>
      <c r="J58" s="54" t="str">
        <f t="shared" ref="J58" si="8">J15</f>
        <v/>
      </c>
      <c r="K58" s="54">
        <f t="shared" ca="1" si="5"/>
        <v>46217</v>
      </c>
    </row>
    <row r="59" spans="2:11" s="20" customFormat="1" ht="38.25" hidden="1" customHeight="1" x14ac:dyDescent="0.25">
      <c r="B59" s="203" t="str">
        <f t="shared" si="1"/>
        <v/>
      </c>
      <c r="C59" s="204"/>
      <c r="D59" s="111" t="str">
        <f t="shared" si="2"/>
        <v/>
      </c>
      <c r="E59" s="177" t="str">
        <f t="shared" si="2"/>
        <v/>
      </c>
      <c r="F59" s="177"/>
      <c r="G59" s="111" t="str">
        <f t="shared" si="6"/>
        <v/>
      </c>
      <c r="H59" s="210" t="str">
        <f t="shared" ref="H59" si="9">H16</f>
        <v>Ninguna</v>
      </c>
      <c r="I59" s="221"/>
      <c r="J59" s="54" t="str">
        <f t="shared" ref="J59" si="10">J16</f>
        <v/>
      </c>
      <c r="K59" s="54">
        <f t="shared" ca="1" si="5"/>
        <v>46217</v>
      </c>
    </row>
    <row r="60" spans="2:11" s="20" customFormat="1" ht="38.25" hidden="1" customHeight="1" x14ac:dyDescent="0.25">
      <c r="B60" s="203" t="str">
        <f t="shared" si="1"/>
        <v/>
      </c>
      <c r="C60" s="204"/>
      <c r="D60" s="111" t="str">
        <f t="shared" si="2"/>
        <v/>
      </c>
      <c r="E60" s="177" t="str">
        <f t="shared" si="2"/>
        <v/>
      </c>
      <c r="F60" s="177"/>
      <c r="G60" s="111" t="str">
        <f t="shared" si="6"/>
        <v/>
      </c>
      <c r="H60" s="210" t="str">
        <f t="shared" ref="H60" si="11">H17</f>
        <v>Ninguna</v>
      </c>
      <c r="I60" s="221"/>
      <c r="J60" s="54" t="str">
        <f t="shared" ref="J60" si="12">J17</f>
        <v/>
      </c>
      <c r="K60" s="54">
        <f t="shared" ca="1" si="5"/>
        <v>46217</v>
      </c>
    </row>
    <row r="61" spans="2:11" s="20" customFormat="1" ht="38.25" hidden="1" customHeight="1" x14ac:dyDescent="0.25">
      <c r="B61" s="203" t="str">
        <f t="shared" si="1"/>
        <v/>
      </c>
      <c r="C61" s="204"/>
      <c r="D61" s="111" t="str">
        <f t="shared" si="2"/>
        <v/>
      </c>
      <c r="E61" s="177" t="str">
        <f t="shared" si="2"/>
        <v/>
      </c>
      <c r="F61" s="177"/>
      <c r="G61" s="111" t="str">
        <f t="shared" si="6"/>
        <v/>
      </c>
      <c r="H61" s="210" t="str">
        <f t="shared" ref="H61" si="13">H18</f>
        <v>Ninguna</v>
      </c>
      <c r="I61" s="221"/>
      <c r="J61" s="54" t="str">
        <f t="shared" ref="J61" si="14">J18</f>
        <v/>
      </c>
      <c r="K61" s="54">
        <f t="shared" ca="1" si="5"/>
        <v>46217</v>
      </c>
    </row>
    <row r="62" spans="2:11" s="20" customFormat="1" ht="38.25" hidden="1" customHeight="1" x14ac:dyDescent="0.25">
      <c r="B62" s="203" t="str">
        <f t="shared" si="1"/>
        <v/>
      </c>
      <c r="C62" s="204"/>
      <c r="D62" s="111" t="str">
        <f t="shared" si="2"/>
        <v/>
      </c>
      <c r="E62" s="210" t="str">
        <f t="shared" si="2"/>
        <v/>
      </c>
      <c r="F62" s="211"/>
      <c r="G62" s="111" t="str">
        <f t="shared" si="6"/>
        <v/>
      </c>
      <c r="H62" s="210" t="str">
        <f t="shared" ref="H62" si="15">H19</f>
        <v>Ninguna</v>
      </c>
      <c r="I62" s="221"/>
      <c r="J62" s="54" t="str">
        <f>J19</f>
        <v/>
      </c>
      <c r="K62" s="54">
        <f t="shared" ca="1" si="5"/>
        <v>46217</v>
      </c>
    </row>
    <row r="63" spans="2:11" s="20" customFormat="1" ht="38.25" hidden="1" customHeight="1" x14ac:dyDescent="0.25">
      <c r="B63" s="203" t="str">
        <f t="shared" si="1"/>
        <v/>
      </c>
      <c r="C63" s="204"/>
      <c r="D63" s="111" t="str">
        <f t="shared" si="2"/>
        <v/>
      </c>
      <c r="E63" s="210" t="str">
        <f t="shared" si="2"/>
        <v/>
      </c>
      <c r="F63" s="211"/>
      <c r="G63" s="111" t="str">
        <f t="shared" si="6"/>
        <v/>
      </c>
      <c r="H63" s="210" t="str">
        <f t="shared" ref="H63" si="16">H20</f>
        <v>Ninguna</v>
      </c>
      <c r="I63" s="221"/>
      <c r="J63" s="54" t="str">
        <f>J20</f>
        <v/>
      </c>
      <c r="K63" s="54">
        <f t="shared" ca="1" si="5"/>
        <v>46217</v>
      </c>
    </row>
    <row r="64" spans="2:11" s="20" customFormat="1" ht="38.25" hidden="1" customHeight="1" x14ac:dyDescent="0.25">
      <c r="B64" s="203" t="str">
        <f t="shared" si="1"/>
        <v/>
      </c>
      <c r="C64" s="204"/>
      <c r="D64" s="111" t="str">
        <f t="shared" si="2"/>
        <v/>
      </c>
      <c r="E64" s="210" t="str">
        <f t="shared" si="2"/>
        <v/>
      </c>
      <c r="F64" s="211"/>
      <c r="G64" s="111" t="str">
        <f t="shared" si="6"/>
        <v/>
      </c>
      <c r="H64" s="210" t="str">
        <f t="shared" ref="H64" si="17">H21</f>
        <v>Ninguna</v>
      </c>
      <c r="I64" s="221"/>
      <c r="J64" s="54" t="str">
        <f>J21</f>
        <v/>
      </c>
      <c r="K64" s="54">
        <f t="shared" ca="1" si="5"/>
        <v>46217</v>
      </c>
    </row>
    <row r="65" spans="2:17" s="20" customFormat="1" ht="38.25" hidden="1" customHeight="1" x14ac:dyDescent="0.25">
      <c r="B65" s="203" t="str">
        <f>B27</f>
        <v/>
      </c>
      <c r="C65" s="204"/>
      <c r="D65" s="111" t="str">
        <f>D27</f>
        <v/>
      </c>
      <c r="E65" s="210" t="str">
        <f>E27</f>
        <v/>
      </c>
      <c r="F65" s="211"/>
      <c r="G65" s="111" t="str">
        <f>G27</f>
        <v/>
      </c>
      <c r="H65" s="210" t="str">
        <f t="shared" ref="H65" si="18">H27</f>
        <v>Ninguna</v>
      </c>
      <c r="I65" s="221"/>
      <c r="J65" s="112" t="str">
        <f>J27</f>
        <v/>
      </c>
      <c r="K65" s="54">
        <f ca="1">K27</f>
        <v>46217</v>
      </c>
    </row>
    <row r="66" spans="2:17" s="20" customFormat="1" ht="35.25" customHeight="1" x14ac:dyDescent="0.25"/>
    <row r="67" spans="2:17" s="20" customFormat="1" ht="33.75" customHeight="1" x14ac:dyDescent="0.25">
      <c r="B67" s="162" t="s">
        <v>20</v>
      </c>
      <c r="C67" s="239">
        <f>C29</f>
        <v>1</v>
      </c>
      <c r="D67" s="166" t="s">
        <v>21</v>
      </c>
      <c r="E67" s="239">
        <f>E29</f>
        <v>1</v>
      </c>
      <c r="F67" s="180" t="s">
        <v>22</v>
      </c>
      <c r="G67" s="179"/>
      <c r="H67" s="241">
        <f>H29</f>
        <v>0</v>
      </c>
      <c r="I67" s="241"/>
      <c r="J67" s="241"/>
      <c r="K67" s="242"/>
    </row>
    <row r="68" spans="2:17" s="20" customFormat="1" ht="22.5" customHeight="1" x14ac:dyDescent="0.25">
      <c r="B68" s="163"/>
      <c r="C68" s="240"/>
      <c r="D68" s="167"/>
      <c r="E68" s="240"/>
      <c r="F68" s="255"/>
      <c r="G68" s="256"/>
      <c r="H68" s="243"/>
      <c r="I68" s="243"/>
      <c r="J68" s="243"/>
      <c r="K68" s="244"/>
    </row>
    <row r="69" spans="2:17" s="20" customFormat="1" ht="15.75" customHeight="1" x14ac:dyDescent="0.25"/>
    <row r="70" spans="2:17" ht="28.5" customHeight="1" x14ac:dyDescent="0.25">
      <c r="B70" s="20"/>
      <c r="C70" s="230" t="s">
        <v>25</v>
      </c>
      <c r="D70" s="231"/>
      <c r="E70" s="231"/>
      <c r="F70" s="232"/>
      <c r="G70" s="233" t="s">
        <v>26</v>
      </c>
      <c r="H70" s="231"/>
      <c r="I70" s="231"/>
      <c r="J70" s="231"/>
      <c r="K70" s="20"/>
      <c r="L70" s="27"/>
      <c r="P70" s="95"/>
      <c r="Q70" s="95"/>
    </row>
    <row r="71" spans="2:17" ht="25.5" customHeight="1" x14ac:dyDescent="0.25">
      <c r="B71" s="20"/>
      <c r="C71" s="246" t="s">
        <v>1671</v>
      </c>
      <c r="D71" s="247"/>
      <c r="E71" s="247"/>
      <c r="F71" s="248"/>
      <c r="G71" s="234" t="s">
        <v>1672</v>
      </c>
      <c r="H71" s="235"/>
      <c r="I71" s="235"/>
      <c r="J71" s="235"/>
      <c r="K71" s="20"/>
      <c r="P71" s="96"/>
      <c r="Q71" s="96"/>
    </row>
    <row r="72" spans="2:17" ht="25.5" customHeight="1" x14ac:dyDescent="0.25">
      <c r="B72" s="20"/>
      <c r="C72" s="249"/>
      <c r="D72" s="250"/>
      <c r="E72" s="250"/>
      <c r="F72" s="251"/>
      <c r="G72" s="236" t="s">
        <v>1673</v>
      </c>
      <c r="H72" s="237"/>
      <c r="I72" s="237"/>
      <c r="J72" s="238"/>
      <c r="K72" s="20"/>
    </row>
    <row r="73" spans="2:17" ht="25.5" customHeight="1" x14ac:dyDescent="0.25">
      <c r="B73" s="20"/>
      <c r="C73" s="252" t="s">
        <v>1675</v>
      </c>
      <c r="D73" s="253"/>
      <c r="E73" s="253"/>
      <c r="F73" s="254"/>
      <c r="G73" s="234" t="s">
        <v>1676</v>
      </c>
      <c r="H73" s="235"/>
      <c r="I73" s="235"/>
      <c r="J73" s="235"/>
      <c r="K73" s="20"/>
    </row>
    <row r="74" spans="2:17" ht="11.25" customHeight="1" x14ac:dyDescent="0.25">
      <c r="B74" s="20"/>
      <c r="C74" s="123"/>
      <c r="D74" s="123"/>
      <c r="E74" s="123"/>
      <c r="F74" s="123"/>
      <c r="G74" s="124"/>
      <c r="H74" s="125"/>
      <c r="I74" s="125"/>
      <c r="J74" s="125"/>
      <c r="K74" s="20"/>
    </row>
    <row r="75" spans="2:17" x14ac:dyDescent="0.25">
      <c r="B75" s="27" t="s">
        <v>31</v>
      </c>
      <c r="C75" s="27"/>
      <c r="D75" s="27"/>
      <c r="E75" s="27"/>
      <c r="F75" s="27"/>
      <c r="G75" s="27"/>
      <c r="H75" s="27"/>
      <c r="I75" s="27"/>
      <c r="J75" s="27"/>
      <c r="K75" s="27"/>
    </row>
    <row r="76" spans="2:17" ht="30" customHeight="1" x14ac:dyDescent="0.25">
      <c r="B76" s="146" t="s">
        <v>32</v>
      </c>
      <c r="C76" s="146"/>
      <c r="D76" s="146"/>
      <c r="E76" s="146"/>
      <c r="F76" s="146"/>
      <c r="G76" s="146"/>
      <c r="H76" s="146"/>
      <c r="I76" s="146"/>
      <c r="J76" s="146"/>
      <c r="K76" s="146"/>
    </row>
    <row r="77" spans="2:17" ht="30" customHeight="1" x14ac:dyDescent="0.25">
      <c r="B77" s="146" t="s">
        <v>1677</v>
      </c>
      <c r="C77" s="146"/>
      <c r="D77" s="146"/>
      <c r="E77" s="146"/>
      <c r="F77" s="146"/>
      <c r="G77" s="146"/>
      <c r="H77" s="146"/>
      <c r="I77" s="146"/>
      <c r="J77" s="146"/>
      <c r="K77" s="146"/>
    </row>
  </sheetData>
  <sheetProtection formatCells="0" formatColumns="0" formatRows="0" insertColumns="0" insertRows="0" insertHyperlinks="0" deleteColumns="0" deleteRows="0" sort="0" autoFilter="0" pivotTables="0"/>
  <protectedRanges>
    <protectedRange sqref="K12:K27" name="Rango6"/>
    <protectedRange sqref="H12:I27" name="Rango1"/>
    <protectedRange sqref="M12:M27" name="Rango2"/>
    <protectedRange sqref="P29:P31 P12:P15 I9" name="Rango3"/>
    <protectedRange sqref="J4" name="Rango4"/>
    <protectedRange sqref="C29 E29" name="Rango5"/>
  </protectedRanges>
  <mergeCells count="148">
    <mergeCell ref="P12:R12"/>
    <mergeCell ref="P13:R13"/>
    <mergeCell ref="P14:R14"/>
    <mergeCell ref="P30:R30"/>
    <mergeCell ref="P31:R31"/>
    <mergeCell ref="H22:I22"/>
    <mergeCell ref="H23:I23"/>
    <mergeCell ref="H24:I24"/>
    <mergeCell ref="H25:I25"/>
    <mergeCell ref="H26:I26"/>
    <mergeCell ref="P29:R29"/>
    <mergeCell ref="P15:R15"/>
    <mergeCell ref="B22:C22"/>
    <mergeCell ref="B23:C23"/>
    <mergeCell ref="B24:C24"/>
    <mergeCell ref="B25:C25"/>
    <mergeCell ref="B26:C26"/>
    <mergeCell ref="E22:F22"/>
    <mergeCell ref="E23:F23"/>
    <mergeCell ref="E24:F24"/>
    <mergeCell ref="E25:F25"/>
    <mergeCell ref="E26:F26"/>
    <mergeCell ref="C33:F34"/>
    <mergeCell ref="C35:F35"/>
    <mergeCell ref="G35:J35"/>
    <mergeCell ref="C71:F72"/>
    <mergeCell ref="C73:F73"/>
    <mergeCell ref="G73:J73"/>
    <mergeCell ref="P34:S35"/>
    <mergeCell ref="B76:K76"/>
    <mergeCell ref="B77:K77"/>
    <mergeCell ref="C70:F70"/>
    <mergeCell ref="G70:J70"/>
    <mergeCell ref="G71:J71"/>
    <mergeCell ref="G72:J72"/>
    <mergeCell ref="B65:C65"/>
    <mergeCell ref="E65:F65"/>
    <mergeCell ref="H65:I65"/>
    <mergeCell ref="B67:B68"/>
    <mergeCell ref="C67:C68"/>
    <mergeCell ref="D67:D68"/>
    <mergeCell ref="E67:E68"/>
    <mergeCell ref="F67:G68"/>
    <mergeCell ref="H67:K68"/>
    <mergeCell ref="B62:C62"/>
    <mergeCell ref="E62:F62"/>
    <mergeCell ref="H62:I62"/>
    <mergeCell ref="B64:C64"/>
    <mergeCell ref="E64:F64"/>
    <mergeCell ref="H64:I64"/>
    <mergeCell ref="B60:C60"/>
    <mergeCell ref="E60:F60"/>
    <mergeCell ref="H60:I60"/>
    <mergeCell ref="B61:C61"/>
    <mergeCell ref="E61:F61"/>
    <mergeCell ref="H61:I61"/>
    <mergeCell ref="H63:I63"/>
    <mergeCell ref="B63:C63"/>
    <mergeCell ref="E63:F63"/>
    <mergeCell ref="B58:C58"/>
    <mergeCell ref="E58:F58"/>
    <mergeCell ref="H58:I58"/>
    <mergeCell ref="B59:C59"/>
    <mergeCell ref="E59:F59"/>
    <mergeCell ref="H59:I59"/>
    <mergeCell ref="B56:C56"/>
    <mergeCell ref="E56:F56"/>
    <mergeCell ref="H56:I56"/>
    <mergeCell ref="B57:C57"/>
    <mergeCell ref="E57:F57"/>
    <mergeCell ref="H57:I57"/>
    <mergeCell ref="B54:C54"/>
    <mergeCell ref="E54:F54"/>
    <mergeCell ref="H54:I54"/>
    <mergeCell ref="B55:C55"/>
    <mergeCell ref="E55:F55"/>
    <mergeCell ref="H55:I55"/>
    <mergeCell ref="J48:K48"/>
    <mergeCell ref="B49:K49"/>
    <mergeCell ref="B52:C52"/>
    <mergeCell ref="D52:E52"/>
    <mergeCell ref="G52:H52"/>
    <mergeCell ref="I52:K52"/>
    <mergeCell ref="E20:F20"/>
    <mergeCell ref="H20:I20"/>
    <mergeCell ref="B20:C20"/>
    <mergeCell ref="B38:K38"/>
    <mergeCell ref="B39:K39"/>
    <mergeCell ref="A43:L43"/>
    <mergeCell ref="F46:F47"/>
    <mergeCell ref="G46:H47"/>
    <mergeCell ref="I46:I47"/>
    <mergeCell ref="J46:K47"/>
    <mergeCell ref="C32:F32"/>
    <mergeCell ref="G32:J32"/>
    <mergeCell ref="G33:J33"/>
    <mergeCell ref="G34:J34"/>
    <mergeCell ref="H28:I28"/>
    <mergeCell ref="B29:B30"/>
    <mergeCell ref="C29:C30"/>
    <mergeCell ref="D29:D30"/>
    <mergeCell ref="E29:E30"/>
    <mergeCell ref="F29:G30"/>
    <mergeCell ref="H29:K30"/>
    <mergeCell ref="B21:C21"/>
    <mergeCell ref="E21:F21"/>
    <mergeCell ref="H21:I21"/>
    <mergeCell ref="B27:C27"/>
    <mergeCell ref="E27:F27"/>
    <mergeCell ref="H27:I27"/>
    <mergeCell ref="A2:L2"/>
    <mergeCell ref="F4:F5"/>
    <mergeCell ref="G4:H5"/>
    <mergeCell ref="I4:I5"/>
    <mergeCell ref="J4:K5"/>
    <mergeCell ref="J6:K6"/>
    <mergeCell ref="B14:C14"/>
    <mergeCell ref="E14:F14"/>
    <mergeCell ref="H14:I14"/>
    <mergeCell ref="B12:C12"/>
    <mergeCell ref="E12:F12"/>
    <mergeCell ref="H12:I12"/>
    <mergeCell ref="B13:C13"/>
    <mergeCell ref="E13:F13"/>
    <mergeCell ref="H13:I13"/>
    <mergeCell ref="B7:K7"/>
    <mergeCell ref="B9:C9"/>
    <mergeCell ref="D9:E9"/>
    <mergeCell ref="G9:H9"/>
    <mergeCell ref="I9:K9"/>
    <mergeCell ref="B11:C11"/>
    <mergeCell ref="E11:F11"/>
    <mergeCell ref="H11:I11"/>
    <mergeCell ref="B15:C15"/>
    <mergeCell ref="E15:F15"/>
    <mergeCell ref="H15:I15"/>
    <mergeCell ref="B18:C18"/>
    <mergeCell ref="E18:F18"/>
    <mergeCell ref="H18:I18"/>
    <mergeCell ref="B19:C19"/>
    <mergeCell ref="E19:F19"/>
    <mergeCell ref="H19:I19"/>
    <mergeCell ref="B16:C16"/>
    <mergeCell ref="E16:F16"/>
    <mergeCell ref="H16:I16"/>
    <mergeCell ref="B17:C17"/>
    <mergeCell ref="E17:F17"/>
    <mergeCell ref="H17:I17"/>
  </mergeCells>
  <phoneticPr fontId="7" type="noConversion"/>
  <conditionalFormatting sqref="H12:H27 H55:H65">
    <cfRule type="cellIs" dxfId="31" priority="15" operator="lessThan">
      <formula>1</formula>
    </cfRule>
    <cfRule type="expression" dxfId="30" priority="21">
      <formula>M12&lt;1</formula>
    </cfRule>
  </conditionalFormatting>
  <conditionalFormatting sqref="I9">
    <cfRule type="cellIs" dxfId="29" priority="1" stopIfTrue="1" operator="lessThan">
      <formula>1</formula>
    </cfRule>
  </conditionalFormatting>
  <conditionalFormatting sqref="P12:P15">
    <cfRule type="cellIs" dxfId="27" priority="2" stopIfTrue="1" operator="lessThan">
      <formula>1</formula>
    </cfRule>
  </conditionalFormatting>
  <conditionalFormatting sqref="P29:P31">
    <cfRule type="cellIs" dxfId="26" priority="5" stopIfTrue="1" operator="lessThan">
      <formula>1</formula>
    </cfRule>
  </conditionalFormatting>
  <printOptions horizontalCentered="1"/>
  <pageMargins left="0.25" right="0.25" top="0.75" bottom="0.75" header="0.3" footer="0.3"/>
  <pageSetup scale="5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2" id="{2FB47034-0809-4A64-B684-0E7031C39C76}">
            <xm:f>_xlfn.XLOOKUP(J4,CONTROL_MUESTRAS_2026!N:N,CONTROL_MUESTRAS_2026!A:A)&gt;0</xm:f>
            <x14:dxf>
              <font>
                <color rgb="FFC00000"/>
              </font>
              <fill>
                <patternFill>
                  <bgColor rgb="FFFF9999"/>
                </patternFill>
              </fill>
            </x14:dxf>
          </x14:cfRule>
          <xm:sqref>J4:K5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745C-5F14-4675-AEAC-14F2D69528F4}">
  <sheetPr codeName="Hoja8">
    <pageSetUpPr fitToPage="1"/>
  </sheetPr>
  <dimension ref="A1:AC105"/>
  <sheetViews>
    <sheetView showGridLines="0" showZeros="0" view="pageBreakPreview" topLeftCell="A18" zoomScale="70" zoomScaleNormal="85" zoomScaleSheetLayoutView="70" workbookViewId="0">
      <selection activeCell="J28" sqref="J28"/>
    </sheetView>
  </sheetViews>
  <sheetFormatPr baseColWidth="10" defaultColWidth="11.42578125" defaultRowHeight="15" outlineLevelRow="2" x14ac:dyDescent="0.25"/>
  <cols>
    <col min="1" max="1" width="2.7109375" style="14" customWidth="1"/>
    <col min="2" max="2" width="16.5703125" style="14" bestFit="1" customWidth="1"/>
    <col min="3" max="3" width="17.7109375" style="14" customWidth="1"/>
    <col min="4" max="4" width="22.140625" style="14" customWidth="1"/>
    <col min="5" max="5" width="22.42578125" style="14" customWidth="1"/>
    <col min="6" max="6" width="20.5703125" style="14" customWidth="1"/>
    <col min="7" max="7" width="20.85546875" style="14" customWidth="1"/>
    <col min="8" max="8" width="13.85546875" style="14" customWidth="1"/>
    <col min="9" max="9" width="21.5703125" style="14" customWidth="1"/>
    <col min="10" max="11" width="14.85546875" style="14" customWidth="1"/>
    <col min="12" max="12" width="2.140625" style="14" customWidth="1"/>
    <col min="13" max="14" width="12.42578125" style="14" customWidth="1"/>
    <col min="15" max="15" width="11.42578125" style="14" bestFit="1"/>
    <col min="16" max="16" width="20.7109375" style="14" customWidth="1"/>
    <col min="17" max="17" width="11.42578125" style="14" bestFit="1"/>
    <col min="18" max="16384" width="11.42578125" style="14"/>
  </cols>
  <sheetData>
    <row r="1" spans="1:18" s="97" customFormat="1" ht="15" customHeight="1" x14ac:dyDescent="0.25">
      <c r="C1" s="8"/>
      <c r="D1" s="98"/>
      <c r="E1" s="10"/>
      <c r="F1" s="10"/>
      <c r="G1" s="10"/>
      <c r="H1" s="10"/>
      <c r="I1" s="10"/>
      <c r="J1" s="10"/>
    </row>
    <row r="2" spans="1:18" s="97" customFormat="1" ht="28.5" customHeight="1" x14ac:dyDescent="0.25">
      <c r="A2" s="188" t="s">
        <v>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99"/>
    </row>
    <row r="3" spans="1:18" s="97" customFormat="1" ht="14.25" customHeight="1" x14ac:dyDescent="0.25">
      <c r="C3" s="12"/>
      <c r="D3" s="10"/>
      <c r="E3" s="10"/>
      <c r="F3" s="10"/>
      <c r="G3" s="10"/>
      <c r="H3" s="10"/>
      <c r="I3" s="10"/>
      <c r="J3" s="10"/>
      <c r="K3" s="13" t="s">
        <v>1</v>
      </c>
    </row>
    <row r="4" spans="1:18" ht="16.5" customHeight="1" x14ac:dyDescent="0.25">
      <c r="B4" s="15"/>
      <c r="C4" s="15"/>
      <c r="D4" s="16"/>
      <c r="E4" s="16"/>
      <c r="F4" s="189" t="s">
        <v>2</v>
      </c>
      <c r="G4" s="191">
        <f ca="1">TODAY()</f>
        <v>46217</v>
      </c>
      <c r="H4" s="191"/>
      <c r="I4" s="193" t="s">
        <v>3</v>
      </c>
      <c r="J4" s="216">
        <v>1060</v>
      </c>
      <c r="K4" s="217"/>
      <c r="M4" s="17"/>
    </row>
    <row r="5" spans="1:18" ht="16.5" customHeight="1" x14ac:dyDescent="0.25">
      <c r="A5" s="15"/>
      <c r="B5" s="15"/>
      <c r="C5" s="15"/>
      <c r="D5" s="16"/>
      <c r="E5" s="16"/>
      <c r="F5" s="190"/>
      <c r="G5" s="192"/>
      <c r="H5" s="192"/>
      <c r="I5" s="194"/>
      <c r="J5" s="218"/>
      <c r="K5" s="219"/>
    </row>
    <row r="6" spans="1:18" ht="6" customHeight="1" x14ac:dyDescent="0.25">
      <c r="C6" s="18"/>
      <c r="J6" s="181"/>
      <c r="K6" s="181"/>
    </row>
    <row r="7" spans="1:18" ht="21.75" customHeight="1" x14ac:dyDescent="0.25">
      <c r="B7" s="182" t="s">
        <v>4</v>
      </c>
      <c r="C7" s="182"/>
      <c r="D7" s="182"/>
      <c r="E7" s="182"/>
      <c r="F7" s="182"/>
      <c r="G7" s="182"/>
      <c r="H7" s="182"/>
      <c r="I7" s="182"/>
      <c r="J7" s="182"/>
      <c r="K7" s="182"/>
      <c r="L7" s="19"/>
    </row>
    <row r="8" spans="1:18" ht="6.75" customHeight="1" x14ac:dyDescent="0.25"/>
    <row r="9" spans="1:18" s="20" customFormat="1" ht="30" customHeight="1" x14ac:dyDescent="0.25">
      <c r="B9" s="183" t="s">
        <v>5</v>
      </c>
      <c r="C9" s="184"/>
      <c r="D9" s="212" t="s">
        <v>529</v>
      </c>
      <c r="E9" s="212"/>
      <c r="G9" s="186" t="s">
        <v>6</v>
      </c>
      <c r="H9" s="186"/>
      <c r="I9" s="213" t="s">
        <v>7</v>
      </c>
      <c r="J9" s="214"/>
      <c r="K9" s="215"/>
    </row>
    <row r="10" spans="1:18" s="20" customFormat="1" ht="6" customHeight="1" x14ac:dyDescent="0.25">
      <c r="M10" s="21"/>
    </row>
    <row r="11" spans="1:18" s="20" customFormat="1" ht="40.5" customHeight="1" x14ac:dyDescent="0.25">
      <c r="B11" s="178" t="s">
        <v>8</v>
      </c>
      <c r="C11" s="179"/>
      <c r="D11" s="22" t="s">
        <v>9</v>
      </c>
      <c r="E11" s="180" t="s">
        <v>10</v>
      </c>
      <c r="F11" s="179"/>
      <c r="G11" s="22" t="s">
        <v>11</v>
      </c>
      <c r="H11" s="180" t="s">
        <v>12</v>
      </c>
      <c r="I11" s="179"/>
      <c r="J11" s="22" t="s">
        <v>13</v>
      </c>
      <c r="K11" s="23" t="s">
        <v>14</v>
      </c>
      <c r="M11" s="24" t="s">
        <v>15</v>
      </c>
    </row>
    <row r="12" spans="1:18" s="20" customFormat="1" ht="39" customHeight="1" x14ac:dyDescent="0.25">
      <c r="B12" s="203" t="s">
        <v>1678</v>
      </c>
      <c r="C12" s="204"/>
      <c r="D12" s="53" t="e">
        <f>IF(M12&gt;0,(UPPER(_xlfn.XLOOKUP(M12,#REF!,#REF!,"No encontrado",0))),"")</f>
        <v>#REF!</v>
      </c>
      <c r="E12" s="177" t="e">
        <f>IF(M12&gt;0,(PROPER(_xlfn.XLOOKUP(M12,#REF!,#REF!,"No encontrado",0))),"")</f>
        <v>#REF!</v>
      </c>
      <c r="F12" s="177"/>
      <c r="G12" s="53" t="e">
        <f>IF(M12&gt;0,(PROPER(_xlfn.XLOOKUP(M12,#REF!,#REF!,"No encontrado",0))),"")</f>
        <v>#REF!</v>
      </c>
      <c r="H12" s="210" t="s">
        <v>17</v>
      </c>
      <c r="I12" s="221"/>
      <c r="J12" s="54" t="e">
        <f>_xlfn.XLOOKUP(M12,#REF!,#REF!,0)</f>
        <v>#REF!</v>
      </c>
      <c r="K12" s="54">
        <f ca="1">IF(M12&gt;0,TODAY(),"")</f>
        <v>46217</v>
      </c>
      <c r="M12" s="78">
        <v>911</v>
      </c>
      <c r="R12" s="20" t="e">
        <f>IF(M12&gt;0,(UPPER(_xlfn.XLOOKUP(M12,#REF!,#REF!,"No encontrado",0))),"")</f>
        <v>#REF!</v>
      </c>
    </row>
    <row r="13" spans="1:18" s="20" customFormat="1" ht="39" customHeight="1" x14ac:dyDescent="0.25">
      <c r="B13" s="203" t="s">
        <v>1679</v>
      </c>
      <c r="C13" s="204"/>
      <c r="D13" s="77">
        <v>20288</v>
      </c>
      <c r="E13" s="210" t="s">
        <v>1443</v>
      </c>
      <c r="F13" s="211"/>
      <c r="G13" s="77" t="s">
        <v>1680</v>
      </c>
      <c r="H13" s="210" t="s">
        <v>17</v>
      </c>
      <c r="I13" s="221"/>
      <c r="J13" s="85">
        <v>45929</v>
      </c>
      <c r="K13" s="54">
        <f ca="1">IF(M13&gt;0,TODAY(),"")</f>
        <v>46217</v>
      </c>
      <c r="M13" s="78">
        <v>1402</v>
      </c>
      <c r="R13" s="20" t="e">
        <f>IF(M13&gt;0,(UPPER(_xlfn.XLOOKUP(M13,#REF!,#REF!,"No encontrado",0))),"")</f>
        <v>#REF!</v>
      </c>
    </row>
    <row r="14" spans="1:18" s="20" customFormat="1" ht="39" customHeight="1" x14ac:dyDescent="0.25">
      <c r="B14" s="203" t="s">
        <v>1681</v>
      </c>
      <c r="C14" s="204"/>
      <c r="D14" s="53">
        <v>21277</v>
      </c>
      <c r="E14" s="261" t="s">
        <v>1682</v>
      </c>
      <c r="F14" s="177"/>
      <c r="G14" s="77" t="s">
        <v>1680</v>
      </c>
      <c r="H14" s="210" t="s">
        <v>17</v>
      </c>
      <c r="I14" s="221"/>
      <c r="J14" s="57">
        <v>45951</v>
      </c>
      <c r="K14" s="57">
        <v>45989</v>
      </c>
      <c r="M14" s="79">
        <v>1517</v>
      </c>
      <c r="R14" s="20" t="e">
        <f>IF(M14&gt;0,(UPPER(_xlfn.XLOOKUP(M14,#REF!,#REF!,"No encontrado",0))),"")</f>
        <v>#REF!</v>
      </c>
    </row>
    <row r="15" spans="1:18" s="20" customFormat="1" ht="39" customHeight="1" x14ac:dyDescent="0.25">
      <c r="B15" s="203" t="s">
        <v>1681</v>
      </c>
      <c r="C15" s="204"/>
      <c r="D15" s="53">
        <v>21228</v>
      </c>
      <c r="E15" s="177" t="s">
        <v>1682</v>
      </c>
      <c r="F15" s="177"/>
      <c r="G15" s="77" t="s">
        <v>1680</v>
      </c>
      <c r="H15" s="210" t="s">
        <v>17</v>
      </c>
      <c r="I15" s="221"/>
      <c r="J15" s="57">
        <v>45951</v>
      </c>
      <c r="K15" s="57">
        <f ca="1">IF(M11&gt;0,TODAY(),"")</f>
        <v>46217</v>
      </c>
      <c r="M15" s="78">
        <v>1517</v>
      </c>
      <c r="R15" s="20" t="e">
        <f>IF(M15&gt;0,(UPPER(_xlfn.XLOOKUP(M15,#REF!,#REF!,"No encontrado",0))),"")</f>
        <v>#REF!</v>
      </c>
    </row>
    <row r="16" spans="1:18" s="20" customFormat="1" ht="39" customHeight="1" x14ac:dyDescent="0.25">
      <c r="B16" s="203" t="s">
        <v>1683</v>
      </c>
      <c r="C16" s="204"/>
      <c r="D16" s="53">
        <v>20299</v>
      </c>
      <c r="E16" s="261" t="s">
        <v>1684</v>
      </c>
      <c r="F16" s="177"/>
      <c r="G16" s="53" t="s">
        <v>69</v>
      </c>
      <c r="H16" s="210" t="s">
        <v>17</v>
      </c>
      <c r="I16" s="221"/>
      <c r="J16" s="54">
        <v>45870</v>
      </c>
      <c r="K16" s="57">
        <f ca="1">IF(M12&gt;0,TODAY(),"")</f>
        <v>46217</v>
      </c>
      <c r="M16" s="78">
        <v>1066</v>
      </c>
      <c r="R16" s="20" t="e">
        <f>IF(M16&gt;0,(UPPER(_xlfn.XLOOKUP(M16,#REF!,#REF!,"No encontrado",0))),"")</f>
        <v>#REF!</v>
      </c>
    </row>
    <row r="17" spans="2:18" s="20" customFormat="1" ht="39" customHeight="1" x14ac:dyDescent="0.25">
      <c r="B17" s="261" t="s">
        <v>1685</v>
      </c>
      <c r="C17" s="204"/>
      <c r="D17" s="53">
        <v>20300</v>
      </c>
      <c r="E17" s="261" t="s">
        <v>1684</v>
      </c>
      <c r="F17" s="177"/>
      <c r="G17" s="53" t="s">
        <v>69</v>
      </c>
      <c r="H17" s="210" t="s">
        <v>17</v>
      </c>
      <c r="I17" s="221"/>
      <c r="J17" s="54">
        <v>45871</v>
      </c>
      <c r="K17" s="57">
        <f ca="1">IF(M13&gt;0,TODAY(),"")</f>
        <v>46217</v>
      </c>
      <c r="M17" s="78">
        <v>1067</v>
      </c>
      <c r="R17" s="20" t="e">
        <f>IF(M17&gt;0,(UPPER(_xlfn.XLOOKUP(M17,#REF!,#REF!,"No encontrado",0))),"")</f>
        <v>#REF!</v>
      </c>
    </row>
    <row r="18" spans="2:18" s="20" customFormat="1" ht="39" customHeight="1" x14ac:dyDescent="0.25">
      <c r="B18" s="203"/>
      <c r="C18" s="204"/>
      <c r="D18" s="53"/>
      <c r="E18" s="177"/>
      <c r="F18" s="177"/>
      <c r="G18" s="53"/>
      <c r="H18" s="210" t="s">
        <v>17</v>
      </c>
      <c r="I18" s="221"/>
      <c r="J18" s="57"/>
      <c r="K18" s="57">
        <f ca="1">IF(M14&gt;0,TODAY(),"")</f>
        <v>46217</v>
      </c>
      <c r="M18" s="78">
        <v>1435</v>
      </c>
      <c r="R18" s="20" t="e">
        <f>IF(M18&gt;0,(UPPER(_xlfn.XLOOKUP(M18,#REF!,#REF!,"No encontrado",0))),"")</f>
        <v>#REF!</v>
      </c>
    </row>
    <row r="19" spans="2:18" s="20" customFormat="1" ht="39" customHeight="1" x14ac:dyDescent="0.25">
      <c r="B19" s="203"/>
      <c r="C19" s="204"/>
      <c r="D19" s="53"/>
      <c r="E19" s="177"/>
      <c r="F19" s="177"/>
      <c r="G19" s="53"/>
      <c r="H19" s="210" t="s">
        <v>17</v>
      </c>
      <c r="I19" s="221"/>
      <c r="J19" s="57"/>
      <c r="K19" s="57">
        <f ca="1">IF(M15&gt;0,TODAY(),"")</f>
        <v>46217</v>
      </c>
      <c r="M19" s="78">
        <v>1436</v>
      </c>
      <c r="R19" s="20" t="e">
        <f>IF(M19&gt;0,(UPPER(_xlfn.XLOOKUP(M19,#REF!,#REF!,"No encontrado",0))),"")</f>
        <v>#REF!</v>
      </c>
    </row>
    <row r="20" spans="2:18" s="20" customFormat="1" ht="39" customHeight="1" x14ac:dyDescent="0.25">
      <c r="B20" s="203"/>
      <c r="C20" s="204"/>
      <c r="D20" s="53"/>
      <c r="E20" s="177"/>
      <c r="F20" s="177"/>
      <c r="G20" s="53"/>
      <c r="H20" s="210" t="s">
        <v>17</v>
      </c>
      <c r="I20" s="221"/>
      <c r="J20" s="54"/>
      <c r="K20" s="54"/>
      <c r="M20" s="78">
        <v>1437</v>
      </c>
      <c r="R20" s="20" t="e">
        <f>IF(M20&gt;0,(UPPER(_xlfn.XLOOKUP(M20,#REF!,#REF!,"No encontrado",0))),"")</f>
        <v>#REF!</v>
      </c>
    </row>
    <row r="21" spans="2:18" s="20" customFormat="1" ht="39" customHeight="1" outlineLevel="1" x14ac:dyDescent="0.25">
      <c r="B21" s="203"/>
      <c r="C21" s="204"/>
      <c r="D21" s="53"/>
      <c r="E21" s="177"/>
      <c r="F21" s="177"/>
      <c r="G21" s="53"/>
      <c r="H21" s="210" t="s">
        <v>17</v>
      </c>
      <c r="I21" s="221"/>
      <c r="J21" s="54"/>
      <c r="K21" s="54"/>
      <c r="M21" s="78">
        <v>1438</v>
      </c>
    </row>
    <row r="22" spans="2:18" s="20" customFormat="1" ht="39" customHeight="1" outlineLevel="1" x14ac:dyDescent="0.25">
      <c r="B22" s="203" t="s">
        <v>1686</v>
      </c>
      <c r="C22" s="204"/>
      <c r="D22" s="53" t="e">
        <f>IF(M18&gt;0,(UPPER(_xlfn.XLOOKUP(M18,#REF!,#REF!,"No encontrado",0))),"")</f>
        <v>#REF!</v>
      </c>
      <c r="E22" s="177" t="e">
        <f>IF(M18&gt;0,(PROPER(_xlfn.XLOOKUP(M18,#REF!,#REF!,"No encontrado",0))),"")</f>
        <v>#REF!</v>
      </c>
      <c r="F22" s="177"/>
      <c r="G22" s="53" t="e">
        <f>IF(M18&gt;0,(PROPER(_xlfn.XLOOKUP(M18,#REF!,#REF!,"No encontrado",0))),"")</f>
        <v>#REF!</v>
      </c>
      <c r="H22" s="210" t="s">
        <v>17</v>
      </c>
      <c r="I22" s="221"/>
      <c r="J22" s="54" t="e">
        <f>_xlfn.XLOOKUP(M18,#REF!,#REF!,0)</f>
        <v>#REF!</v>
      </c>
      <c r="K22" s="54">
        <f t="shared" ref="K22:K39" ca="1" si="0">IF(M18&gt;0,TODAY(),"")</f>
        <v>46217</v>
      </c>
      <c r="M22" s="78">
        <v>1439</v>
      </c>
    </row>
    <row r="23" spans="2:18" s="20" customFormat="1" ht="39" customHeight="1" outlineLevel="1" x14ac:dyDescent="0.25">
      <c r="B23" s="203" t="s">
        <v>1686</v>
      </c>
      <c r="C23" s="204"/>
      <c r="D23" s="53" t="e">
        <f>IF(M19&gt;0,(UPPER(_xlfn.XLOOKUP(M19,#REF!,#REF!,"No encontrado",0))),"")</f>
        <v>#REF!</v>
      </c>
      <c r="E23" s="177" t="e">
        <f>IF(M19&gt;0,(PROPER(_xlfn.XLOOKUP(M19,#REF!,#REF!,"No encontrado",0))),"")</f>
        <v>#REF!</v>
      </c>
      <c r="F23" s="177"/>
      <c r="G23" s="53" t="e">
        <f>IF(M19&gt;0,(PROPER(_xlfn.XLOOKUP(M19,#REF!,#REF!,"No encontrado",0))),"")</f>
        <v>#REF!</v>
      </c>
      <c r="H23" s="210" t="s">
        <v>17</v>
      </c>
      <c r="I23" s="221"/>
      <c r="J23" s="54" t="e">
        <f>_xlfn.XLOOKUP(M19,#REF!,#REF!,0)</f>
        <v>#REF!</v>
      </c>
      <c r="K23" s="54">
        <f t="shared" ca="1" si="0"/>
        <v>46217</v>
      </c>
      <c r="M23" s="78">
        <v>1440</v>
      </c>
      <c r="R23" s="20" t="e">
        <f>IF(M20&gt;0,(UPPER(_xlfn.XLOOKUP(M20,#REF!,#REF!,"No encontrado",0))),"")</f>
        <v>#REF!</v>
      </c>
    </row>
    <row r="24" spans="2:18" s="20" customFormat="1" ht="39" customHeight="1" outlineLevel="1" x14ac:dyDescent="0.25">
      <c r="B24" s="203" t="s">
        <v>1686</v>
      </c>
      <c r="C24" s="204"/>
      <c r="D24" s="53" t="e">
        <f>IF(M20&gt;0,(UPPER(_xlfn.XLOOKUP(M20,#REF!,#REF!,"No encontrado",0))),"")</f>
        <v>#REF!</v>
      </c>
      <c r="E24" s="177" t="e">
        <f>IF(M20&gt;0,(PROPER(_xlfn.XLOOKUP(M20,#REF!,#REF!,"No encontrado",0))),"")</f>
        <v>#REF!</v>
      </c>
      <c r="F24" s="177"/>
      <c r="G24" s="53" t="e">
        <f>IF(M20&gt;0,(PROPER(_xlfn.XLOOKUP(M20,#REF!,#REF!,"No encontrado",0))),"")</f>
        <v>#REF!</v>
      </c>
      <c r="H24" s="210" t="s">
        <v>17</v>
      </c>
      <c r="I24" s="221"/>
      <c r="J24" s="54" t="e">
        <f>_xlfn.XLOOKUP(M20,#REF!,#REF!,0)</f>
        <v>#REF!</v>
      </c>
      <c r="K24" s="54">
        <f t="shared" ca="1" si="0"/>
        <v>46217</v>
      </c>
      <c r="M24" s="78"/>
      <c r="R24" s="20" t="e">
        <f>IF(M21&gt;0,(UPPER(_xlfn.XLOOKUP(M21,#REF!,#REF!,"No encontrado",0))),"")</f>
        <v>#REF!</v>
      </c>
    </row>
    <row r="25" spans="2:18" s="20" customFormat="1" ht="39" customHeight="1" outlineLevel="1" x14ac:dyDescent="0.25">
      <c r="B25" s="203" t="s">
        <v>1687</v>
      </c>
      <c r="C25" s="204"/>
      <c r="D25" s="53" t="e">
        <f>IF(M21&gt;0,(UPPER(_xlfn.XLOOKUP(M21,#REF!,#REF!,"No encontrado",0))),"")</f>
        <v>#REF!</v>
      </c>
      <c r="E25" s="177" t="e">
        <f>IF(M21&gt;0,(PROPER(_xlfn.XLOOKUP(M21,#REF!,#REF!,"No encontrado",0))),"")</f>
        <v>#REF!</v>
      </c>
      <c r="F25" s="177"/>
      <c r="G25" s="53" t="e">
        <f>IF(M21&gt;0,(PROPER(_xlfn.XLOOKUP(M21,#REF!,#REF!,"No encontrado",0))),"")</f>
        <v>#REF!</v>
      </c>
      <c r="H25" s="210" t="s">
        <v>17</v>
      </c>
      <c r="I25" s="221"/>
      <c r="J25" s="54" t="e">
        <f>_xlfn.XLOOKUP(M21,#REF!,#REF!,0)</f>
        <v>#REF!</v>
      </c>
      <c r="K25" s="54">
        <f t="shared" ca="1" si="0"/>
        <v>46217</v>
      </c>
      <c r="M25" s="79"/>
      <c r="R25" s="20" t="e">
        <f>IF(M22&gt;0,(UPPER(_xlfn.XLOOKUP(M22,#REF!,#REF!,"No encontrado",0))),"")</f>
        <v>#REF!</v>
      </c>
    </row>
    <row r="26" spans="2:18" s="20" customFormat="1" ht="39" customHeight="1" outlineLevel="1" x14ac:dyDescent="0.25">
      <c r="B26" s="203" t="s">
        <v>1687</v>
      </c>
      <c r="C26" s="204"/>
      <c r="D26" s="53" t="e">
        <f>IF(M22&gt;0,(UPPER(_xlfn.XLOOKUP(M22,#REF!,#REF!,"No encontrado",0))),"")</f>
        <v>#REF!</v>
      </c>
      <c r="E26" s="177" t="e">
        <f>IF(M22&gt;0,(PROPER(_xlfn.XLOOKUP(M22,#REF!,#REF!,"No encontrado",0))),"")</f>
        <v>#REF!</v>
      </c>
      <c r="F26" s="177"/>
      <c r="G26" s="53" t="e">
        <f>IF(M22&gt;0,(PROPER(_xlfn.XLOOKUP(M22,#REF!,#REF!,"No encontrado",0))),"")</f>
        <v>#REF!</v>
      </c>
      <c r="H26" s="210" t="s">
        <v>17</v>
      </c>
      <c r="I26" s="221"/>
      <c r="J26" s="54" t="e">
        <f>_xlfn.XLOOKUP(M22,#REF!,#REF!,0)</f>
        <v>#REF!</v>
      </c>
      <c r="K26" s="54">
        <f t="shared" ca="1" si="0"/>
        <v>46217</v>
      </c>
      <c r="M26" s="79"/>
      <c r="R26" s="20" t="e">
        <f>IF(M23&gt;0,(UPPER(_xlfn.XLOOKUP(M23,#REF!,#REF!,"No encontrado",0))),"")</f>
        <v>#REF!</v>
      </c>
    </row>
    <row r="27" spans="2:18" s="20" customFormat="1" ht="39" customHeight="1" outlineLevel="1" x14ac:dyDescent="0.25">
      <c r="B27" s="203" t="s">
        <v>1686</v>
      </c>
      <c r="C27" s="204"/>
      <c r="D27" s="53" t="e">
        <f>IF(M23&gt;0,(UPPER(_xlfn.XLOOKUP(M23,#REF!,#REF!,"No encontrado",0))),"")</f>
        <v>#REF!</v>
      </c>
      <c r="E27" s="177" t="e">
        <f>IF(M23&gt;0,(PROPER(_xlfn.XLOOKUP(M23,#REF!,#REF!,"No encontrado",0))),"")</f>
        <v>#REF!</v>
      </c>
      <c r="F27" s="177"/>
      <c r="G27" s="53" t="e">
        <f>IF(M23&gt;0,(PROPER(_xlfn.XLOOKUP(M23,#REF!,#REF!,"No encontrado",0))),"")</f>
        <v>#REF!</v>
      </c>
      <c r="H27" s="210" t="s">
        <v>17</v>
      </c>
      <c r="I27" s="221"/>
      <c r="J27" s="54" t="e">
        <f>_xlfn.XLOOKUP(M23,#REF!,#REF!,0)</f>
        <v>#REF!</v>
      </c>
      <c r="K27" s="54">
        <f t="shared" ca="1" si="0"/>
        <v>46217</v>
      </c>
      <c r="M27" s="79"/>
      <c r="R27" s="20" t="str">
        <f>IF(M24&gt;0,(UPPER(_xlfn.XLOOKUP(M24,#REF!,#REF!,"No encontrado",0))),"")</f>
        <v/>
      </c>
    </row>
    <row r="28" spans="2:18" s="20" customFormat="1" ht="39" customHeight="1" outlineLevel="1" x14ac:dyDescent="0.25">
      <c r="B28" s="261" t="s">
        <v>1688</v>
      </c>
      <c r="C28" s="204"/>
      <c r="D28" s="77">
        <v>20240</v>
      </c>
      <c r="E28" s="262" t="s">
        <v>1689</v>
      </c>
      <c r="F28" s="263"/>
      <c r="G28" s="77" t="s">
        <v>1690</v>
      </c>
      <c r="H28" s="210" t="s">
        <v>17</v>
      </c>
      <c r="I28" s="221"/>
      <c r="J28" s="85">
        <v>45938</v>
      </c>
      <c r="K28" s="54" t="str">
        <f t="shared" ca="1" si="0"/>
        <v/>
      </c>
      <c r="M28" s="79"/>
      <c r="R28" s="20" t="str">
        <f>IF(M25&gt;0,(UPPER(_xlfn.XLOOKUP(M25,#REF!,#REF!,"No encontrado",0))),"")</f>
        <v/>
      </c>
    </row>
    <row r="29" spans="2:18" s="20" customFormat="1" ht="39" customHeight="1" outlineLevel="1" x14ac:dyDescent="0.25">
      <c r="B29" s="203" t="s">
        <v>1688</v>
      </c>
      <c r="C29" s="204"/>
      <c r="D29" s="77">
        <v>20249</v>
      </c>
      <c r="E29" s="262" t="s">
        <v>1689</v>
      </c>
      <c r="F29" s="263"/>
      <c r="G29" s="77" t="s">
        <v>1690</v>
      </c>
      <c r="H29" s="210" t="s">
        <v>17</v>
      </c>
      <c r="I29" s="221"/>
      <c r="J29" s="54" t="e">
        <f>_xlfn.XLOOKUP(M25,#REF!,#REF!,0)</f>
        <v>#REF!</v>
      </c>
      <c r="K29" s="54" t="str">
        <f t="shared" ca="1" si="0"/>
        <v/>
      </c>
      <c r="M29" s="79"/>
      <c r="R29" s="20" t="str">
        <f>IF(M26&gt;0,(UPPER(_xlfn.XLOOKUP(M26,#REF!,#REF!,"No encontrado",0))),"")</f>
        <v/>
      </c>
    </row>
    <row r="30" spans="2:18" s="20" customFormat="1" ht="39" customHeight="1" outlineLevel="1" x14ac:dyDescent="0.25">
      <c r="B30" s="203" t="s">
        <v>1688</v>
      </c>
      <c r="C30" s="204"/>
      <c r="D30" s="77">
        <v>20237</v>
      </c>
      <c r="E30" s="262" t="s">
        <v>1691</v>
      </c>
      <c r="F30" s="263"/>
      <c r="G30" s="77" t="s">
        <v>1690</v>
      </c>
      <c r="H30" s="210" t="s">
        <v>17</v>
      </c>
      <c r="I30" s="221"/>
      <c r="J30" s="54" t="e">
        <f>_xlfn.XLOOKUP(M26,#REF!,#REF!,0)</f>
        <v>#REF!</v>
      </c>
      <c r="K30" s="54" t="str">
        <f t="shared" ca="1" si="0"/>
        <v/>
      </c>
      <c r="M30" s="79"/>
      <c r="R30" s="20" t="str">
        <f>IF(M27&gt;0,(UPPER(_xlfn.XLOOKUP(M27,#REF!,#REF!,"No encontrado",0))),"")</f>
        <v/>
      </c>
    </row>
    <row r="31" spans="2:18" s="20" customFormat="1" ht="39" customHeight="1" outlineLevel="1" x14ac:dyDescent="0.25">
      <c r="B31" s="203" t="s">
        <v>1688</v>
      </c>
      <c r="C31" s="204"/>
      <c r="D31" s="77">
        <v>20235</v>
      </c>
      <c r="E31" s="262" t="s">
        <v>1691</v>
      </c>
      <c r="F31" s="263"/>
      <c r="G31" s="77" t="s">
        <v>1690</v>
      </c>
      <c r="H31" s="210" t="s">
        <v>17</v>
      </c>
      <c r="I31" s="221"/>
      <c r="J31" s="54" t="e">
        <f>_xlfn.XLOOKUP(M27,#REF!,#REF!,0)</f>
        <v>#REF!</v>
      </c>
      <c r="K31" s="54" t="str">
        <f t="shared" ca="1" si="0"/>
        <v/>
      </c>
      <c r="M31" s="79"/>
      <c r="R31" s="20" t="str">
        <f>IF(M28&gt;0,(UPPER(_xlfn.XLOOKUP(M28,#REF!,#REF!,"No encontrado",0))),"")</f>
        <v/>
      </c>
    </row>
    <row r="32" spans="2:18" s="20" customFormat="1" ht="39" customHeight="1" outlineLevel="1" x14ac:dyDescent="0.25">
      <c r="B32" s="203" t="s">
        <v>1688</v>
      </c>
      <c r="C32" s="204"/>
      <c r="D32" s="77">
        <v>20248</v>
      </c>
      <c r="E32" s="262" t="s">
        <v>1691</v>
      </c>
      <c r="F32" s="263"/>
      <c r="G32" s="77" t="s">
        <v>1690</v>
      </c>
      <c r="H32" s="210" t="s">
        <v>17</v>
      </c>
      <c r="I32" s="221"/>
      <c r="J32" s="54" t="e">
        <f>_xlfn.XLOOKUP(M28,#REF!,#REF!,0)</f>
        <v>#REF!</v>
      </c>
      <c r="K32" s="54" t="str">
        <f t="shared" ca="1" si="0"/>
        <v/>
      </c>
      <c r="M32" s="79"/>
      <c r="R32" s="20" t="str">
        <f>IF(M29&gt;0,(UPPER(_xlfn.XLOOKUP(M29,#REF!,#REF!,"No encontrado",0))),"")</f>
        <v/>
      </c>
    </row>
    <row r="33" spans="2:29" s="20" customFormat="1" ht="39" customHeight="1" outlineLevel="1" x14ac:dyDescent="0.25">
      <c r="B33" s="203" t="s">
        <v>1688</v>
      </c>
      <c r="C33" s="204"/>
      <c r="D33" s="77">
        <v>20247</v>
      </c>
      <c r="E33" s="262" t="s">
        <v>1691</v>
      </c>
      <c r="F33" s="263"/>
      <c r="G33" s="77" t="s">
        <v>1690</v>
      </c>
      <c r="H33" s="210" t="s">
        <v>17</v>
      </c>
      <c r="I33" s="221"/>
      <c r="J33" s="54" t="e">
        <f>_xlfn.XLOOKUP(M29,#REF!,#REF!,0)</f>
        <v>#REF!</v>
      </c>
      <c r="K33" s="54" t="str">
        <f t="shared" ca="1" si="0"/>
        <v/>
      </c>
      <c r="M33" s="79"/>
      <c r="R33" s="20" t="str">
        <f>IF(M30&gt;0,(UPPER(_xlfn.XLOOKUP(M30,#REF!,#REF!,"No encontrado",0))),"")</f>
        <v/>
      </c>
    </row>
    <row r="34" spans="2:29" s="20" customFormat="1" ht="39" customHeight="1" outlineLevel="1" x14ac:dyDescent="0.25">
      <c r="B34" s="203" t="s">
        <v>1688</v>
      </c>
      <c r="C34" s="204"/>
      <c r="D34" s="77">
        <v>20243</v>
      </c>
      <c r="E34" s="262" t="s">
        <v>1691</v>
      </c>
      <c r="F34" s="263"/>
      <c r="G34" s="77" t="s">
        <v>1690</v>
      </c>
      <c r="H34" s="210" t="s">
        <v>17</v>
      </c>
      <c r="I34" s="221"/>
      <c r="J34" s="54" t="e">
        <f>_xlfn.XLOOKUP(M30,#REF!,#REF!,0)</f>
        <v>#REF!</v>
      </c>
      <c r="K34" s="54" t="str">
        <f t="shared" ca="1" si="0"/>
        <v/>
      </c>
      <c r="M34" s="79"/>
      <c r="R34" s="20" t="str">
        <f>IF(M31&gt;0,(UPPER(_xlfn.XLOOKUP(M31,#REF!,#REF!,"No encontrado",0))),"")</f>
        <v/>
      </c>
    </row>
    <row r="35" spans="2:29" s="20" customFormat="1" ht="39" customHeight="1" outlineLevel="1" x14ac:dyDescent="0.25">
      <c r="B35" s="203" t="s">
        <v>1688</v>
      </c>
      <c r="C35" s="204"/>
      <c r="D35" s="77">
        <v>20244</v>
      </c>
      <c r="E35" s="262" t="s">
        <v>1691</v>
      </c>
      <c r="F35" s="263"/>
      <c r="G35" s="77" t="s">
        <v>1690</v>
      </c>
      <c r="H35" s="210" t="s">
        <v>17</v>
      </c>
      <c r="I35" s="221"/>
      <c r="J35" s="54" t="e">
        <f>_xlfn.XLOOKUP(M31,#REF!,#REF!,0)</f>
        <v>#REF!</v>
      </c>
      <c r="K35" s="54" t="str">
        <f t="shared" ca="1" si="0"/>
        <v/>
      </c>
      <c r="M35" s="79"/>
      <c r="R35" s="20" t="str">
        <f>IF(M32&gt;0,(UPPER(_xlfn.XLOOKUP(M32,#REF!,#REF!,"No encontrado",0))),"")</f>
        <v/>
      </c>
    </row>
    <row r="36" spans="2:29" s="20" customFormat="1" ht="39" customHeight="1" outlineLevel="1" x14ac:dyDescent="0.25">
      <c r="B36" s="203" t="s">
        <v>1688</v>
      </c>
      <c r="C36" s="204"/>
      <c r="D36" s="77">
        <v>20245</v>
      </c>
      <c r="E36" s="262" t="s">
        <v>1691</v>
      </c>
      <c r="F36" s="263"/>
      <c r="G36" s="77" t="s">
        <v>1690</v>
      </c>
      <c r="H36" s="210" t="s">
        <v>17</v>
      </c>
      <c r="I36" s="221"/>
      <c r="J36" s="54" t="e">
        <f>_xlfn.XLOOKUP(M32,#REF!,#REF!,0)</f>
        <v>#REF!</v>
      </c>
      <c r="K36" s="54" t="str">
        <f t="shared" ca="1" si="0"/>
        <v/>
      </c>
      <c r="M36" s="79"/>
      <c r="R36" s="20" t="str">
        <f>IF(M33&gt;0,(UPPER(_xlfn.XLOOKUP(M33,#REF!,#REF!,"No encontrado",0))),"")</f>
        <v/>
      </c>
    </row>
    <row r="37" spans="2:29" s="20" customFormat="1" ht="39" customHeight="1" outlineLevel="1" x14ac:dyDescent="0.25">
      <c r="B37" s="203" t="s">
        <v>1688</v>
      </c>
      <c r="C37" s="204"/>
      <c r="D37" s="77">
        <v>20245</v>
      </c>
      <c r="E37" s="262" t="s">
        <v>241</v>
      </c>
      <c r="F37" s="263"/>
      <c r="G37" s="77" t="s">
        <v>1690</v>
      </c>
      <c r="H37" s="210" t="s">
        <v>17</v>
      </c>
      <c r="I37" s="221"/>
      <c r="J37" s="54" t="e">
        <f>_xlfn.XLOOKUP(M33,#REF!,#REF!,0)</f>
        <v>#REF!</v>
      </c>
      <c r="K37" s="54" t="str">
        <f t="shared" ca="1" si="0"/>
        <v/>
      </c>
      <c r="M37" s="79"/>
      <c r="R37" s="20" t="str">
        <f>IF(M34&gt;0,(UPPER(_xlfn.XLOOKUP(M34,#REF!,#REF!,"No encontrado",0))),"")</f>
        <v/>
      </c>
    </row>
    <row r="38" spans="2:29" s="20" customFormat="1" ht="39" customHeight="1" outlineLevel="1" x14ac:dyDescent="0.25">
      <c r="B38" s="203" t="s">
        <v>1688</v>
      </c>
      <c r="C38" s="204"/>
      <c r="D38" s="77">
        <v>20241</v>
      </c>
      <c r="E38" s="262" t="s">
        <v>1443</v>
      </c>
      <c r="F38" s="263"/>
      <c r="G38" s="77" t="s">
        <v>1690</v>
      </c>
      <c r="H38" s="210" t="s">
        <v>17</v>
      </c>
      <c r="I38" s="221"/>
      <c r="J38" s="54" t="e">
        <f>_xlfn.XLOOKUP(M34,#REF!,#REF!,0)</f>
        <v>#REF!</v>
      </c>
      <c r="K38" s="54" t="str">
        <f t="shared" ca="1" si="0"/>
        <v/>
      </c>
      <c r="M38" s="79"/>
      <c r="R38" s="20" t="str">
        <f>IF(M35&gt;0,(UPPER(_xlfn.XLOOKUP(M35,#REF!,#REF!,"No encontrado",0))),"")</f>
        <v/>
      </c>
    </row>
    <row r="39" spans="2:29" s="20" customFormat="1" ht="39" customHeight="1" outlineLevel="1" x14ac:dyDescent="0.25">
      <c r="B39" s="203" t="s">
        <v>1688</v>
      </c>
      <c r="C39" s="204"/>
      <c r="D39" s="77">
        <v>20236</v>
      </c>
      <c r="E39" s="262" t="s">
        <v>1443</v>
      </c>
      <c r="F39" s="263"/>
      <c r="G39" s="77" t="s">
        <v>1690</v>
      </c>
      <c r="H39" s="210" t="s">
        <v>17</v>
      </c>
      <c r="I39" s="221"/>
      <c r="J39" s="54" t="e">
        <f>_xlfn.XLOOKUP(M35,#REF!,#REF!,0)</f>
        <v>#REF!</v>
      </c>
      <c r="K39" s="54" t="str">
        <f t="shared" ca="1" si="0"/>
        <v/>
      </c>
      <c r="M39" s="79"/>
      <c r="R39" s="20" t="str">
        <f>IF(M36&gt;0,(UPPER(_xlfn.XLOOKUP(M36,#REF!,#REF!,"No encontrado",0))),"")</f>
        <v/>
      </c>
    </row>
    <row r="40" spans="2:29" s="20" customFormat="1" ht="34.5" customHeight="1" x14ac:dyDescent="0.25">
      <c r="B40" s="203"/>
      <c r="C40" s="204"/>
      <c r="D40" s="53"/>
      <c r="E40" s="177"/>
      <c r="F40" s="177"/>
      <c r="G40" s="53"/>
      <c r="H40" s="210"/>
      <c r="I40" s="211"/>
      <c r="J40" s="54"/>
      <c r="K40" s="54"/>
      <c r="M40" s="79"/>
      <c r="R40" s="20" t="e">
        <f>IF(M13&gt;0,(UPPER(_xlfn.XLOOKUP(M13,#REF!,#REF!,"No encontrado",0))),"")</f>
        <v>#REF!</v>
      </c>
      <c r="S40" s="20" t="s">
        <v>1692</v>
      </c>
    </row>
    <row r="41" spans="2:29" ht="18.7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ht="24.7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ht="24.7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ht="8.25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20" customFormat="1" ht="27.75" customHeight="1" x14ac:dyDescent="0.25">
      <c r="H45" s="199"/>
      <c r="I45" s="199"/>
      <c r="M45" s="168" t="s">
        <v>27</v>
      </c>
      <c r="N45" s="168"/>
      <c r="O45" s="168"/>
      <c r="P45" s="169"/>
      <c r="R45" s="20" t="str">
        <f>IF(M42&gt;0,(UPPER(_xlfn.XLOOKUP(M42,#REF!,#REF!,"No encontrado",0))),"")</f>
        <v/>
      </c>
    </row>
    <row r="46" spans="2:29" s="20" customFormat="1" ht="34.5" customHeight="1" x14ac:dyDescent="0.25">
      <c r="B46" s="162" t="s">
        <v>20</v>
      </c>
      <c r="C46" s="164">
        <v>1</v>
      </c>
      <c r="D46" s="166" t="s">
        <v>21</v>
      </c>
      <c r="E46" s="164">
        <v>1</v>
      </c>
      <c r="F46" s="166" t="s">
        <v>22</v>
      </c>
      <c r="G46" s="166"/>
      <c r="H46" s="168"/>
      <c r="I46" s="168"/>
      <c r="J46" s="168"/>
      <c r="K46" s="169"/>
      <c r="M46" s="170"/>
      <c r="N46" s="170"/>
      <c r="O46" s="170"/>
      <c r="P46" s="171"/>
      <c r="R46" s="20" t="str">
        <f>IF(M43&gt;0,(UPPER(_xlfn.XLOOKUP(M43,#REF!,#REF!,"No encontrado",0))),"")</f>
        <v/>
      </c>
    </row>
    <row r="47" spans="2:29" s="20" customFormat="1" ht="22.5" customHeight="1" x14ac:dyDescent="0.25">
      <c r="B47" s="163"/>
      <c r="C47" s="165"/>
      <c r="D47" s="167"/>
      <c r="E47" s="165"/>
      <c r="F47" s="167"/>
      <c r="G47" s="167"/>
      <c r="H47" s="170"/>
      <c r="I47" s="170"/>
      <c r="J47" s="170"/>
      <c r="K47" s="171"/>
      <c r="R47" s="20" t="str">
        <f>IF(M44&gt;0,(UPPER(_xlfn.XLOOKUP(M44,#REF!,#REF!,"No encontrado",0))),"")</f>
        <v/>
      </c>
    </row>
    <row r="48" spans="2:29" s="20" customFormat="1" ht="3.75" customHeight="1" x14ac:dyDescent="0.25">
      <c r="I48" s="20" t="s">
        <v>24</v>
      </c>
      <c r="R48" s="20" t="e">
        <f>IF(M45&gt;0,(UPPER(_xlfn.XLOOKUP(M45,#REF!,#REF!,"No encontrado",0))),"")</f>
        <v>#REF!</v>
      </c>
    </row>
    <row r="49" spans="1:18" ht="10.5" customHeight="1" x14ac:dyDescent="0.25">
      <c r="B49" s="20"/>
      <c r="C49" s="148" t="s">
        <v>25</v>
      </c>
      <c r="D49" s="149"/>
      <c r="E49" s="149"/>
      <c r="F49" s="150"/>
      <c r="G49" s="151" t="s">
        <v>26</v>
      </c>
      <c r="H49" s="149"/>
      <c r="I49" s="149"/>
      <c r="J49" s="149"/>
      <c r="K49" s="20"/>
      <c r="L49" s="27"/>
      <c r="M49" s="27"/>
      <c r="R49" s="20" t="str">
        <f>IF(M46&gt;0,(UPPER(_xlfn.XLOOKUP(M46,#REF!,#REF!,"No encontrado",0))),"")</f>
        <v/>
      </c>
    </row>
    <row r="50" spans="1:18" ht="18" customHeight="1" x14ac:dyDescent="0.25">
      <c r="A50" s="95" t="s">
        <v>32</v>
      </c>
      <c r="B50" s="20"/>
      <c r="C50" s="152"/>
      <c r="D50" s="153"/>
      <c r="E50" s="153"/>
      <c r="F50" s="154"/>
      <c r="G50" s="161" t="s">
        <v>28</v>
      </c>
      <c r="H50" s="161"/>
      <c r="I50" s="161"/>
      <c r="J50" s="161"/>
      <c r="K50" s="20"/>
      <c r="L50" s="95"/>
      <c r="R50" s="20" t="str">
        <f>IF(M47&gt;0,(UPPER(_xlfn.XLOOKUP(M47,#REF!,#REF!,"No encontrado",0))),"")</f>
        <v/>
      </c>
    </row>
    <row r="51" spans="1:18" ht="26.25" customHeight="1" x14ac:dyDescent="0.25">
      <c r="A51" s="96" t="s">
        <v>33</v>
      </c>
      <c r="B51" s="20"/>
      <c r="C51" s="158" t="s">
        <v>29</v>
      </c>
      <c r="D51" s="159"/>
      <c r="E51" s="159"/>
      <c r="F51" s="160"/>
      <c r="G51" s="161" t="s">
        <v>30</v>
      </c>
      <c r="H51" s="161"/>
      <c r="I51" s="161"/>
      <c r="J51" s="161"/>
      <c r="K51" s="20"/>
      <c r="L51" s="96"/>
      <c r="R51" s="20" t="str">
        <f>IF(M48&gt;0,(UPPER(_xlfn.XLOOKUP(M48,#REF!,#REF!,"No encontrado",0))),"")</f>
        <v/>
      </c>
    </row>
    <row r="52" spans="1:18" ht="15.75" thickBot="1" x14ac:dyDescent="0.3">
      <c r="A52" s="35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35" t="s">
        <v>34</v>
      </c>
      <c r="R52" s="20" t="str">
        <f>IF(M49&gt;0,(UPPER(_xlfn.XLOOKUP(M49,#REF!,#REF!,"No encontrado",0))),"")</f>
        <v/>
      </c>
    </row>
    <row r="53" spans="1:18" outlineLevel="1" x14ac:dyDescent="0.25">
      <c r="B53" s="27" t="s">
        <v>31</v>
      </c>
      <c r="C53" s="27"/>
      <c r="D53" s="27"/>
      <c r="E53" s="27"/>
      <c r="F53" s="27"/>
      <c r="G53" s="27"/>
      <c r="H53" s="27"/>
      <c r="I53" s="27"/>
      <c r="J53" s="27"/>
      <c r="K53" s="27"/>
      <c r="R53" s="20" t="str">
        <f>IF(M50&gt;0,(UPPER(_xlfn.XLOOKUP(M50,#REF!,#REF!,"No encontrado",0))),"")</f>
        <v/>
      </c>
    </row>
    <row r="54" spans="1:18" outlineLevel="1" x14ac:dyDescent="0.25">
      <c r="B54" s="95"/>
      <c r="C54" s="95"/>
      <c r="D54" s="95"/>
      <c r="E54" s="95"/>
      <c r="F54" s="95"/>
      <c r="G54" s="95"/>
      <c r="H54" s="95"/>
      <c r="I54" s="95"/>
      <c r="J54" s="95"/>
      <c r="K54" s="95"/>
      <c r="R54" s="20" t="str">
        <f>IF(M51&gt;0,(UPPER(_xlfn.XLOOKUP(M51,#REF!,#REF!,"No encontrado",0))),"")</f>
        <v/>
      </c>
    </row>
    <row r="55" spans="1:18" s="97" customFormat="1" ht="15" customHeight="1" outlineLevel="1" x14ac:dyDescent="0.25">
      <c r="B55" s="96"/>
      <c r="C55" s="96"/>
      <c r="D55" s="96"/>
      <c r="E55" s="96"/>
      <c r="F55" s="96"/>
      <c r="G55" s="96"/>
      <c r="H55" s="96"/>
      <c r="I55" s="96"/>
      <c r="J55" s="96"/>
      <c r="K55" s="96"/>
      <c r="R55" s="20" t="str">
        <f>IF(M52&gt;0,(UPPER(_xlfn.XLOOKUP(M52,#REF!,#REF!,"No encontrado",0))),"")</f>
        <v/>
      </c>
    </row>
    <row r="56" spans="1:18" s="97" customFormat="1" ht="28.5" customHeight="1" outlineLevel="1" thickBot="1" x14ac:dyDescent="0.3">
      <c r="A56" s="94" t="s">
        <v>0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94"/>
      <c r="R56" s="20" t="str">
        <f>IF(M53&gt;0,(UPPER(_xlfn.XLOOKUP(M53,#REF!,#REF!,"No encontrado",0))),"")</f>
        <v/>
      </c>
    </row>
    <row r="57" spans="1:18" s="97" customFormat="1" ht="14.25" customHeight="1" outlineLevel="1" x14ac:dyDescent="0.25">
      <c r="B57" s="14"/>
      <c r="C57" s="14"/>
      <c r="D57" s="14"/>
      <c r="E57" s="14"/>
      <c r="F57" s="14"/>
      <c r="G57" s="14"/>
      <c r="H57" s="14"/>
      <c r="I57" s="14"/>
      <c r="J57" s="14"/>
      <c r="K57" s="14"/>
      <c r="R57" s="20" t="str">
        <f>IF(M54&gt;0,(UPPER(_xlfn.XLOOKUP(M54,#REF!,#REF!,"No encontrado",0))),"")</f>
        <v/>
      </c>
    </row>
    <row r="58" spans="1:18" ht="16.5" customHeight="1" outlineLevel="1" x14ac:dyDescent="0.25">
      <c r="R58" s="20" t="str">
        <f>IF(M55&gt;0,(UPPER(_xlfn.XLOOKUP(M55,#REF!,#REF!,"No encontrado",0))),"")</f>
        <v/>
      </c>
    </row>
    <row r="59" spans="1:18" ht="16.5" customHeight="1" outlineLevel="1" x14ac:dyDescent="0.25">
      <c r="A59" s="15"/>
      <c r="B59" s="97"/>
      <c r="C59" s="8"/>
      <c r="D59" s="98"/>
      <c r="E59" s="10"/>
      <c r="F59" s="10"/>
      <c r="G59" s="10"/>
      <c r="H59" s="10"/>
      <c r="I59" s="10"/>
      <c r="J59" s="10"/>
      <c r="K59" s="97"/>
      <c r="R59" s="20" t="str">
        <f>IF(M56&gt;0,(UPPER(_xlfn.XLOOKUP(M56,#REF!,#REF!,"No encontrado",0))),"")</f>
        <v/>
      </c>
    </row>
    <row r="60" spans="1:18" ht="6" customHeight="1" outlineLevel="1" x14ac:dyDescent="0.25">
      <c r="B60" s="94"/>
      <c r="C60" s="94"/>
      <c r="D60" s="94"/>
      <c r="E60" s="94"/>
      <c r="F60" s="94"/>
      <c r="G60" s="94"/>
      <c r="H60" s="94"/>
      <c r="I60" s="94"/>
      <c r="J60" s="94"/>
      <c r="K60" s="94"/>
      <c r="R60" s="20" t="str">
        <f>IF(M57&gt;0,(UPPER(_xlfn.XLOOKUP(M57,#REF!,#REF!,"No encontrado",0))),"")</f>
        <v/>
      </c>
    </row>
    <row r="61" spans="1:18" ht="21.75" customHeight="1" outlineLevel="1" x14ac:dyDescent="0.25">
      <c r="B61" s="97"/>
      <c r="C61" s="12"/>
      <c r="D61" s="10"/>
      <c r="E61" s="10"/>
      <c r="F61" s="10"/>
      <c r="G61" s="10"/>
      <c r="H61" s="10"/>
      <c r="I61" s="10"/>
      <c r="J61" s="10"/>
      <c r="K61" s="13" t="s">
        <v>1</v>
      </c>
      <c r="L61" s="19"/>
    </row>
    <row r="62" spans="1:18" ht="6.75" customHeight="1" outlineLevel="1" x14ac:dyDescent="0.25">
      <c r="B62" s="15"/>
      <c r="C62" s="15"/>
      <c r="D62" s="16"/>
      <c r="E62" s="16"/>
      <c r="F62" s="189" t="s">
        <v>2</v>
      </c>
      <c r="G62" s="191">
        <f ca="1">G4</f>
        <v>46217</v>
      </c>
      <c r="H62" s="191"/>
      <c r="I62" s="193" t="s">
        <v>3</v>
      </c>
      <c r="J62" s="195">
        <f>J4</f>
        <v>1060</v>
      </c>
      <c r="K62" s="196"/>
    </row>
    <row r="63" spans="1:18" s="20" customFormat="1" ht="27.75" customHeight="1" outlineLevel="1" x14ac:dyDescent="0.25">
      <c r="B63" s="15"/>
      <c r="C63" s="15"/>
      <c r="D63" s="16"/>
      <c r="E63" s="16"/>
      <c r="F63" s="190"/>
      <c r="G63" s="192"/>
      <c r="H63" s="192"/>
      <c r="I63" s="194"/>
      <c r="J63" s="197"/>
      <c r="K63" s="198"/>
    </row>
    <row r="64" spans="1:18" s="20" customFormat="1" ht="6" customHeight="1" outlineLevel="1" x14ac:dyDescent="0.25">
      <c r="B64" s="14"/>
      <c r="C64" s="18"/>
      <c r="D64" s="14"/>
      <c r="E64" s="14"/>
      <c r="F64" s="14"/>
      <c r="G64" s="14"/>
      <c r="H64" s="14"/>
      <c r="I64" s="14"/>
      <c r="J64" s="181"/>
      <c r="K64" s="181"/>
    </row>
    <row r="65" spans="2:11" s="20" customFormat="1" ht="40.5" customHeight="1" outlineLevel="1" x14ac:dyDescent="0.25">
      <c r="B65" s="182" t="s">
        <v>4</v>
      </c>
      <c r="C65" s="182"/>
      <c r="D65" s="182"/>
      <c r="E65" s="182"/>
      <c r="F65" s="182"/>
      <c r="G65" s="182"/>
      <c r="H65" s="182"/>
      <c r="I65" s="182"/>
      <c r="J65" s="182"/>
      <c r="K65" s="182"/>
    </row>
    <row r="66" spans="2:11" s="20" customFormat="1" ht="39" customHeight="1" outlineLevel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spans="2:11" s="20" customFormat="1" ht="39.950000000000003" customHeight="1" outlineLevel="1" x14ac:dyDescent="0.25">
      <c r="B67" s="183" t="s">
        <v>5</v>
      </c>
      <c r="C67" s="184"/>
      <c r="D67" s="185" t="str">
        <f>D9</f>
        <v>Cooper</v>
      </c>
      <c r="E67" s="185"/>
      <c r="G67" s="186" t="s">
        <v>6</v>
      </c>
      <c r="H67" s="186"/>
      <c r="I67" s="187" t="str">
        <f>I9</f>
        <v>RECOLECCIÓN POR PARTE DEL CLIENTE</v>
      </c>
      <c r="J67" s="187"/>
      <c r="K67" s="187"/>
    </row>
    <row r="68" spans="2:11" s="20" customFormat="1" ht="39.950000000000003" customHeight="1" outlineLevel="1" x14ac:dyDescent="0.25"/>
    <row r="69" spans="2:11" s="20" customFormat="1" ht="39.950000000000003" customHeight="1" outlineLevel="1" x14ac:dyDescent="0.25">
      <c r="B69" s="178" t="s">
        <v>8</v>
      </c>
      <c r="C69" s="179"/>
      <c r="D69" s="22" t="s">
        <v>9</v>
      </c>
      <c r="E69" s="180" t="s">
        <v>10</v>
      </c>
      <c r="F69" s="179"/>
      <c r="G69" s="22" t="s">
        <v>11</v>
      </c>
      <c r="H69" s="180" t="s">
        <v>12</v>
      </c>
      <c r="I69" s="179"/>
      <c r="J69" s="22" t="s">
        <v>13</v>
      </c>
      <c r="K69" s="23" t="s">
        <v>14</v>
      </c>
    </row>
    <row r="70" spans="2:11" s="20" customFormat="1" ht="39.950000000000003" customHeight="1" outlineLevel="2" x14ac:dyDescent="0.25">
      <c r="B70" s="203" t="str">
        <f>B12</f>
        <v>LENC - 25 - I 0940</v>
      </c>
      <c r="C70" s="204"/>
      <c r="D70" s="53" t="e">
        <f>D12</f>
        <v>#REF!</v>
      </c>
      <c r="E70" s="177" t="e">
        <f>E12</f>
        <v>#REF!</v>
      </c>
      <c r="F70" s="177"/>
      <c r="G70" s="53" t="e">
        <f>G12</f>
        <v>#REF!</v>
      </c>
      <c r="H70" s="210" t="str">
        <f>H12</f>
        <v>Ninguna</v>
      </c>
      <c r="I70" s="221"/>
      <c r="J70" s="54" t="e">
        <f>J12</f>
        <v>#REF!</v>
      </c>
      <c r="K70" s="54">
        <f ca="1">K12</f>
        <v>46217</v>
      </c>
    </row>
    <row r="71" spans="2:11" s="20" customFormat="1" ht="39.75" customHeight="1" outlineLevel="2" x14ac:dyDescent="0.25">
      <c r="B71" s="203">
        <f>B40</f>
        <v>0</v>
      </c>
      <c r="C71" s="204"/>
      <c r="D71" s="53">
        <f>D40</f>
        <v>0</v>
      </c>
      <c r="E71" s="177">
        <f>E40</f>
        <v>0</v>
      </c>
      <c r="F71" s="177"/>
      <c r="G71" s="53">
        <f>G40</f>
        <v>0</v>
      </c>
      <c r="H71" s="210">
        <f>H40</f>
        <v>0</v>
      </c>
      <c r="I71" s="211"/>
      <c r="J71" s="91">
        <f>J40</f>
        <v>0</v>
      </c>
      <c r="K71" s="91">
        <f>K40</f>
        <v>0</v>
      </c>
    </row>
    <row r="72" spans="2:11" s="20" customFormat="1" ht="39.75" customHeight="1" outlineLevel="2" x14ac:dyDescent="0.25">
      <c r="B72" s="203">
        <f t="shared" ref="B72:B79" si="1">B18</f>
        <v>0</v>
      </c>
      <c r="C72" s="204"/>
      <c r="D72" s="53">
        <f t="shared" ref="D72:E75" si="2">D18</f>
        <v>0</v>
      </c>
      <c r="E72" s="177">
        <f t="shared" si="2"/>
        <v>0</v>
      </c>
      <c r="F72" s="177"/>
      <c r="G72" s="53">
        <f t="shared" ref="G72:H75" si="3">G18</f>
        <v>0</v>
      </c>
      <c r="H72" s="210" t="str">
        <f t="shared" si="3"/>
        <v>Ninguna</v>
      </c>
      <c r="I72" s="211"/>
      <c r="J72" s="57">
        <f t="shared" ref="J72:K75" si="4">J18</f>
        <v>0</v>
      </c>
      <c r="K72" s="57">
        <f t="shared" ca="1" si="4"/>
        <v>46217</v>
      </c>
    </row>
    <row r="73" spans="2:11" s="20" customFormat="1" ht="39.75" customHeight="1" outlineLevel="2" x14ac:dyDescent="0.25">
      <c r="B73" s="203">
        <f t="shared" si="1"/>
        <v>0</v>
      </c>
      <c r="C73" s="204"/>
      <c r="D73" s="53">
        <f t="shared" si="2"/>
        <v>0</v>
      </c>
      <c r="E73" s="177">
        <f t="shared" si="2"/>
        <v>0</v>
      </c>
      <c r="F73" s="177"/>
      <c r="G73" s="53">
        <f t="shared" si="3"/>
        <v>0</v>
      </c>
      <c r="H73" s="210" t="str">
        <f t="shared" si="3"/>
        <v>Ninguna</v>
      </c>
      <c r="I73" s="211"/>
      <c r="J73" s="57">
        <f t="shared" si="4"/>
        <v>0</v>
      </c>
      <c r="K73" s="57">
        <f t="shared" ca="1" si="4"/>
        <v>46217</v>
      </c>
    </row>
    <row r="74" spans="2:11" s="20" customFormat="1" ht="39.75" customHeight="1" outlineLevel="2" x14ac:dyDescent="0.25">
      <c r="B74" s="203">
        <f t="shared" si="1"/>
        <v>0</v>
      </c>
      <c r="C74" s="204"/>
      <c r="D74" s="53">
        <f t="shared" si="2"/>
        <v>0</v>
      </c>
      <c r="E74" s="266">
        <f t="shared" si="2"/>
        <v>0</v>
      </c>
      <c r="F74" s="263"/>
      <c r="G74" s="53">
        <f t="shared" si="3"/>
        <v>0</v>
      </c>
      <c r="H74" s="210" t="str">
        <f t="shared" si="3"/>
        <v>Ninguna</v>
      </c>
      <c r="I74" s="211"/>
      <c r="J74" s="54">
        <f t="shared" si="4"/>
        <v>0</v>
      </c>
      <c r="K74" s="92">
        <f t="shared" si="4"/>
        <v>0</v>
      </c>
    </row>
    <row r="75" spans="2:11" s="20" customFormat="1" ht="39.75" hidden="1" customHeight="1" outlineLevel="2" x14ac:dyDescent="0.25">
      <c r="B75" s="203">
        <f t="shared" si="1"/>
        <v>0</v>
      </c>
      <c r="C75" s="204"/>
      <c r="D75" s="53">
        <f t="shared" si="2"/>
        <v>0</v>
      </c>
      <c r="E75" s="267">
        <f t="shared" si="2"/>
        <v>0</v>
      </c>
      <c r="F75" s="268"/>
      <c r="G75" s="53">
        <f t="shared" si="3"/>
        <v>0</v>
      </c>
      <c r="H75" s="210" t="str">
        <f t="shared" si="3"/>
        <v>Ninguna</v>
      </c>
      <c r="I75" s="211"/>
      <c r="J75" s="54">
        <f t="shared" si="4"/>
        <v>0</v>
      </c>
      <c r="K75" s="92">
        <f t="shared" si="4"/>
        <v>0</v>
      </c>
    </row>
    <row r="76" spans="2:11" s="20" customFormat="1" ht="39.75" hidden="1" customHeight="1" outlineLevel="2" x14ac:dyDescent="0.25">
      <c r="B76" s="203" t="str">
        <f t="shared" si="1"/>
        <v>LENC-25-I 0968</v>
      </c>
      <c r="C76" s="204"/>
      <c r="D76" s="53" t="e">
        <f>D22</f>
        <v>#REF!</v>
      </c>
      <c r="E76" s="264" t="e">
        <f t="shared" ref="E76:E93" si="5">E27</f>
        <v>#REF!</v>
      </c>
      <c r="F76" s="265"/>
      <c r="G76" s="55" t="e">
        <f t="shared" ref="G76:H92" si="6">G27</f>
        <v>#REF!</v>
      </c>
      <c r="H76" s="264" t="str">
        <f t="shared" si="6"/>
        <v>Ninguna</v>
      </c>
      <c r="I76" s="265"/>
      <c r="J76" s="54" t="e">
        <f t="shared" ref="J76:K93" si="7">J27</f>
        <v>#REF!</v>
      </c>
      <c r="K76" s="54">
        <f t="shared" ca="1" si="7"/>
        <v>46217</v>
      </c>
    </row>
    <row r="77" spans="2:11" s="20" customFormat="1" ht="39.75" hidden="1" customHeight="1" outlineLevel="2" x14ac:dyDescent="0.25">
      <c r="B77" s="203" t="str">
        <f t="shared" si="1"/>
        <v>LENC-25-I 0968</v>
      </c>
      <c r="C77" s="204"/>
      <c r="D77" s="53" t="e">
        <f>D23</f>
        <v>#REF!</v>
      </c>
      <c r="E77" s="264" t="str">
        <f t="shared" si="5"/>
        <v>Tomacorriente con interruptor</v>
      </c>
      <c r="F77" s="265"/>
      <c r="G77" s="55" t="str">
        <f t="shared" si="6"/>
        <v xml:space="preserve">Forte </v>
      </c>
      <c r="H77" s="264" t="str">
        <f t="shared" si="6"/>
        <v>Ninguna</v>
      </c>
      <c r="I77" s="265"/>
      <c r="J77" s="54">
        <f t="shared" si="7"/>
        <v>45938</v>
      </c>
      <c r="K77" s="54" t="str">
        <f t="shared" ca="1" si="7"/>
        <v/>
      </c>
    </row>
    <row r="78" spans="2:11" s="20" customFormat="1" ht="39.75" hidden="1" customHeight="1" outlineLevel="2" x14ac:dyDescent="0.25">
      <c r="B78" s="203" t="str">
        <f t="shared" si="1"/>
        <v>LENC-25-I 0968</v>
      </c>
      <c r="C78" s="204"/>
      <c r="D78" s="53" t="e">
        <f>D24</f>
        <v>#REF!</v>
      </c>
      <c r="E78" s="264" t="str">
        <f t="shared" si="5"/>
        <v>Tomacorriente con interruptor</v>
      </c>
      <c r="F78" s="265"/>
      <c r="G78" s="55" t="str">
        <f t="shared" si="6"/>
        <v xml:space="preserve">Forte </v>
      </c>
      <c r="H78" s="264" t="str">
        <f t="shared" si="6"/>
        <v>Ninguna</v>
      </c>
      <c r="I78" s="265"/>
      <c r="J78" s="54" t="e">
        <f t="shared" si="7"/>
        <v>#REF!</v>
      </c>
      <c r="K78" s="54" t="str">
        <f t="shared" ca="1" si="7"/>
        <v/>
      </c>
    </row>
    <row r="79" spans="2:11" s="20" customFormat="1" ht="39.75" hidden="1" customHeight="1" outlineLevel="2" x14ac:dyDescent="0.25">
      <c r="B79" s="203" t="str">
        <f t="shared" si="1"/>
        <v>LENC-25-I 0969</v>
      </c>
      <c r="C79" s="204"/>
      <c r="D79" s="53" t="e">
        <f>D25</f>
        <v>#REF!</v>
      </c>
      <c r="E79" s="264" t="str">
        <f t="shared" si="5"/>
        <v>Interruptor sencillo</v>
      </c>
      <c r="F79" s="265"/>
      <c r="G79" s="55" t="str">
        <f t="shared" si="6"/>
        <v xml:space="preserve">Forte </v>
      </c>
      <c r="H79" s="264" t="str">
        <f t="shared" si="6"/>
        <v>Ninguna</v>
      </c>
      <c r="I79" s="265"/>
      <c r="J79" s="54" t="e">
        <f t="shared" si="7"/>
        <v>#REF!</v>
      </c>
      <c r="K79" s="54" t="str">
        <f t="shared" ca="1" si="7"/>
        <v/>
      </c>
    </row>
    <row r="80" spans="2:11" s="20" customFormat="1" ht="39.75" hidden="1" customHeight="1" outlineLevel="2" x14ac:dyDescent="0.25">
      <c r="B80" s="269" t="str">
        <f t="shared" ref="B80:B93" si="8">B31</f>
        <v>LENC-25- I 1008</v>
      </c>
      <c r="C80" s="270"/>
      <c r="D80" s="36">
        <f t="shared" ref="D80:D93" si="9">D31</f>
        <v>20235</v>
      </c>
      <c r="E80" s="270" t="str">
        <f t="shared" si="5"/>
        <v>Interruptor sencillo</v>
      </c>
      <c r="F80" s="270"/>
      <c r="G80" s="36" t="str">
        <f t="shared" si="6"/>
        <v xml:space="preserve">Forte </v>
      </c>
      <c r="H80" s="270" t="str">
        <f t="shared" si="6"/>
        <v>Ninguna</v>
      </c>
      <c r="I80" s="270"/>
      <c r="J80" s="32" t="e">
        <f t="shared" si="7"/>
        <v>#REF!</v>
      </c>
      <c r="K80" s="33" t="str">
        <f t="shared" ca="1" si="7"/>
        <v/>
      </c>
    </row>
    <row r="81" spans="2:11" s="20" customFormat="1" ht="39.75" hidden="1" customHeight="1" outlineLevel="2" x14ac:dyDescent="0.25">
      <c r="B81" s="172" t="str">
        <f t="shared" si="8"/>
        <v>LENC-25- I 1008</v>
      </c>
      <c r="C81" s="173"/>
      <c r="D81" s="36">
        <f t="shared" si="9"/>
        <v>20248</v>
      </c>
      <c r="E81" s="173" t="str">
        <f t="shared" si="5"/>
        <v>Interruptor sencillo</v>
      </c>
      <c r="F81" s="173"/>
      <c r="G81" s="36" t="str">
        <f t="shared" si="6"/>
        <v xml:space="preserve">Forte </v>
      </c>
      <c r="H81" s="173" t="str">
        <f t="shared" si="6"/>
        <v>Ninguna</v>
      </c>
      <c r="I81" s="173"/>
      <c r="J81" s="32" t="e">
        <f t="shared" si="7"/>
        <v>#REF!</v>
      </c>
      <c r="K81" s="33" t="str">
        <f t="shared" ca="1" si="7"/>
        <v/>
      </c>
    </row>
    <row r="82" spans="2:11" s="20" customFormat="1" ht="12.75" hidden="1" customHeight="1" outlineLevel="2" x14ac:dyDescent="0.25">
      <c r="B82" s="172" t="str">
        <f t="shared" si="8"/>
        <v>LENC-25- I 1008</v>
      </c>
      <c r="C82" s="173"/>
      <c r="D82" s="36">
        <f t="shared" si="9"/>
        <v>20247</v>
      </c>
      <c r="E82" s="173" t="str">
        <f t="shared" si="5"/>
        <v>Interruptor sencillo</v>
      </c>
      <c r="F82" s="173"/>
      <c r="G82" s="36" t="str">
        <f t="shared" si="6"/>
        <v xml:space="preserve">Forte </v>
      </c>
      <c r="H82" s="173" t="str">
        <f t="shared" si="6"/>
        <v>Ninguna</v>
      </c>
      <c r="I82" s="173"/>
      <c r="J82" s="32" t="e">
        <f t="shared" si="7"/>
        <v>#REF!</v>
      </c>
      <c r="K82" s="33" t="str">
        <f t="shared" ca="1" si="7"/>
        <v/>
      </c>
    </row>
    <row r="83" spans="2:11" s="20" customFormat="1" ht="12.75" hidden="1" customHeight="1" outlineLevel="2" x14ac:dyDescent="0.25">
      <c r="B83" s="172" t="str">
        <f t="shared" si="8"/>
        <v>LENC-25- I 1008</v>
      </c>
      <c r="C83" s="173"/>
      <c r="D83" s="36">
        <f t="shared" si="9"/>
        <v>20243</v>
      </c>
      <c r="E83" s="173" t="str">
        <f t="shared" si="5"/>
        <v>Interruptor sencillo</v>
      </c>
      <c r="F83" s="173"/>
      <c r="G83" s="36" t="str">
        <f t="shared" si="6"/>
        <v xml:space="preserve">Forte </v>
      </c>
      <c r="H83" s="173" t="str">
        <f t="shared" si="6"/>
        <v>Ninguna</v>
      </c>
      <c r="I83" s="173"/>
      <c r="J83" s="32" t="e">
        <f t="shared" si="7"/>
        <v>#REF!</v>
      </c>
      <c r="K83" s="33" t="str">
        <f t="shared" ca="1" si="7"/>
        <v/>
      </c>
    </row>
    <row r="84" spans="2:11" s="20" customFormat="1" ht="12.75" hidden="1" customHeight="1" outlineLevel="2" x14ac:dyDescent="0.25">
      <c r="B84" s="172" t="str">
        <f t="shared" si="8"/>
        <v>LENC-25- I 1008</v>
      </c>
      <c r="C84" s="173"/>
      <c r="D84" s="36">
        <f t="shared" si="9"/>
        <v>20244</v>
      </c>
      <c r="E84" s="173" t="str">
        <f t="shared" si="5"/>
        <v>Interruptor sencillo</v>
      </c>
      <c r="F84" s="173"/>
      <c r="G84" s="36" t="str">
        <f t="shared" si="6"/>
        <v xml:space="preserve">Forte </v>
      </c>
      <c r="H84" s="173" t="str">
        <f t="shared" si="6"/>
        <v>Ninguna</v>
      </c>
      <c r="I84" s="173"/>
      <c r="J84" s="32" t="e">
        <f t="shared" si="7"/>
        <v>#REF!</v>
      </c>
      <c r="K84" s="33" t="str">
        <f t="shared" ca="1" si="7"/>
        <v/>
      </c>
    </row>
    <row r="85" spans="2:11" s="20" customFormat="1" ht="12.75" hidden="1" customHeight="1" outlineLevel="2" x14ac:dyDescent="0.25">
      <c r="B85" s="172" t="str">
        <f t="shared" si="8"/>
        <v>LENC-25- I 1008</v>
      </c>
      <c r="C85" s="173"/>
      <c r="D85" s="36">
        <f t="shared" si="9"/>
        <v>20245</v>
      </c>
      <c r="E85" s="173" t="str">
        <f t="shared" si="5"/>
        <v>Interruptor sencillo</v>
      </c>
      <c r="F85" s="173"/>
      <c r="G85" s="36" t="str">
        <f t="shared" si="6"/>
        <v xml:space="preserve">Forte </v>
      </c>
      <c r="H85" s="173" t="str">
        <f t="shared" si="6"/>
        <v>Ninguna</v>
      </c>
      <c r="I85" s="173"/>
      <c r="J85" s="32" t="e">
        <f t="shared" si="7"/>
        <v>#REF!</v>
      </c>
      <c r="K85" s="33" t="str">
        <f t="shared" ca="1" si="7"/>
        <v/>
      </c>
    </row>
    <row r="86" spans="2:11" s="20" customFormat="1" ht="12.75" hidden="1" customHeight="1" outlineLevel="2" x14ac:dyDescent="0.25">
      <c r="B86" s="172" t="str">
        <f t="shared" si="8"/>
        <v>LENC-25- I 1008</v>
      </c>
      <c r="C86" s="173"/>
      <c r="D86" s="36">
        <f t="shared" si="9"/>
        <v>20245</v>
      </c>
      <c r="E86" s="173" t="str">
        <f t="shared" si="5"/>
        <v>Interruptor doble</v>
      </c>
      <c r="F86" s="173"/>
      <c r="G86" s="36" t="str">
        <f t="shared" si="6"/>
        <v xml:space="preserve">Forte </v>
      </c>
      <c r="H86" s="173" t="str">
        <f t="shared" si="6"/>
        <v>Ninguna</v>
      </c>
      <c r="I86" s="173"/>
      <c r="J86" s="32" t="e">
        <f t="shared" si="7"/>
        <v>#REF!</v>
      </c>
      <c r="K86" s="33" t="str">
        <f t="shared" ca="1" si="7"/>
        <v/>
      </c>
    </row>
    <row r="87" spans="2:11" s="20" customFormat="1" ht="12.75" hidden="1" customHeight="1" outlineLevel="2" x14ac:dyDescent="0.25">
      <c r="B87" s="172" t="str">
        <f t="shared" si="8"/>
        <v>LENC-25- I 1008</v>
      </c>
      <c r="C87" s="173"/>
      <c r="D87" s="36">
        <f t="shared" si="9"/>
        <v>20241</v>
      </c>
      <c r="E87" s="173" t="str">
        <f t="shared" si="5"/>
        <v>Tomacorriente</v>
      </c>
      <c r="F87" s="173"/>
      <c r="G87" s="36" t="str">
        <f t="shared" si="6"/>
        <v xml:space="preserve">Forte </v>
      </c>
      <c r="H87" s="173" t="str">
        <f t="shared" si="6"/>
        <v>Ninguna</v>
      </c>
      <c r="I87" s="173"/>
      <c r="J87" s="32" t="e">
        <f t="shared" si="7"/>
        <v>#REF!</v>
      </c>
      <c r="K87" s="33" t="str">
        <f t="shared" ca="1" si="7"/>
        <v/>
      </c>
    </row>
    <row r="88" spans="2:11" s="20" customFormat="1" ht="12.75" hidden="1" customHeight="1" outlineLevel="2" x14ac:dyDescent="0.25">
      <c r="B88" s="172" t="str">
        <f t="shared" si="8"/>
        <v>LENC-25- I 1008</v>
      </c>
      <c r="C88" s="173"/>
      <c r="D88" s="36">
        <f t="shared" si="9"/>
        <v>20236</v>
      </c>
      <c r="E88" s="173" t="str">
        <f t="shared" si="5"/>
        <v>Tomacorriente</v>
      </c>
      <c r="F88" s="173"/>
      <c r="G88" s="36" t="str">
        <f t="shared" si="6"/>
        <v xml:space="preserve">Forte </v>
      </c>
      <c r="H88" s="173" t="str">
        <f t="shared" si="6"/>
        <v>Ninguna</v>
      </c>
      <c r="I88" s="173"/>
      <c r="J88" s="32" t="e">
        <f t="shared" si="7"/>
        <v>#REF!</v>
      </c>
      <c r="K88" s="33" t="str">
        <f t="shared" ca="1" si="7"/>
        <v/>
      </c>
    </row>
    <row r="89" spans="2:11" s="20" customFormat="1" ht="12.75" hidden="1" customHeight="1" outlineLevel="2" x14ac:dyDescent="0.25">
      <c r="B89" s="172">
        <f t="shared" si="8"/>
        <v>0</v>
      </c>
      <c r="C89" s="173"/>
      <c r="D89" s="36">
        <f t="shared" si="9"/>
        <v>0</v>
      </c>
      <c r="E89" s="173">
        <f t="shared" si="5"/>
        <v>0</v>
      </c>
      <c r="F89" s="173"/>
      <c r="G89" s="36">
        <f t="shared" si="6"/>
        <v>0</v>
      </c>
      <c r="H89" s="173">
        <f t="shared" si="6"/>
        <v>0</v>
      </c>
      <c r="I89" s="173"/>
      <c r="J89" s="32">
        <f t="shared" si="7"/>
        <v>0</v>
      </c>
      <c r="K89" s="33">
        <f t="shared" si="7"/>
        <v>0</v>
      </c>
    </row>
    <row r="90" spans="2:11" s="20" customFormat="1" ht="12.75" hidden="1" customHeight="1" outlineLevel="1" x14ac:dyDescent="0.25">
      <c r="B90" s="172">
        <f t="shared" si="8"/>
        <v>0</v>
      </c>
      <c r="C90" s="173"/>
      <c r="D90" s="36">
        <f t="shared" si="9"/>
        <v>0</v>
      </c>
      <c r="E90" s="173">
        <f t="shared" si="5"/>
        <v>0</v>
      </c>
      <c r="F90" s="173"/>
      <c r="G90" s="36">
        <f t="shared" si="6"/>
        <v>0</v>
      </c>
      <c r="H90" s="173">
        <f t="shared" si="6"/>
        <v>0</v>
      </c>
      <c r="I90" s="173"/>
      <c r="J90" s="32">
        <f t="shared" si="7"/>
        <v>0</v>
      </c>
      <c r="K90" s="33">
        <f t="shared" si="7"/>
        <v>0</v>
      </c>
    </row>
    <row r="91" spans="2:11" s="20" customFormat="1" ht="12.75" hidden="1" customHeight="1" outlineLevel="1" x14ac:dyDescent="0.25">
      <c r="B91" s="172">
        <f t="shared" si="8"/>
        <v>0</v>
      </c>
      <c r="C91" s="173"/>
      <c r="D91" s="36">
        <f t="shared" si="9"/>
        <v>0</v>
      </c>
      <c r="E91" s="173">
        <f t="shared" si="5"/>
        <v>0</v>
      </c>
      <c r="F91" s="173"/>
      <c r="G91" s="36">
        <f t="shared" si="6"/>
        <v>0</v>
      </c>
      <c r="H91" s="173">
        <f t="shared" si="6"/>
        <v>0</v>
      </c>
      <c r="I91" s="173"/>
      <c r="J91" s="32">
        <f t="shared" si="7"/>
        <v>0</v>
      </c>
      <c r="K91" s="33">
        <f t="shared" si="7"/>
        <v>0</v>
      </c>
    </row>
    <row r="92" spans="2:11" s="20" customFormat="1" ht="12.75" hidden="1" customHeight="1" outlineLevel="1" x14ac:dyDescent="0.25">
      <c r="B92" s="172">
        <f t="shared" si="8"/>
        <v>0</v>
      </c>
      <c r="C92" s="173"/>
      <c r="D92" s="36">
        <f t="shared" si="9"/>
        <v>0</v>
      </c>
      <c r="E92" s="173">
        <f t="shared" si="5"/>
        <v>0</v>
      </c>
      <c r="F92" s="173"/>
      <c r="G92" s="36">
        <f t="shared" si="6"/>
        <v>0</v>
      </c>
      <c r="H92" s="173">
        <f t="shared" si="6"/>
        <v>0</v>
      </c>
      <c r="I92" s="173"/>
      <c r="J92" s="32">
        <f t="shared" si="7"/>
        <v>0</v>
      </c>
      <c r="K92" s="33">
        <f t="shared" si="7"/>
        <v>0</v>
      </c>
    </row>
    <row r="93" spans="2:11" s="20" customFormat="1" ht="12.75" hidden="1" customHeight="1" outlineLevel="1" x14ac:dyDescent="0.25">
      <c r="B93" s="172">
        <f t="shared" si="8"/>
        <v>0</v>
      </c>
      <c r="C93" s="173"/>
      <c r="D93" s="36">
        <f t="shared" si="9"/>
        <v>0</v>
      </c>
      <c r="E93" s="173">
        <f t="shared" si="5"/>
        <v>0</v>
      </c>
      <c r="F93" s="173"/>
      <c r="G93" s="36">
        <f>G44</f>
        <v>0</v>
      </c>
      <c r="H93" s="173" t="e">
        <f>#REF!</f>
        <v>#REF!</v>
      </c>
      <c r="I93" s="173"/>
      <c r="J93" s="32">
        <f t="shared" si="7"/>
        <v>0</v>
      </c>
      <c r="K93" s="33">
        <f t="shared" si="7"/>
        <v>0</v>
      </c>
    </row>
    <row r="94" spans="2:11" s="20" customFormat="1" ht="8.25" hidden="1" customHeight="1" outlineLevel="1" x14ac:dyDescent="0.25">
      <c r="B94" s="177">
        <f>B44</f>
        <v>0</v>
      </c>
      <c r="C94" s="177"/>
      <c r="D94" s="53">
        <f>D44</f>
        <v>0</v>
      </c>
      <c r="E94" s="177">
        <f>E44</f>
        <v>0</v>
      </c>
      <c r="F94" s="177"/>
      <c r="G94" s="53">
        <f>G44</f>
        <v>0</v>
      </c>
      <c r="H94" s="176"/>
      <c r="I94" s="176"/>
      <c r="J94" s="54">
        <f>J44</f>
        <v>0</v>
      </c>
      <c r="K94" s="54">
        <f>K44</f>
        <v>0</v>
      </c>
    </row>
    <row r="95" spans="2:11" s="20" customFormat="1" ht="28.5" customHeight="1" outlineLevel="1" x14ac:dyDescent="0.25"/>
    <row r="96" spans="2:11" s="20" customFormat="1" ht="33.75" customHeight="1" outlineLevel="1" x14ac:dyDescent="0.25">
      <c r="B96" s="162" t="s">
        <v>20</v>
      </c>
      <c r="C96" s="271">
        <v>2</v>
      </c>
      <c r="D96" s="166" t="s">
        <v>21</v>
      </c>
      <c r="E96" s="271">
        <f>E46</f>
        <v>1</v>
      </c>
      <c r="F96" s="180" t="s">
        <v>22</v>
      </c>
      <c r="G96" s="179"/>
      <c r="H96" s="273"/>
      <c r="I96" s="274"/>
      <c r="J96" s="274"/>
      <c r="K96" s="275"/>
    </row>
    <row r="97" spans="1:12" s="20" customFormat="1" ht="22.5" customHeight="1" outlineLevel="1" x14ac:dyDescent="0.25">
      <c r="B97" s="163"/>
      <c r="C97" s="272"/>
      <c r="D97" s="167"/>
      <c r="E97" s="272"/>
      <c r="F97" s="255"/>
      <c r="G97" s="256"/>
      <c r="H97" s="276"/>
      <c r="I97" s="277"/>
      <c r="J97" s="277"/>
      <c r="K97" s="278"/>
    </row>
    <row r="98" spans="1:12" s="20" customFormat="1" ht="3.75" customHeight="1" outlineLevel="1" x14ac:dyDescent="0.25"/>
    <row r="99" spans="1:12" ht="10.5" customHeight="1" outlineLevel="1" x14ac:dyDescent="0.25">
      <c r="B99" s="20"/>
      <c r="C99" s="148" t="s">
        <v>25</v>
      </c>
      <c r="D99" s="149"/>
      <c r="E99" s="149"/>
      <c r="F99" s="150"/>
      <c r="G99" s="151" t="s">
        <v>26</v>
      </c>
      <c r="H99" s="149"/>
      <c r="I99" s="149"/>
      <c r="J99" s="149"/>
      <c r="K99" s="20"/>
      <c r="L99" s="27"/>
    </row>
    <row r="100" spans="1:12" ht="18" customHeight="1" outlineLevel="1" x14ac:dyDescent="0.25">
      <c r="A100" s="95" t="s">
        <v>32</v>
      </c>
      <c r="B100" s="20"/>
      <c r="C100" s="152"/>
      <c r="D100" s="153"/>
      <c r="E100" s="153"/>
      <c r="F100" s="154"/>
      <c r="G100" s="155" t="str">
        <f>G50</f>
        <v>FIRMA</v>
      </c>
      <c r="H100" s="156"/>
      <c r="I100" s="156"/>
      <c r="J100" s="157"/>
      <c r="K100" s="20"/>
      <c r="L100" s="95"/>
    </row>
    <row r="101" spans="1:12" ht="26.25" customHeight="1" outlineLevel="1" x14ac:dyDescent="0.25">
      <c r="A101" s="96" t="s">
        <v>33</v>
      </c>
      <c r="B101" s="20"/>
      <c r="C101" s="158" t="s">
        <v>29</v>
      </c>
      <c r="D101" s="159"/>
      <c r="E101" s="159"/>
      <c r="F101" s="160"/>
      <c r="G101" s="161" t="s">
        <v>30</v>
      </c>
      <c r="H101" s="161"/>
      <c r="I101" s="161"/>
      <c r="J101" s="161"/>
      <c r="K101" s="20"/>
      <c r="L101" s="96"/>
    </row>
    <row r="102" spans="1:12" outlineLevel="1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2" x14ac:dyDescent="0.25">
      <c r="B103" s="27" t="s">
        <v>31</v>
      </c>
      <c r="C103" s="27"/>
      <c r="D103" s="27"/>
      <c r="E103" s="27"/>
      <c r="F103" s="27"/>
      <c r="G103" s="27"/>
      <c r="H103" s="27"/>
      <c r="I103" s="27"/>
      <c r="J103" s="27"/>
      <c r="K103" s="27"/>
    </row>
    <row r="104" spans="1:12" x14ac:dyDescent="0.25">
      <c r="B104" s="95"/>
      <c r="C104" s="95"/>
      <c r="D104" s="95"/>
      <c r="E104" s="95"/>
      <c r="F104" s="95"/>
      <c r="G104" s="95"/>
      <c r="H104" s="95"/>
      <c r="I104" s="95"/>
      <c r="J104" s="95"/>
      <c r="K104" s="95"/>
    </row>
    <row r="105" spans="1:12" x14ac:dyDescent="0.25">
      <c r="B105" s="96"/>
      <c r="C105" s="96"/>
      <c r="D105" s="96"/>
      <c r="E105" s="96"/>
      <c r="F105" s="96"/>
      <c r="G105" s="96"/>
      <c r="H105" s="96"/>
      <c r="I105" s="96"/>
      <c r="J105" s="96"/>
      <c r="K105" s="96"/>
    </row>
  </sheetData>
  <sheetProtection formatCells="0" formatColumns="0" formatRows="0" insertColumns="0" insertRows="0" insertHyperlinks="0" deleteColumns="0" deleteRows="0" sort="0" autoFilter="0" pivotTables="0"/>
  <mergeCells count="215">
    <mergeCell ref="C99:F99"/>
    <mergeCell ref="G99:J99"/>
    <mergeCell ref="C100:F100"/>
    <mergeCell ref="G100:J100"/>
    <mergeCell ref="C101:F101"/>
    <mergeCell ref="G101:J101"/>
    <mergeCell ref="B94:C94"/>
    <mergeCell ref="E94:F94"/>
    <mergeCell ref="H94:I94"/>
    <mergeCell ref="B96:B97"/>
    <mergeCell ref="C96:C97"/>
    <mergeCell ref="D96:D97"/>
    <mergeCell ref="E96:E97"/>
    <mergeCell ref="F96:G97"/>
    <mergeCell ref="H96:K97"/>
    <mergeCell ref="B92:C92"/>
    <mergeCell ref="E92:F92"/>
    <mergeCell ref="H92:I92"/>
    <mergeCell ref="B93:C93"/>
    <mergeCell ref="E93:F93"/>
    <mergeCell ref="H93:I93"/>
    <mergeCell ref="B90:C90"/>
    <mergeCell ref="E90:F90"/>
    <mergeCell ref="H90:I90"/>
    <mergeCell ref="B91:C91"/>
    <mergeCell ref="E91:F91"/>
    <mergeCell ref="H91:I91"/>
    <mergeCell ref="B88:C88"/>
    <mergeCell ref="E88:F88"/>
    <mergeCell ref="H88:I88"/>
    <mergeCell ref="B89:C89"/>
    <mergeCell ref="E89:F89"/>
    <mergeCell ref="H89:I89"/>
    <mergeCell ref="B86:C86"/>
    <mergeCell ref="E86:F86"/>
    <mergeCell ref="H86:I86"/>
    <mergeCell ref="B87:C87"/>
    <mergeCell ref="E87:F87"/>
    <mergeCell ref="H87:I87"/>
    <mergeCell ref="B84:C84"/>
    <mergeCell ref="E84:F84"/>
    <mergeCell ref="H84:I84"/>
    <mergeCell ref="B85:C85"/>
    <mergeCell ref="E85:F85"/>
    <mergeCell ref="H85:I85"/>
    <mergeCell ref="B82:C82"/>
    <mergeCell ref="E82:F82"/>
    <mergeCell ref="H82:I82"/>
    <mergeCell ref="B83:C83"/>
    <mergeCell ref="E83:F83"/>
    <mergeCell ref="H83:I83"/>
    <mergeCell ref="B80:C80"/>
    <mergeCell ref="E80:F80"/>
    <mergeCell ref="H80:I80"/>
    <mergeCell ref="B81:C81"/>
    <mergeCell ref="E81:F81"/>
    <mergeCell ref="H81:I81"/>
    <mergeCell ref="B78:C78"/>
    <mergeCell ref="E78:F78"/>
    <mergeCell ref="H78:I78"/>
    <mergeCell ref="B79:C79"/>
    <mergeCell ref="E79:F79"/>
    <mergeCell ref="H79:I79"/>
    <mergeCell ref="B76:C76"/>
    <mergeCell ref="E76:F76"/>
    <mergeCell ref="H76:I76"/>
    <mergeCell ref="B77:C77"/>
    <mergeCell ref="E77:F77"/>
    <mergeCell ref="H77:I77"/>
    <mergeCell ref="B74:C74"/>
    <mergeCell ref="E74:F74"/>
    <mergeCell ref="H74:I74"/>
    <mergeCell ref="B75:C75"/>
    <mergeCell ref="E75:F75"/>
    <mergeCell ref="H75:I75"/>
    <mergeCell ref="B72:C72"/>
    <mergeCell ref="E72:F72"/>
    <mergeCell ref="H72:I72"/>
    <mergeCell ref="B73:C73"/>
    <mergeCell ref="E73:F73"/>
    <mergeCell ref="H73:I73"/>
    <mergeCell ref="B70:C70"/>
    <mergeCell ref="E70:F70"/>
    <mergeCell ref="H70:I70"/>
    <mergeCell ref="B71:C71"/>
    <mergeCell ref="E71:F71"/>
    <mergeCell ref="H71:I71"/>
    <mergeCell ref="B67:C67"/>
    <mergeCell ref="D67:E67"/>
    <mergeCell ref="G67:H67"/>
    <mergeCell ref="I67:K67"/>
    <mergeCell ref="B69:C69"/>
    <mergeCell ref="E69:F69"/>
    <mergeCell ref="H69:I69"/>
    <mergeCell ref="F62:F63"/>
    <mergeCell ref="G62:H63"/>
    <mergeCell ref="I62:I63"/>
    <mergeCell ref="J62:K63"/>
    <mergeCell ref="J64:K64"/>
    <mergeCell ref="B65:K65"/>
    <mergeCell ref="C49:F49"/>
    <mergeCell ref="G49:J49"/>
    <mergeCell ref="C50:F50"/>
    <mergeCell ref="G50:J50"/>
    <mergeCell ref="C51:F51"/>
    <mergeCell ref="G51:J51"/>
    <mergeCell ref="B40:C40"/>
    <mergeCell ref="E40:F40"/>
    <mergeCell ref="H40:I40"/>
    <mergeCell ref="H45:I45"/>
    <mergeCell ref="M45:P46"/>
    <mergeCell ref="B46:B47"/>
    <mergeCell ref="C46:C47"/>
    <mergeCell ref="D46:D47"/>
    <mergeCell ref="E46:E47"/>
    <mergeCell ref="F46:G47"/>
    <mergeCell ref="B38:C38"/>
    <mergeCell ref="E38:F38"/>
    <mergeCell ref="H38:I38"/>
    <mergeCell ref="B39:C39"/>
    <mergeCell ref="E39:F39"/>
    <mergeCell ref="H39:I39"/>
    <mergeCell ref="H46:K47"/>
    <mergeCell ref="B36:C36"/>
    <mergeCell ref="E36:F36"/>
    <mergeCell ref="H36:I36"/>
    <mergeCell ref="B37:C37"/>
    <mergeCell ref="E37:F37"/>
    <mergeCell ref="H37:I37"/>
    <mergeCell ref="B34:C34"/>
    <mergeCell ref="E34:F34"/>
    <mergeCell ref="H34:I34"/>
    <mergeCell ref="B35:C35"/>
    <mergeCell ref="E35:F35"/>
    <mergeCell ref="H35:I35"/>
    <mergeCell ref="B32:C32"/>
    <mergeCell ref="E32:F32"/>
    <mergeCell ref="H32:I32"/>
    <mergeCell ref="B33:C33"/>
    <mergeCell ref="E33:F33"/>
    <mergeCell ref="H33:I33"/>
    <mergeCell ref="B30:C30"/>
    <mergeCell ref="E30:F30"/>
    <mergeCell ref="H30:I30"/>
    <mergeCell ref="B31:C31"/>
    <mergeCell ref="E31:F31"/>
    <mergeCell ref="H31:I31"/>
    <mergeCell ref="B28:C28"/>
    <mergeCell ref="E28:F28"/>
    <mergeCell ref="H28:I28"/>
    <mergeCell ref="B29:C29"/>
    <mergeCell ref="E29:F29"/>
    <mergeCell ref="H29:I29"/>
    <mergeCell ref="B26:C26"/>
    <mergeCell ref="E26:F26"/>
    <mergeCell ref="H26:I26"/>
    <mergeCell ref="B27:C27"/>
    <mergeCell ref="E27:F27"/>
    <mergeCell ref="H27:I27"/>
    <mergeCell ref="B24:C24"/>
    <mergeCell ref="E24:F24"/>
    <mergeCell ref="H24:I24"/>
    <mergeCell ref="B25:C25"/>
    <mergeCell ref="E25:F25"/>
    <mergeCell ref="H25:I25"/>
    <mergeCell ref="B22:C22"/>
    <mergeCell ref="E22:F22"/>
    <mergeCell ref="H22:I22"/>
    <mergeCell ref="B23:C23"/>
    <mergeCell ref="E23:F23"/>
    <mergeCell ref="H23:I23"/>
    <mergeCell ref="B20:C20"/>
    <mergeCell ref="E20:F20"/>
    <mergeCell ref="H20:I20"/>
    <mergeCell ref="B21:C21"/>
    <mergeCell ref="E21:F21"/>
    <mergeCell ref="H21:I21"/>
    <mergeCell ref="B18:C18"/>
    <mergeCell ref="E18:F18"/>
    <mergeCell ref="H18:I18"/>
    <mergeCell ref="B19:C19"/>
    <mergeCell ref="E19:F19"/>
    <mergeCell ref="H19:I19"/>
    <mergeCell ref="B16:C16"/>
    <mergeCell ref="E16:F16"/>
    <mergeCell ref="H16:I16"/>
    <mergeCell ref="B17:C17"/>
    <mergeCell ref="E17:F17"/>
    <mergeCell ref="H17:I17"/>
    <mergeCell ref="B14:C14"/>
    <mergeCell ref="E14:F14"/>
    <mergeCell ref="H14:I14"/>
    <mergeCell ref="B15:C15"/>
    <mergeCell ref="E15:F15"/>
    <mergeCell ref="H15:I15"/>
    <mergeCell ref="B13:C13"/>
    <mergeCell ref="E13:F13"/>
    <mergeCell ref="H13:I13"/>
    <mergeCell ref="B7:K7"/>
    <mergeCell ref="B9:C9"/>
    <mergeCell ref="D9:E9"/>
    <mergeCell ref="G9:H9"/>
    <mergeCell ref="I9:K9"/>
    <mergeCell ref="B11:C11"/>
    <mergeCell ref="E11:F11"/>
    <mergeCell ref="H11:I11"/>
    <mergeCell ref="A2:L2"/>
    <mergeCell ref="F4:F5"/>
    <mergeCell ref="G4:H5"/>
    <mergeCell ref="I4:I5"/>
    <mergeCell ref="J4:K5"/>
    <mergeCell ref="J6:K6"/>
    <mergeCell ref="B12:C12"/>
    <mergeCell ref="E12:F12"/>
    <mergeCell ref="H12:I12"/>
  </mergeCells>
  <conditionalFormatting sqref="G100">
    <cfRule type="expression" dxfId="25" priority="7">
      <formula>$M$12</formula>
    </cfRule>
    <cfRule type="expression" dxfId="24" priority="8">
      <formula>M96&lt;1</formula>
    </cfRule>
  </conditionalFormatting>
  <conditionalFormatting sqref="G100:J100">
    <cfRule type="expression" dxfId="23" priority="6">
      <formula>$G$50&gt;1</formula>
    </cfRule>
    <cfRule type="expression" dxfId="22" priority="9">
      <formula>$G$50=$M$42</formula>
    </cfRule>
  </conditionalFormatting>
  <conditionalFormatting sqref="H12:H39">
    <cfRule type="expression" dxfId="21" priority="11">
      <formula>M12&lt;1</formula>
    </cfRule>
  </conditionalFormatting>
  <conditionalFormatting sqref="H12:H40">
    <cfRule type="cellIs" dxfId="20" priority="4" operator="lessThan">
      <formula>1</formula>
    </cfRule>
  </conditionalFormatting>
  <conditionalFormatting sqref="H40">
    <cfRule type="expression" dxfId="19" priority="3">
      <formula>M36&lt;1</formula>
    </cfRule>
  </conditionalFormatting>
  <conditionalFormatting sqref="H70:H75">
    <cfRule type="expression" dxfId="18" priority="1">
      <formula>M66&lt;1</formula>
    </cfRule>
    <cfRule type="cellIs" dxfId="17" priority="2" operator="lessThan">
      <formula>1</formula>
    </cfRule>
  </conditionalFormatting>
  <conditionalFormatting sqref="I9">
    <cfRule type="cellIs" dxfId="16" priority="10" stopIfTrue="1" operator="lessThan">
      <formula>1</formula>
    </cfRule>
  </conditionalFormatting>
  <conditionalFormatting sqref="J4:K5">
    <cfRule type="expression" dxfId="15" priority="5">
      <formula>_xlfn.XLOOKUP(J4,#REF!,#REF!)&gt;0</formula>
    </cfRule>
  </conditionalFormatting>
  <printOptions horizontalCentered="1"/>
  <pageMargins left="0.25" right="0.25" top="0.75" bottom="0.75" header="0.3" footer="0.3"/>
  <pageSetup scale="3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287A68-5320-4942-9F8B-4F118988AF5C}">
          <x14:formula1>
            <xm:f>DATOS!$D$20:$D$23</xm:f>
          </x14:formula1>
          <xm:sqref>I9:K9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5EF6-E6A3-4FC1-962F-3B96C6FA9C3D}">
  <sheetPr codeName="Hoja5"/>
  <dimension ref="B1:O165"/>
  <sheetViews>
    <sheetView workbookViewId="0">
      <selection activeCell="D32" sqref="D32"/>
    </sheetView>
  </sheetViews>
  <sheetFormatPr baseColWidth="10" defaultColWidth="11.42578125" defaultRowHeight="14.25" x14ac:dyDescent="0.2"/>
  <cols>
    <col min="1" max="1" width="4.42578125" style="64" customWidth="1"/>
    <col min="2" max="2" width="27.28515625" style="65" customWidth="1"/>
    <col min="3" max="3" width="22.140625" style="66" customWidth="1"/>
    <col min="4" max="4" width="38.140625" style="66" customWidth="1"/>
    <col min="5" max="5" width="14.42578125" style="66" customWidth="1"/>
    <col min="6" max="6" width="11.42578125" style="64" bestFit="1"/>
    <col min="7" max="7" width="11.42578125" style="67" bestFit="1"/>
    <col min="8" max="10" width="12.5703125" style="64" customWidth="1"/>
    <col min="11" max="11" width="12.5703125" style="68" customWidth="1"/>
    <col min="12" max="14" width="12.5703125" style="64" customWidth="1"/>
    <col min="15" max="15" width="16.42578125" style="68" customWidth="1"/>
    <col min="16" max="18" width="12.5703125" style="64" customWidth="1"/>
    <col min="19" max="19" width="11.42578125" style="64" bestFit="1"/>
    <col min="20" max="20" width="10.140625" style="64" customWidth="1"/>
    <col min="21" max="16384" width="11.42578125" style="64"/>
  </cols>
  <sheetData>
    <row r="1" spans="2:7" ht="45" x14ac:dyDescent="0.2">
      <c r="B1" s="279" t="s">
        <v>1693</v>
      </c>
      <c r="C1" s="279"/>
      <c r="D1" s="279"/>
      <c r="E1" s="279"/>
      <c r="F1" s="40"/>
      <c r="G1" s="24" t="s">
        <v>15</v>
      </c>
    </row>
    <row r="2" spans="2:7" ht="31.5" x14ac:dyDescent="0.2">
      <c r="B2" s="69" t="s">
        <v>8</v>
      </c>
      <c r="C2" s="69" t="s">
        <v>9</v>
      </c>
      <c r="D2" s="69" t="s">
        <v>10</v>
      </c>
      <c r="E2" s="69" t="s">
        <v>1694</v>
      </c>
      <c r="F2" s="40"/>
      <c r="G2" s="70" t="s">
        <v>92</v>
      </c>
    </row>
    <row r="3" spans="2:7" ht="15.75" x14ac:dyDescent="0.2">
      <c r="B3" s="71" t="e">
        <f>_xlfn.XLOOKUP(G3,#REF!,CONCATENATE(#REF!," -",#REF!," -",#REF!),"No encontrado")</f>
        <v>#REF!</v>
      </c>
      <c r="C3" s="71" t="e">
        <f>_xlfn.XLOOKUP(G3,#REF!,#REF!)</f>
        <v>#REF!</v>
      </c>
      <c r="D3" s="72" t="e">
        <f>_xlfn.XLOOKUP(G3,#REF!,#REF!)</f>
        <v>#REF!</v>
      </c>
      <c r="E3" s="73" t="e">
        <f>_xlfn.XLOOKUP(G3,#REF!,#REF!)</f>
        <v>#REF!</v>
      </c>
      <c r="F3" s="40"/>
      <c r="G3" s="82"/>
    </row>
    <row r="4" spans="2:7" ht="15.75" x14ac:dyDescent="0.2">
      <c r="B4" s="71" t="e">
        <f>_xlfn.XLOOKUP(G4,#REF!,CONCATENATE(#REF!," -",#REF!," -",#REF!),"No encontrado")</f>
        <v>#REF!</v>
      </c>
      <c r="C4" s="71" t="e">
        <f>_xlfn.XLOOKUP(G4,#REF!,#REF!)</f>
        <v>#REF!</v>
      </c>
      <c r="D4" s="72" t="e">
        <f>_xlfn.XLOOKUP(G4,#REF!,#REF!)</f>
        <v>#REF!</v>
      </c>
      <c r="E4" s="73" t="e">
        <f>_xlfn.XLOOKUP(G4,#REF!,#REF!)</f>
        <v>#REF!</v>
      </c>
      <c r="F4" s="40"/>
      <c r="G4" s="83"/>
    </row>
    <row r="5" spans="2:7" ht="15.75" x14ac:dyDescent="0.2">
      <c r="B5" s="71" t="e">
        <f>_xlfn.XLOOKUP(G5,#REF!,CONCATENATE(#REF!," -",#REF!," -",#REF!),"No encontrado")</f>
        <v>#REF!</v>
      </c>
      <c r="C5" s="71" t="e">
        <f>_xlfn.XLOOKUP(G5,#REF!,#REF!)</f>
        <v>#REF!</v>
      </c>
      <c r="D5" s="72" t="e">
        <f>_xlfn.XLOOKUP(G5,#REF!,#REF!)</f>
        <v>#REF!</v>
      </c>
      <c r="E5" s="73" t="e">
        <f>_xlfn.XLOOKUP(G5,#REF!,#REF!)</f>
        <v>#REF!</v>
      </c>
      <c r="F5" s="40"/>
      <c r="G5" s="83"/>
    </row>
    <row r="6" spans="2:7" ht="15.75" x14ac:dyDescent="0.2">
      <c r="B6" s="71" t="e">
        <f>_xlfn.XLOOKUP(G6,#REF!,CONCATENATE(#REF!," -",#REF!," -",#REF!),"No encontrado")</f>
        <v>#REF!</v>
      </c>
      <c r="C6" s="71" t="e">
        <f>_xlfn.XLOOKUP(G6,#REF!,#REF!)</f>
        <v>#REF!</v>
      </c>
      <c r="D6" s="72" t="e">
        <f>_xlfn.XLOOKUP(G6,#REF!,#REF!)</f>
        <v>#REF!</v>
      </c>
      <c r="E6" s="73" t="e">
        <f>_xlfn.XLOOKUP(G6,#REF!,#REF!)</f>
        <v>#REF!</v>
      </c>
      <c r="F6" s="40"/>
      <c r="G6" s="83"/>
    </row>
    <row r="7" spans="2:7" ht="15.75" x14ac:dyDescent="0.2">
      <c r="B7" s="71" t="e">
        <f>_xlfn.XLOOKUP(G7,#REF!,CONCATENATE(#REF!," -",#REF!," -",#REF!),"No encontrado")</f>
        <v>#REF!</v>
      </c>
      <c r="C7" s="71" t="e">
        <f>_xlfn.XLOOKUP(G7,#REF!,#REF!)</f>
        <v>#REF!</v>
      </c>
      <c r="D7" s="72" t="e">
        <f>_xlfn.XLOOKUP(G7,#REF!,#REF!)</f>
        <v>#REF!</v>
      </c>
      <c r="E7" s="73" t="e">
        <f>_xlfn.XLOOKUP(G7,#REF!,#REF!)</f>
        <v>#REF!</v>
      </c>
      <c r="F7" s="40"/>
      <c r="G7" s="84"/>
    </row>
    <row r="8" spans="2:7" ht="15.75" x14ac:dyDescent="0.2">
      <c r="B8" s="71" t="e">
        <f>_xlfn.XLOOKUP(G8,#REF!,CONCATENATE(#REF!," -",#REF!," -",#REF!),"No encontrado")</f>
        <v>#REF!</v>
      </c>
      <c r="C8" s="71" t="e">
        <f>_xlfn.XLOOKUP(G8,#REF!,#REF!)</f>
        <v>#REF!</v>
      </c>
      <c r="D8" s="72" t="e">
        <f>_xlfn.XLOOKUP(G8,#REF!,#REF!)</f>
        <v>#REF!</v>
      </c>
      <c r="E8" s="73" t="e">
        <f>_xlfn.XLOOKUP(G8,#REF!,#REF!)</f>
        <v>#REF!</v>
      </c>
      <c r="F8" s="40"/>
      <c r="G8" s="84"/>
    </row>
    <row r="9" spans="2:7" ht="15.75" x14ac:dyDescent="0.2">
      <c r="B9" s="71" t="e">
        <f>_xlfn.XLOOKUP(G9,#REF!,CONCATENATE(#REF!," -",#REF!," -",#REF!),"No encontrado")</f>
        <v>#REF!</v>
      </c>
      <c r="C9" s="71" t="e">
        <f>_xlfn.XLOOKUP(G9,#REF!,#REF!)</f>
        <v>#REF!</v>
      </c>
      <c r="D9" s="72" t="e">
        <f>_xlfn.XLOOKUP(G9,#REF!,#REF!)</f>
        <v>#REF!</v>
      </c>
      <c r="E9" s="73" t="e">
        <f>_xlfn.XLOOKUP(G9,#REF!,#REF!)</f>
        <v>#REF!</v>
      </c>
      <c r="F9" s="40"/>
      <c r="G9" s="84"/>
    </row>
    <row r="10" spans="2:7" ht="15.75" x14ac:dyDescent="0.2">
      <c r="B10" s="71" t="e">
        <f>_xlfn.XLOOKUP(G10,#REF!,CONCATENATE(#REF!," -",#REF!," -",#REF!),"No encontrado")</f>
        <v>#REF!</v>
      </c>
      <c r="C10" s="71" t="e">
        <f>_xlfn.XLOOKUP(G10,#REF!,#REF!)</f>
        <v>#REF!</v>
      </c>
      <c r="D10" s="72" t="e">
        <f>_xlfn.XLOOKUP(G10,#REF!,#REF!)</f>
        <v>#REF!</v>
      </c>
      <c r="E10" s="73" t="e">
        <f>_xlfn.XLOOKUP(G10,#REF!,#REF!)</f>
        <v>#REF!</v>
      </c>
      <c r="F10" s="40"/>
      <c r="G10" s="84"/>
    </row>
    <row r="11" spans="2:7" ht="15.75" x14ac:dyDescent="0.2">
      <c r="B11" s="71" t="e">
        <f>_xlfn.XLOOKUP(G11,#REF!,CONCATENATE(#REF!," -",#REF!," -",#REF!),"No encontrado")</f>
        <v>#REF!</v>
      </c>
      <c r="C11" s="71" t="e">
        <f>_xlfn.XLOOKUP(G11,#REF!,#REF!)</f>
        <v>#REF!</v>
      </c>
      <c r="D11" s="72" t="e">
        <f>_xlfn.XLOOKUP(G11,#REF!,#REF!)</f>
        <v>#REF!</v>
      </c>
      <c r="E11" s="73" t="e">
        <f>_xlfn.XLOOKUP(G11,#REF!,#REF!)</f>
        <v>#REF!</v>
      </c>
      <c r="F11" s="40"/>
      <c r="G11" s="84"/>
    </row>
    <row r="12" spans="2:7" ht="15.75" x14ac:dyDescent="0.2">
      <c r="B12" s="71" t="e">
        <f>_xlfn.XLOOKUP(G12,#REF!,CONCATENATE(#REF!," -",#REF!," -",#REF!),"No encontrado")</f>
        <v>#REF!</v>
      </c>
      <c r="C12" s="71" t="e">
        <f>_xlfn.XLOOKUP(G12,#REF!,#REF!)</f>
        <v>#REF!</v>
      </c>
      <c r="D12" s="72" t="e">
        <f>_xlfn.XLOOKUP(G12,#REF!,#REF!)</f>
        <v>#REF!</v>
      </c>
      <c r="E12" s="73" t="e">
        <f>_xlfn.XLOOKUP(G12,#REF!,#REF!)</f>
        <v>#REF!</v>
      </c>
      <c r="F12" s="40"/>
      <c r="G12" s="84"/>
    </row>
    <row r="13" spans="2:7" ht="15.75" x14ac:dyDescent="0.2">
      <c r="B13" s="71" t="e">
        <f>_xlfn.XLOOKUP(G13,#REF!,CONCATENATE(#REF!," -",#REF!," -",#REF!),"No encontrado")</f>
        <v>#REF!</v>
      </c>
      <c r="C13" s="71" t="e">
        <f>_xlfn.XLOOKUP(G13,#REF!,#REF!)</f>
        <v>#REF!</v>
      </c>
      <c r="D13" s="72" t="e">
        <f>_xlfn.XLOOKUP(G13,#REF!,#REF!)</f>
        <v>#REF!</v>
      </c>
      <c r="E13" s="73" t="e">
        <f>_xlfn.XLOOKUP(G13,#REF!,#REF!)</f>
        <v>#REF!</v>
      </c>
      <c r="F13" s="40"/>
      <c r="G13" s="84"/>
    </row>
    <row r="14" spans="2:7" ht="15.75" x14ac:dyDescent="0.2">
      <c r="B14" s="71" t="e">
        <f>_xlfn.XLOOKUP(G14,#REF!,CONCATENATE(#REF!," -",#REF!," -",#REF!),"No encontrado")</f>
        <v>#REF!</v>
      </c>
      <c r="C14" s="71" t="e">
        <f>_xlfn.XLOOKUP(G14,#REF!,#REF!)</f>
        <v>#REF!</v>
      </c>
      <c r="D14" s="72" t="e">
        <f>_xlfn.XLOOKUP(G14,#REF!,#REF!)</f>
        <v>#REF!</v>
      </c>
      <c r="E14" s="73" t="e">
        <f>_xlfn.XLOOKUP(G14,#REF!,#REF!)</f>
        <v>#REF!</v>
      </c>
      <c r="F14" s="40"/>
      <c r="G14" s="74"/>
    </row>
    <row r="15" spans="2:7" ht="15.75" x14ac:dyDescent="0.2">
      <c r="B15" s="71" t="e">
        <f>_xlfn.XLOOKUP(G15,#REF!,CONCATENATE(#REF!," -",#REF!," -",#REF!),"No encontrado")</f>
        <v>#REF!</v>
      </c>
      <c r="C15" s="71" t="e">
        <f>_xlfn.XLOOKUP(G15,#REF!,#REF!)</f>
        <v>#REF!</v>
      </c>
      <c r="D15" s="72" t="e">
        <f>_xlfn.XLOOKUP(G15,#REF!,#REF!)</f>
        <v>#REF!</v>
      </c>
      <c r="E15" s="73" t="e">
        <f>_xlfn.XLOOKUP(G15,#REF!,#REF!)</f>
        <v>#REF!</v>
      </c>
      <c r="F15" s="40"/>
      <c r="G15" s="74"/>
    </row>
    <row r="16" spans="2:7" ht="15.75" x14ac:dyDescent="0.2">
      <c r="B16" s="71" t="e">
        <f>_xlfn.XLOOKUP(G16,#REF!,CONCATENATE(#REF!," -",#REF!," -",#REF!),"No encontrado")</f>
        <v>#REF!</v>
      </c>
      <c r="C16" s="71" t="e">
        <f>_xlfn.XLOOKUP(G16,#REF!,#REF!)</f>
        <v>#REF!</v>
      </c>
      <c r="D16" s="72" t="e">
        <f>_xlfn.XLOOKUP(G16,#REF!,#REF!)</f>
        <v>#REF!</v>
      </c>
      <c r="E16" s="73" t="e">
        <f>_xlfn.XLOOKUP(G16,#REF!,#REF!)</f>
        <v>#REF!</v>
      </c>
      <c r="F16" s="40"/>
      <c r="G16" s="74"/>
    </row>
    <row r="17" spans="2:7" ht="15.75" x14ac:dyDescent="0.2">
      <c r="B17" s="71" t="e">
        <f>_xlfn.XLOOKUP(G17,#REF!,CONCATENATE(#REF!," -",#REF!," -",#REF!),"No encontrado")</f>
        <v>#REF!</v>
      </c>
      <c r="C17" s="71" t="e">
        <f>_xlfn.XLOOKUP(G17,#REF!,#REF!)</f>
        <v>#REF!</v>
      </c>
      <c r="D17" s="72" t="e">
        <f>_xlfn.XLOOKUP(G17,#REF!,#REF!)</f>
        <v>#REF!</v>
      </c>
      <c r="E17" s="73" t="e">
        <f>_xlfn.XLOOKUP(G17,#REF!,#REF!)</f>
        <v>#REF!</v>
      </c>
      <c r="F17" s="40"/>
      <c r="G17" s="74"/>
    </row>
    <row r="18" spans="2:7" ht="15.75" x14ac:dyDescent="0.2">
      <c r="B18" s="71" t="e">
        <f>_xlfn.XLOOKUP(G18,#REF!,CONCATENATE(#REF!," -",#REF!," -",#REF!),"No encontrado")</f>
        <v>#REF!</v>
      </c>
      <c r="C18" s="71" t="e">
        <f>_xlfn.XLOOKUP(G18,#REF!,#REF!)</f>
        <v>#REF!</v>
      </c>
      <c r="D18" s="72" t="e">
        <f>_xlfn.XLOOKUP(G18,#REF!,#REF!)</f>
        <v>#REF!</v>
      </c>
      <c r="E18" s="73" t="e">
        <f>_xlfn.XLOOKUP(G18,#REF!,#REF!)</f>
        <v>#REF!</v>
      </c>
      <c r="F18" s="40"/>
      <c r="G18" s="74"/>
    </row>
    <row r="19" spans="2:7" ht="15.75" x14ac:dyDescent="0.2">
      <c r="B19" s="71" t="e">
        <f>_xlfn.XLOOKUP(G19,#REF!,CONCATENATE(#REF!," -",#REF!," -",#REF!),"No encontrado")</f>
        <v>#REF!</v>
      </c>
      <c r="C19" s="71" t="e">
        <f>_xlfn.XLOOKUP(G19,#REF!,#REF!)</f>
        <v>#REF!</v>
      </c>
      <c r="D19" s="72" t="e">
        <f>_xlfn.XLOOKUP(G19,#REF!,#REF!)</f>
        <v>#REF!</v>
      </c>
      <c r="E19" s="73" t="e">
        <f>_xlfn.XLOOKUP(G19,#REF!,#REF!)</f>
        <v>#REF!</v>
      </c>
      <c r="F19" s="40"/>
      <c r="G19" s="74"/>
    </row>
    <row r="20" spans="2:7" ht="15.75" x14ac:dyDescent="0.2">
      <c r="B20" s="71" t="e">
        <f>_xlfn.XLOOKUP(G20,#REF!,CONCATENATE(#REF!," -",#REF!," -",#REF!),"No encontrado")</f>
        <v>#REF!</v>
      </c>
      <c r="C20" s="71" t="e">
        <f>_xlfn.XLOOKUP(G20,#REF!,#REF!)</f>
        <v>#REF!</v>
      </c>
      <c r="D20" s="72" t="e">
        <f>_xlfn.XLOOKUP(G20,#REF!,#REF!)</f>
        <v>#REF!</v>
      </c>
      <c r="E20" s="73" t="e">
        <f>_xlfn.XLOOKUP(G20,#REF!,#REF!)</f>
        <v>#REF!</v>
      </c>
      <c r="F20" s="40"/>
      <c r="G20" s="74"/>
    </row>
    <row r="21" spans="2:7" ht="15.75" x14ac:dyDescent="0.2">
      <c r="B21" s="71" t="e">
        <f>_xlfn.XLOOKUP(G21,#REF!,CONCATENATE(#REF!," -",#REF!," -",#REF!),"No encontrado")</f>
        <v>#REF!</v>
      </c>
      <c r="C21" s="71" t="e">
        <f>_xlfn.XLOOKUP(G21,#REF!,#REF!)</f>
        <v>#REF!</v>
      </c>
      <c r="D21" s="72" t="e">
        <f>_xlfn.XLOOKUP(G21,#REF!,#REF!)</f>
        <v>#REF!</v>
      </c>
      <c r="E21" s="73" t="e">
        <f>_xlfn.XLOOKUP(G21,#REF!,#REF!)</f>
        <v>#REF!</v>
      </c>
      <c r="F21" s="40"/>
      <c r="G21" s="74"/>
    </row>
    <row r="22" spans="2:7" ht="15.75" x14ac:dyDescent="0.2">
      <c r="B22" s="71" t="e">
        <f>_xlfn.XLOOKUP(G22,#REF!,CONCATENATE(#REF!," -",#REF!," -",#REF!),"No encontrado")</f>
        <v>#REF!</v>
      </c>
      <c r="C22" s="71" t="e">
        <f>_xlfn.XLOOKUP(G22,#REF!,#REF!)</f>
        <v>#REF!</v>
      </c>
      <c r="D22" s="72" t="e">
        <f>_xlfn.XLOOKUP(G22,#REF!,#REF!)</f>
        <v>#REF!</v>
      </c>
      <c r="E22" s="73" t="e">
        <f>_xlfn.XLOOKUP(G22,#REF!,#REF!)</f>
        <v>#REF!</v>
      </c>
      <c r="F22" s="40"/>
      <c r="G22" s="75"/>
    </row>
    <row r="23" spans="2:7" ht="15.75" x14ac:dyDescent="0.2">
      <c r="B23" s="71" t="e">
        <f>_xlfn.XLOOKUP(G23,#REF!,CONCATENATE(#REF!," -",#REF!," -",#REF!),"No encontrado")</f>
        <v>#REF!</v>
      </c>
      <c r="C23" s="71" t="e">
        <f>_xlfn.XLOOKUP(G23,#REF!,#REF!)</f>
        <v>#REF!</v>
      </c>
      <c r="D23" s="72" t="e">
        <f>_xlfn.XLOOKUP(G23,#REF!,#REF!)</f>
        <v>#REF!</v>
      </c>
      <c r="E23" s="73" t="e">
        <f>_xlfn.XLOOKUP(G23,#REF!,#REF!)</f>
        <v>#REF!</v>
      </c>
      <c r="F23" s="40"/>
      <c r="G23" s="75"/>
    </row>
    <row r="24" spans="2:7" ht="15.75" x14ac:dyDescent="0.2">
      <c r="B24" s="71" t="e">
        <f>_xlfn.XLOOKUP(G24,#REF!,CONCATENATE(#REF!," -",#REF!," -",#REF!),"No encontrado")</f>
        <v>#REF!</v>
      </c>
      <c r="C24" s="71" t="e">
        <f>_xlfn.XLOOKUP(G24,#REF!,#REF!)</f>
        <v>#REF!</v>
      </c>
      <c r="D24" s="72" t="e">
        <f>_xlfn.XLOOKUP(G24,#REF!,#REF!)</f>
        <v>#REF!</v>
      </c>
      <c r="E24" s="73" t="e">
        <f>_xlfn.XLOOKUP(G24,#REF!,#REF!)</f>
        <v>#REF!</v>
      </c>
      <c r="F24" s="40"/>
      <c r="G24" s="75"/>
    </row>
    <row r="25" spans="2:7" ht="15.75" x14ac:dyDescent="0.2">
      <c r="B25" s="71" t="e">
        <f>_xlfn.XLOOKUP(G25,#REF!,CONCATENATE(#REF!," -",#REF!," -",#REF!),"No encontrado")</f>
        <v>#REF!</v>
      </c>
      <c r="C25" s="71" t="e">
        <f>_xlfn.XLOOKUP(G25,#REF!,#REF!)</f>
        <v>#REF!</v>
      </c>
      <c r="D25" s="72" t="e">
        <f>_xlfn.XLOOKUP(G25,#REF!,#REF!)</f>
        <v>#REF!</v>
      </c>
      <c r="E25" s="73" t="e">
        <f>_xlfn.XLOOKUP(G25,#REF!,#REF!)</f>
        <v>#REF!</v>
      </c>
      <c r="F25" s="40"/>
      <c r="G25" s="75"/>
    </row>
    <row r="26" spans="2:7" ht="15.75" x14ac:dyDescent="0.2">
      <c r="B26" s="71" t="e">
        <f>_xlfn.XLOOKUP(G26,#REF!,CONCATENATE(#REF!," -",#REF!," -",#REF!),"No encontrado")</f>
        <v>#REF!</v>
      </c>
      <c r="C26" s="71" t="e">
        <f>_xlfn.XLOOKUP(G26,#REF!,#REF!)</f>
        <v>#REF!</v>
      </c>
      <c r="D26" s="72" t="e">
        <f>_xlfn.XLOOKUP(G26,#REF!,#REF!)</f>
        <v>#REF!</v>
      </c>
      <c r="E26" s="73" t="e">
        <f>_xlfn.XLOOKUP(G26,#REF!,#REF!)</f>
        <v>#REF!</v>
      </c>
      <c r="F26" s="40"/>
      <c r="G26" s="75"/>
    </row>
    <row r="27" spans="2:7" ht="15.75" x14ac:dyDescent="0.2">
      <c r="B27" s="71" t="e">
        <f>_xlfn.XLOOKUP(G27,#REF!,CONCATENATE(#REF!," -",#REF!," -",#REF!),"No encontrado")</f>
        <v>#REF!</v>
      </c>
      <c r="C27" s="71" t="e">
        <f>_xlfn.XLOOKUP(G27,#REF!,#REF!)</f>
        <v>#REF!</v>
      </c>
      <c r="D27" s="72" t="e">
        <f>_xlfn.XLOOKUP(G27,#REF!,#REF!)</f>
        <v>#REF!</v>
      </c>
      <c r="E27" s="73" t="e">
        <f>_xlfn.XLOOKUP(G27,#REF!,#REF!)</f>
        <v>#REF!</v>
      </c>
      <c r="F27" s="40"/>
      <c r="G27" s="75"/>
    </row>
    <row r="28" spans="2:7" ht="15.75" x14ac:dyDescent="0.2">
      <c r="B28" s="71" t="e">
        <f>_xlfn.XLOOKUP(G28,#REF!,CONCATENATE(#REF!," -",#REF!," -",#REF!),"No encontrado")</f>
        <v>#REF!</v>
      </c>
      <c r="C28" s="71" t="e">
        <f>_xlfn.XLOOKUP(G28,#REF!,#REF!)</f>
        <v>#REF!</v>
      </c>
      <c r="D28" s="72" t="e">
        <f>_xlfn.XLOOKUP(G28,#REF!,#REF!)</f>
        <v>#REF!</v>
      </c>
      <c r="E28" s="73" t="e">
        <f>_xlfn.XLOOKUP(G28,#REF!,#REF!)</f>
        <v>#REF!</v>
      </c>
      <c r="F28" s="40"/>
      <c r="G28" s="75"/>
    </row>
    <row r="29" spans="2:7" ht="15.75" x14ac:dyDescent="0.2">
      <c r="B29" s="71" t="e">
        <f>_xlfn.XLOOKUP(G29,#REF!,CONCATENATE(#REF!," -",#REF!," -",#REF!),"No encontrado")</f>
        <v>#REF!</v>
      </c>
      <c r="C29" s="71" t="e">
        <f>_xlfn.XLOOKUP(G29,#REF!,#REF!)</f>
        <v>#REF!</v>
      </c>
      <c r="D29" s="72" t="e">
        <f>_xlfn.XLOOKUP(G29,#REF!,#REF!)</f>
        <v>#REF!</v>
      </c>
      <c r="E29" s="73" t="e">
        <f>_xlfn.XLOOKUP(G29,#REF!,#REF!)</f>
        <v>#REF!</v>
      </c>
      <c r="F29" s="40"/>
      <c r="G29" s="75"/>
    </row>
    <row r="30" spans="2:7" ht="15.75" x14ac:dyDescent="0.2">
      <c r="B30" s="71" t="e">
        <f>_xlfn.XLOOKUP(G30,#REF!,CONCATENATE(#REF!," -",#REF!," -",#REF!),"No encontrado")</f>
        <v>#REF!</v>
      </c>
      <c r="C30" s="71" t="e">
        <f>_xlfn.XLOOKUP(G30,#REF!,#REF!)</f>
        <v>#REF!</v>
      </c>
      <c r="D30" s="72" t="e">
        <f>_xlfn.XLOOKUP(G30,#REF!,#REF!)</f>
        <v>#REF!</v>
      </c>
      <c r="E30" s="73" t="e">
        <f>_xlfn.XLOOKUP(G30,#REF!,#REF!)</f>
        <v>#REF!</v>
      </c>
      <c r="F30" s="40"/>
      <c r="G30" s="75"/>
    </row>
    <row r="31" spans="2:7" ht="15.75" x14ac:dyDescent="0.2">
      <c r="B31" s="71" t="e">
        <f>_xlfn.XLOOKUP(G31,#REF!,CONCATENATE(#REF!," -",#REF!," -",#REF!),"No encontrado")</f>
        <v>#REF!</v>
      </c>
      <c r="C31" s="71" t="e">
        <f>_xlfn.XLOOKUP(G31,#REF!,#REF!)</f>
        <v>#REF!</v>
      </c>
      <c r="D31" s="72" t="e">
        <f>_xlfn.XLOOKUP(G31,#REF!,#REF!)</f>
        <v>#REF!</v>
      </c>
      <c r="E31" s="73" t="e">
        <f>_xlfn.XLOOKUP(G31,#REF!,#REF!)</f>
        <v>#REF!</v>
      </c>
      <c r="F31" s="40"/>
      <c r="G31" s="75"/>
    </row>
    <row r="32" spans="2:7" ht="15.75" x14ac:dyDescent="0.2">
      <c r="B32" s="71" t="e">
        <f>_xlfn.XLOOKUP(G32,#REF!,CONCATENATE(#REF!," -",#REF!," -",#REF!),"No encontrado")</f>
        <v>#REF!</v>
      </c>
      <c r="C32" s="71" t="e">
        <f>_xlfn.XLOOKUP(G32,#REF!,#REF!)</f>
        <v>#REF!</v>
      </c>
      <c r="D32" s="72" t="e">
        <f>_xlfn.XLOOKUP(G32,#REF!,#REF!)</f>
        <v>#REF!</v>
      </c>
      <c r="E32" s="73" t="e">
        <f>_xlfn.XLOOKUP(G32,#REF!,#REF!)</f>
        <v>#REF!</v>
      </c>
      <c r="F32" s="40"/>
      <c r="G32" s="75"/>
    </row>
    <row r="33" spans="2:7" ht="15.75" x14ac:dyDescent="0.2">
      <c r="B33" s="71" t="e">
        <f>_xlfn.XLOOKUP(G33,#REF!,CONCATENATE(#REF!," -",#REF!," -",#REF!),"No encontrado")</f>
        <v>#REF!</v>
      </c>
      <c r="C33" s="71" t="e">
        <f>_xlfn.XLOOKUP(G33,#REF!,#REF!)</f>
        <v>#REF!</v>
      </c>
      <c r="D33" s="72" t="e">
        <f>_xlfn.XLOOKUP(G33,#REF!,#REF!)</f>
        <v>#REF!</v>
      </c>
      <c r="E33" s="73" t="e">
        <f>_xlfn.XLOOKUP(G33,#REF!,#REF!)</f>
        <v>#REF!</v>
      </c>
      <c r="F33" s="40"/>
      <c r="G33" s="75"/>
    </row>
    <row r="34" spans="2:7" ht="15.75" x14ac:dyDescent="0.2">
      <c r="B34" s="71" t="e">
        <f>_xlfn.XLOOKUP(G34,#REF!,CONCATENATE(#REF!," -",#REF!," -",#REF!),"No encontrado")</f>
        <v>#REF!</v>
      </c>
      <c r="C34" s="71" t="e">
        <f>_xlfn.XLOOKUP(G34,#REF!,#REF!)</f>
        <v>#REF!</v>
      </c>
      <c r="D34" s="72" t="e">
        <f>_xlfn.XLOOKUP(G34,#REF!,#REF!)</f>
        <v>#REF!</v>
      </c>
      <c r="E34" s="73" t="e">
        <f>_xlfn.XLOOKUP(G34,#REF!,#REF!)</f>
        <v>#REF!</v>
      </c>
      <c r="F34" s="40"/>
      <c r="G34" s="75"/>
    </row>
    <row r="35" spans="2:7" ht="15.75" x14ac:dyDescent="0.2">
      <c r="B35" s="71" t="e">
        <f>_xlfn.XLOOKUP(G35,#REF!,CONCATENATE(#REF!," -",#REF!," -",#REF!),"No encontrado")</f>
        <v>#REF!</v>
      </c>
      <c r="C35" s="71" t="e">
        <f>_xlfn.XLOOKUP(G35,#REF!,#REF!)</f>
        <v>#REF!</v>
      </c>
      <c r="D35" s="72" t="e">
        <f>_xlfn.XLOOKUP(G35,#REF!,#REF!)</f>
        <v>#REF!</v>
      </c>
      <c r="E35" s="73" t="e">
        <f>_xlfn.XLOOKUP(G35,#REF!,#REF!)</f>
        <v>#REF!</v>
      </c>
      <c r="F35" s="40"/>
      <c r="G35" s="75"/>
    </row>
    <row r="36" spans="2:7" ht="15.75" x14ac:dyDescent="0.2">
      <c r="B36" s="71" t="e">
        <f>_xlfn.XLOOKUP(G36,#REF!,CONCATENATE(#REF!," -",#REF!," -",#REF!),"No encontrado")</f>
        <v>#REF!</v>
      </c>
      <c r="C36" s="71" t="e">
        <f>_xlfn.XLOOKUP(G36,#REF!,#REF!)</f>
        <v>#REF!</v>
      </c>
      <c r="D36" s="72" t="e">
        <f>_xlfn.XLOOKUP(G36,#REF!,#REF!)</f>
        <v>#REF!</v>
      </c>
      <c r="E36" s="73" t="e">
        <f>_xlfn.XLOOKUP(G36,#REF!,#REF!)</f>
        <v>#REF!</v>
      </c>
      <c r="F36" s="40"/>
      <c r="G36" s="75"/>
    </row>
    <row r="37" spans="2:7" ht="15.75" x14ac:dyDescent="0.2">
      <c r="B37" s="71" t="e">
        <f>_xlfn.XLOOKUP(G37,#REF!,CONCATENATE(#REF!," -",#REF!," -",#REF!),"No encontrado")</f>
        <v>#REF!</v>
      </c>
      <c r="C37" s="71" t="e">
        <f>_xlfn.XLOOKUP(G37,#REF!,#REF!)</f>
        <v>#REF!</v>
      </c>
      <c r="D37" s="72" t="e">
        <f>_xlfn.XLOOKUP(G37,#REF!,#REF!)</f>
        <v>#REF!</v>
      </c>
      <c r="E37" s="73" t="e">
        <f>_xlfn.XLOOKUP(G37,#REF!,#REF!)</f>
        <v>#REF!</v>
      </c>
      <c r="F37" s="40"/>
      <c r="G37" s="75"/>
    </row>
    <row r="38" spans="2:7" ht="15.75" x14ac:dyDescent="0.2">
      <c r="B38" s="71" t="e">
        <f>_xlfn.XLOOKUP(G38,#REF!,CONCATENATE(#REF!," -",#REF!," -",#REF!),"No encontrado")</f>
        <v>#REF!</v>
      </c>
      <c r="C38" s="71" t="e">
        <f>_xlfn.XLOOKUP(G38,#REF!,#REF!)</f>
        <v>#REF!</v>
      </c>
      <c r="D38" s="72" t="e">
        <f>_xlfn.XLOOKUP(G38,#REF!,#REF!)</f>
        <v>#REF!</v>
      </c>
      <c r="E38" s="73" t="e">
        <f>_xlfn.XLOOKUP(G38,#REF!,#REF!)</f>
        <v>#REF!</v>
      </c>
      <c r="F38" s="40"/>
      <c r="G38" s="75"/>
    </row>
    <row r="39" spans="2:7" ht="15.75" x14ac:dyDescent="0.2">
      <c r="B39" s="71" t="e">
        <f>_xlfn.XLOOKUP(G39,#REF!,CONCATENATE(#REF!," -",#REF!," -",#REF!),"No encontrado")</f>
        <v>#REF!</v>
      </c>
      <c r="C39" s="71" t="e">
        <f>_xlfn.XLOOKUP(G39,#REF!,#REF!)</f>
        <v>#REF!</v>
      </c>
      <c r="D39" s="72" t="e">
        <f>_xlfn.XLOOKUP(G39,#REF!,#REF!)</f>
        <v>#REF!</v>
      </c>
      <c r="E39" s="73" t="e">
        <f>_xlfn.XLOOKUP(G39,#REF!,#REF!)</f>
        <v>#REF!</v>
      </c>
      <c r="F39" s="40"/>
      <c r="G39" s="75"/>
    </row>
    <row r="40" spans="2:7" ht="15.75" x14ac:dyDescent="0.2">
      <c r="B40" s="71" t="e">
        <f>_xlfn.XLOOKUP(G40,#REF!,CONCATENATE(#REF!," -",#REF!," -",#REF!),"No encontrado")</f>
        <v>#REF!</v>
      </c>
      <c r="C40" s="71" t="e">
        <f>_xlfn.XLOOKUP(G40,#REF!,#REF!)</f>
        <v>#REF!</v>
      </c>
      <c r="D40" s="72" t="e">
        <f>_xlfn.XLOOKUP(G40,#REF!,#REF!)</f>
        <v>#REF!</v>
      </c>
      <c r="E40" s="73" t="e">
        <f>_xlfn.XLOOKUP(G40,#REF!,#REF!)</f>
        <v>#REF!</v>
      </c>
      <c r="F40" s="40"/>
      <c r="G40" s="75"/>
    </row>
    <row r="41" spans="2:7" ht="15.75" x14ac:dyDescent="0.2">
      <c r="B41" s="71" t="e">
        <f>_xlfn.XLOOKUP(G41,#REF!,CONCATENATE(#REF!," -",#REF!," -",#REF!),"No encontrado")</f>
        <v>#REF!</v>
      </c>
      <c r="C41" s="71" t="e">
        <f>_xlfn.XLOOKUP(G41,#REF!,#REF!)</f>
        <v>#REF!</v>
      </c>
      <c r="D41" s="72" t="e">
        <f>_xlfn.XLOOKUP(G41,#REF!,#REF!)</f>
        <v>#REF!</v>
      </c>
      <c r="E41" s="73" t="e">
        <f>_xlfn.XLOOKUP(G41,#REF!,#REF!)</f>
        <v>#REF!</v>
      </c>
      <c r="F41" s="40"/>
      <c r="G41" s="75"/>
    </row>
    <row r="42" spans="2:7" ht="15.75" x14ac:dyDescent="0.2">
      <c r="B42" s="71" t="e">
        <f>_xlfn.XLOOKUP(G42,#REF!,CONCATENATE(#REF!," -",#REF!," -",#REF!),"No encontrado")</f>
        <v>#REF!</v>
      </c>
      <c r="C42" s="71" t="e">
        <f>_xlfn.XLOOKUP(G42,#REF!,#REF!)</f>
        <v>#REF!</v>
      </c>
      <c r="D42" s="72" t="e">
        <f>_xlfn.XLOOKUP(G42,#REF!,#REF!)</f>
        <v>#REF!</v>
      </c>
      <c r="E42" s="73" t="e">
        <f>_xlfn.XLOOKUP(G42,#REF!,#REF!)</f>
        <v>#REF!</v>
      </c>
      <c r="F42" s="40"/>
      <c r="G42" s="75"/>
    </row>
    <row r="43" spans="2:7" ht="15.75" x14ac:dyDescent="0.2">
      <c r="B43" s="71" t="e">
        <f>_xlfn.XLOOKUP(G43,#REF!,CONCATENATE(#REF!," -",#REF!," -",#REF!),"No encontrado")</f>
        <v>#REF!</v>
      </c>
      <c r="C43" s="71" t="e">
        <f>_xlfn.XLOOKUP(G43,#REF!,#REF!)</f>
        <v>#REF!</v>
      </c>
      <c r="D43" s="72" t="e">
        <f>_xlfn.XLOOKUP(G43,#REF!,#REF!)</f>
        <v>#REF!</v>
      </c>
      <c r="E43" s="73" t="e">
        <f>_xlfn.XLOOKUP(G43,#REF!,#REF!)</f>
        <v>#REF!</v>
      </c>
      <c r="F43" s="40"/>
      <c r="G43" s="75"/>
    </row>
    <row r="44" spans="2:7" ht="15.75" x14ac:dyDescent="0.2">
      <c r="B44" s="71" t="e">
        <f>_xlfn.XLOOKUP(G44,#REF!,CONCATENATE(#REF!," -",#REF!," -",#REF!),"No encontrado")</f>
        <v>#REF!</v>
      </c>
      <c r="C44" s="71" t="e">
        <f>_xlfn.XLOOKUP(G44,#REF!,#REF!)</f>
        <v>#REF!</v>
      </c>
      <c r="D44" s="72" t="e">
        <f>_xlfn.XLOOKUP(G44,#REF!,#REF!)</f>
        <v>#REF!</v>
      </c>
      <c r="E44" s="73" t="e">
        <f>_xlfn.XLOOKUP(G44,#REF!,#REF!)</f>
        <v>#REF!</v>
      </c>
      <c r="F44" s="40"/>
      <c r="G44" s="75"/>
    </row>
    <row r="45" spans="2:7" ht="15.75" x14ac:dyDescent="0.2">
      <c r="B45" s="71" t="e">
        <f>_xlfn.XLOOKUP(G45,#REF!,CONCATENATE(#REF!," -",#REF!," -",#REF!),"No encontrado")</f>
        <v>#REF!</v>
      </c>
      <c r="C45" s="71" t="e">
        <f>_xlfn.XLOOKUP(G45,#REF!,#REF!)</f>
        <v>#REF!</v>
      </c>
      <c r="D45" s="72" t="e">
        <f>_xlfn.XLOOKUP(G45,#REF!,#REF!)</f>
        <v>#REF!</v>
      </c>
      <c r="E45" s="73" t="e">
        <f>_xlfn.XLOOKUP(G45,#REF!,#REF!)</f>
        <v>#REF!</v>
      </c>
      <c r="F45" s="40"/>
      <c r="G45" s="75"/>
    </row>
    <row r="46" spans="2:7" ht="15.75" x14ac:dyDescent="0.2">
      <c r="B46" s="71" t="e">
        <f>_xlfn.XLOOKUP(G46,#REF!,CONCATENATE(#REF!," -",#REF!," -",#REF!),"No encontrado")</f>
        <v>#REF!</v>
      </c>
      <c r="C46" s="71" t="e">
        <f>_xlfn.XLOOKUP(G46,#REF!,#REF!)</f>
        <v>#REF!</v>
      </c>
      <c r="D46" s="72" t="e">
        <f>_xlfn.XLOOKUP(G46,#REF!,#REF!)</f>
        <v>#REF!</v>
      </c>
      <c r="E46" s="73" t="e">
        <f>_xlfn.XLOOKUP(G46,#REF!,#REF!)</f>
        <v>#REF!</v>
      </c>
      <c r="F46" s="40"/>
      <c r="G46" s="75"/>
    </row>
    <row r="47" spans="2:7" ht="15.75" x14ac:dyDescent="0.2">
      <c r="B47" s="71" t="e">
        <f>_xlfn.XLOOKUP(G47,#REF!,CONCATENATE(#REF!," -",#REF!," -",#REF!),"No encontrado")</f>
        <v>#REF!</v>
      </c>
      <c r="C47" s="71" t="e">
        <f>_xlfn.XLOOKUP(G47,#REF!,#REF!)</f>
        <v>#REF!</v>
      </c>
      <c r="D47" s="72" t="e">
        <f>_xlfn.XLOOKUP(G47,#REF!,#REF!)</f>
        <v>#REF!</v>
      </c>
      <c r="E47" s="73" t="e">
        <f>_xlfn.XLOOKUP(G47,#REF!,#REF!)</f>
        <v>#REF!</v>
      </c>
      <c r="F47" s="40"/>
      <c r="G47" s="75"/>
    </row>
    <row r="48" spans="2:7" ht="15.75" x14ac:dyDescent="0.2">
      <c r="B48" s="71" t="e">
        <f>_xlfn.XLOOKUP(G48,#REF!,CONCATENATE(#REF!," -",#REF!," -",#REF!),"No encontrado")</f>
        <v>#REF!</v>
      </c>
      <c r="C48" s="71" t="e">
        <f>_xlfn.XLOOKUP(G48,#REF!,#REF!)</f>
        <v>#REF!</v>
      </c>
      <c r="D48" s="72" t="e">
        <f>_xlfn.XLOOKUP(G48,#REF!,#REF!)</f>
        <v>#REF!</v>
      </c>
      <c r="E48" s="73" t="e">
        <f>_xlfn.XLOOKUP(G48,#REF!,#REF!)</f>
        <v>#REF!</v>
      </c>
      <c r="F48" s="40"/>
      <c r="G48" s="75"/>
    </row>
    <row r="49" spans="2:7" ht="15.75" x14ac:dyDescent="0.2">
      <c r="B49" s="71" t="e">
        <f>_xlfn.XLOOKUP(G49,#REF!,CONCATENATE(#REF!," -",#REF!," -",#REF!),"No encontrado")</f>
        <v>#REF!</v>
      </c>
      <c r="C49" s="71" t="e">
        <f>_xlfn.XLOOKUP(G49,#REF!,#REF!)</f>
        <v>#REF!</v>
      </c>
      <c r="D49" s="72" t="e">
        <f>_xlfn.XLOOKUP(G49,#REF!,#REF!)</f>
        <v>#REF!</v>
      </c>
      <c r="E49" s="73" t="e">
        <f>_xlfn.XLOOKUP(G49,#REF!,#REF!)</f>
        <v>#REF!</v>
      </c>
      <c r="F49" s="40"/>
      <c r="G49" s="75"/>
    </row>
    <row r="50" spans="2:7" ht="15.75" x14ac:dyDescent="0.2">
      <c r="B50" s="71" t="e">
        <f>_xlfn.XLOOKUP(G50,#REF!,CONCATENATE(#REF!," -",#REF!," -",#REF!),"No encontrado")</f>
        <v>#REF!</v>
      </c>
      <c r="C50" s="71" t="e">
        <f>_xlfn.XLOOKUP(G50,#REF!,#REF!)</f>
        <v>#REF!</v>
      </c>
      <c r="D50" s="72" t="e">
        <f>_xlfn.XLOOKUP(G50,#REF!,#REF!)</f>
        <v>#REF!</v>
      </c>
      <c r="E50" s="73" t="e">
        <f>_xlfn.XLOOKUP(G50,#REF!,#REF!)</f>
        <v>#REF!</v>
      </c>
      <c r="F50" s="40"/>
      <c r="G50" s="75"/>
    </row>
    <row r="51" spans="2:7" ht="15.75" x14ac:dyDescent="0.2">
      <c r="B51" s="71" t="e">
        <f>_xlfn.XLOOKUP(G51,#REF!,CONCATENATE(#REF!," -",#REF!," -",#REF!),"No encontrado")</f>
        <v>#REF!</v>
      </c>
      <c r="C51" s="71" t="e">
        <f>_xlfn.XLOOKUP(G51,#REF!,#REF!)</f>
        <v>#REF!</v>
      </c>
      <c r="D51" s="72" t="e">
        <f>_xlfn.XLOOKUP(G51,#REF!,#REF!)</f>
        <v>#REF!</v>
      </c>
      <c r="E51" s="73" t="e">
        <f>_xlfn.XLOOKUP(G51,#REF!,#REF!)</f>
        <v>#REF!</v>
      </c>
      <c r="F51" s="40"/>
      <c r="G51" s="75"/>
    </row>
    <row r="52" spans="2:7" ht="15.75" x14ac:dyDescent="0.2">
      <c r="B52" s="71" t="e">
        <f>_xlfn.XLOOKUP(G52,#REF!,CONCATENATE(#REF!," -",#REF!," -",#REF!),"No encontrado")</f>
        <v>#REF!</v>
      </c>
      <c r="C52" s="71" t="e">
        <f>_xlfn.XLOOKUP(G52,#REF!,#REF!)</f>
        <v>#REF!</v>
      </c>
      <c r="D52" s="72" t="e">
        <f>_xlfn.XLOOKUP(G52,#REF!,#REF!)</f>
        <v>#REF!</v>
      </c>
      <c r="E52" s="73" t="e">
        <f>_xlfn.XLOOKUP(G52,#REF!,#REF!)</f>
        <v>#REF!</v>
      </c>
      <c r="F52" s="40"/>
      <c r="G52" s="75"/>
    </row>
    <row r="53" spans="2:7" ht="15.75" x14ac:dyDescent="0.2">
      <c r="B53" s="71" t="e">
        <f>_xlfn.XLOOKUP(G53,#REF!,CONCATENATE(#REF!," -",#REF!," -",#REF!),"No encontrado")</f>
        <v>#REF!</v>
      </c>
      <c r="C53" s="71" t="e">
        <f>_xlfn.XLOOKUP(G53,#REF!,#REF!)</f>
        <v>#REF!</v>
      </c>
      <c r="D53" s="72" t="e">
        <f>_xlfn.XLOOKUP(G53,#REF!,#REF!)</f>
        <v>#REF!</v>
      </c>
      <c r="E53" s="73" t="e">
        <f>_xlfn.XLOOKUP(G53,#REF!,#REF!)</f>
        <v>#REF!</v>
      </c>
      <c r="F53" s="40"/>
      <c r="G53" s="75"/>
    </row>
    <row r="54" spans="2:7" ht="15.75" x14ac:dyDescent="0.2">
      <c r="B54" s="71" t="e">
        <f>_xlfn.XLOOKUP(G54,#REF!,CONCATENATE(#REF!," -",#REF!," -",#REF!),"No encontrado")</f>
        <v>#REF!</v>
      </c>
      <c r="C54" s="71" t="e">
        <f>_xlfn.XLOOKUP(G54,#REF!,#REF!)</f>
        <v>#REF!</v>
      </c>
      <c r="D54" s="72" t="e">
        <f>_xlfn.XLOOKUP(G54,#REF!,#REF!)</f>
        <v>#REF!</v>
      </c>
      <c r="E54" s="73" t="e">
        <f>_xlfn.XLOOKUP(G54,#REF!,#REF!)</f>
        <v>#REF!</v>
      </c>
      <c r="F54" s="40"/>
      <c r="G54" s="75"/>
    </row>
    <row r="55" spans="2:7" ht="15.75" x14ac:dyDescent="0.2">
      <c r="B55" s="71" t="e">
        <f>_xlfn.XLOOKUP(G55,#REF!,CONCATENATE(#REF!," -",#REF!," -",#REF!),"No encontrado")</f>
        <v>#REF!</v>
      </c>
      <c r="C55" s="71" t="e">
        <f>_xlfn.XLOOKUP(G55,#REF!,#REF!)</f>
        <v>#REF!</v>
      </c>
      <c r="D55" s="72" t="e">
        <f>_xlfn.XLOOKUP(G55,#REF!,#REF!)</f>
        <v>#REF!</v>
      </c>
      <c r="E55" s="73" t="e">
        <f>_xlfn.XLOOKUP(G55,#REF!,#REF!)</f>
        <v>#REF!</v>
      </c>
      <c r="F55" s="40"/>
      <c r="G55" s="75"/>
    </row>
    <row r="56" spans="2:7" ht="15.75" x14ac:dyDescent="0.2">
      <c r="B56" s="71" t="e">
        <f>_xlfn.XLOOKUP(G56,#REF!,CONCATENATE(#REF!," -",#REF!," -",#REF!),"No encontrado")</f>
        <v>#REF!</v>
      </c>
      <c r="C56" s="71" t="e">
        <f>_xlfn.XLOOKUP(G56,#REF!,#REF!)</f>
        <v>#REF!</v>
      </c>
      <c r="D56" s="72" t="e">
        <f>_xlfn.XLOOKUP(G56,#REF!,#REF!)</f>
        <v>#REF!</v>
      </c>
      <c r="E56" s="73" t="e">
        <f>_xlfn.XLOOKUP(G56,#REF!,#REF!)</f>
        <v>#REF!</v>
      </c>
      <c r="F56" s="40"/>
      <c r="G56" s="75"/>
    </row>
    <row r="57" spans="2:7" ht="15.75" x14ac:dyDescent="0.2">
      <c r="B57" s="71" t="e">
        <f>_xlfn.XLOOKUP(G57,#REF!,CONCATENATE(#REF!," -",#REF!," -",#REF!),"No encontrado")</f>
        <v>#REF!</v>
      </c>
      <c r="C57" s="71" t="e">
        <f>_xlfn.XLOOKUP(G57,#REF!,#REF!)</f>
        <v>#REF!</v>
      </c>
      <c r="D57" s="72" t="e">
        <f>_xlfn.XLOOKUP(G57,#REF!,#REF!)</f>
        <v>#REF!</v>
      </c>
      <c r="E57" s="73" t="e">
        <f>_xlfn.XLOOKUP(G57,#REF!,#REF!)</f>
        <v>#REF!</v>
      </c>
      <c r="F57" s="40"/>
      <c r="G57" s="75"/>
    </row>
    <row r="58" spans="2:7" ht="15.75" x14ac:dyDescent="0.2">
      <c r="B58" s="71" t="e">
        <f>_xlfn.XLOOKUP(G58,#REF!,CONCATENATE(#REF!," -",#REF!," -",#REF!),"No encontrado")</f>
        <v>#REF!</v>
      </c>
      <c r="C58" s="71" t="e">
        <f>_xlfn.XLOOKUP(G58,#REF!,#REF!)</f>
        <v>#REF!</v>
      </c>
      <c r="D58" s="72" t="e">
        <f>_xlfn.XLOOKUP(G58,#REF!,#REF!)</f>
        <v>#REF!</v>
      </c>
      <c r="E58" s="73" t="e">
        <f>_xlfn.XLOOKUP(G58,#REF!,#REF!)</f>
        <v>#REF!</v>
      </c>
      <c r="F58" s="40"/>
      <c r="G58" s="75"/>
    </row>
    <row r="59" spans="2:7" ht="15.75" x14ac:dyDescent="0.2">
      <c r="B59" s="71" t="e">
        <f>_xlfn.XLOOKUP(G59,#REF!,CONCATENATE(#REF!," -",#REF!," -",#REF!),"No encontrado")</f>
        <v>#REF!</v>
      </c>
      <c r="C59" s="71" t="e">
        <f>_xlfn.XLOOKUP(G59,#REF!,#REF!)</f>
        <v>#REF!</v>
      </c>
      <c r="D59" s="72" t="e">
        <f>_xlfn.XLOOKUP(G59,#REF!,#REF!)</f>
        <v>#REF!</v>
      </c>
      <c r="E59" s="73" t="e">
        <f>_xlfn.XLOOKUP(G59,#REF!,#REF!)</f>
        <v>#REF!</v>
      </c>
      <c r="F59" s="40"/>
      <c r="G59" s="75"/>
    </row>
    <row r="60" spans="2:7" ht="15.75" x14ac:dyDescent="0.2">
      <c r="B60" s="71" t="e">
        <f>_xlfn.XLOOKUP(G60,#REF!,CONCATENATE(#REF!," -",#REF!," -",#REF!),"No encontrado")</f>
        <v>#REF!</v>
      </c>
      <c r="C60" s="71" t="e">
        <f>_xlfn.XLOOKUP(G60,#REF!,#REF!)</f>
        <v>#REF!</v>
      </c>
      <c r="D60" s="72" t="e">
        <f>_xlfn.XLOOKUP(G60,#REF!,#REF!)</f>
        <v>#REF!</v>
      </c>
      <c r="E60" s="73" t="e">
        <f>_xlfn.XLOOKUP(G60,#REF!,#REF!)</f>
        <v>#REF!</v>
      </c>
      <c r="F60" s="40"/>
      <c r="G60" s="75"/>
    </row>
    <row r="61" spans="2:7" ht="15.75" x14ac:dyDescent="0.2">
      <c r="B61" s="71" t="e">
        <f>_xlfn.XLOOKUP(G61,#REF!,CONCATENATE(#REF!," -",#REF!," -",#REF!),"No encontrado")</f>
        <v>#REF!</v>
      </c>
      <c r="C61" s="71" t="e">
        <f>_xlfn.XLOOKUP(G61,#REF!,#REF!)</f>
        <v>#REF!</v>
      </c>
      <c r="D61" s="72" t="e">
        <f>_xlfn.XLOOKUP(G61,#REF!,#REF!)</f>
        <v>#REF!</v>
      </c>
      <c r="E61" s="73" t="e">
        <f>_xlfn.XLOOKUP(G61,#REF!,#REF!)</f>
        <v>#REF!</v>
      </c>
      <c r="F61" s="40"/>
      <c r="G61" s="75"/>
    </row>
    <row r="62" spans="2:7" ht="15.75" x14ac:dyDescent="0.2">
      <c r="B62" s="71" t="e">
        <f>_xlfn.XLOOKUP(G62,#REF!,CONCATENATE(#REF!," -",#REF!," -",#REF!),"No encontrado")</f>
        <v>#REF!</v>
      </c>
      <c r="C62" s="71" t="e">
        <f>_xlfn.XLOOKUP(G62,#REF!,#REF!)</f>
        <v>#REF!</v>
      </c>
      <c r="D62" s="72" t="e">
        <f>_xlfn.XLOOKUP(G62,#REF!,#REF!)</f>
        <v>#REF!</v>
      </c>
      <c r="E62" s="73" t="e">
        <f>_xlfn.XLOOKUP(G62,#REF!,#REF!)</f>
        <v>#REF!</v>
      </c>
      <c r="F62" s="40"/>
      <c r="G62" s="75"/>
    </row>
    <row r="63" spans="2:7" ht="15.75" x14ac:dyDescent="0.2">
      <c r="B63" s="71" t="e">
        <f>_xlfn.XLOOKUP(G63,#REF!,CONCATENATE(#REF!," -",#REF!," -",#REF!),"No encontrado")</f>
        <v>#REF!</v>
      </c>
      <c r="C63" s="71" t="e">
        <f>_xlfn.XLOOKUP(G63,#REF!,#REF!)</f>
        <v>#REF!</v>
      </c>
      <c r="D63" s="72" t="e">
        <f>_xlfn.XLOOKUP(G63,#REF!,#REF!)</f>
        <v>#REF!</v>
      </c>
      <c r="E63" s="73" t="e">
        <f>_xlfn.XLOOKUP(G63,#REF!,#REF!)</f>
        <v>#REF!</v>
      </c>
      <c r="F63" s="40"/>
      <c r="G63" s="75"/>
    </row>
    <row r="64" spans="2:7" ht="15.75" x14ac:dyDescent="0.2">
      <c r="B64" s="71" t="e">
        <f>_xlfn.XLOOKUP(G64,#REF!,CONCATENATE(#REF!," -",#REF!," -",#REF!),"No encontrado")</f>
        <v>#REF!</v>
      </c>
      <c r="C64" s="71" t="e">
        <f>_xlfn.XLOOKUP(G64,#REF!,#REF!)</f>
        <v>#REF!</v>
      </c>
      <c r="D64" s="72" t="e">
        <f>_xlfn.XLOOKUP(G64,#REF!,#REF!)</f>
        <v>#REF!</v>
      </c>
      <c r="E64" s="73" t="e">
        <f>_xlfn.XLOOKUP(G64,#REF!,#REF!)</f>
        <v>#REF!</v>
      </c>
      <c r="F64" s="40"/>
      <c r="G64" s="75"/>
    </row>
    <row r="65" spans="2:7" ht="15.75" x14ac:dyDescent="0.2">
      <c r="B65" s="71" t="e">
        <f>_xlfn.XLOOKUP(G65,#REF!,CONCATENATE(#REF!," -",#REF!," -",#REF!),"No encontrado")</f>
        <v>#REF!</v>
      </c>
      <c r="C65" s="71" t="e">
        <f>_xlfn.XLOOKUP(G65,#REF!,#REF!)</f>
        <v>#REF!</v>
      </c>
      <c r="D65" s="72" t="e">
        <f>_xlfn.XLOOKUP(G65,#REF!,#REF!)</f>
        <v>#REF!</v>
      </c>
      <c r="E65" s="73" t="e">
        <f>_xlfn.XLOOKUP(G65,#REF!,#REF!)</f>
        <v>#REF!</v>
      </c>
      <c r="F65" s="40"/>
      <c r="G65" s="75"/>
    </row>
    <row r="66" spans="2:7" ht="15.75" x14ac:dyDescent="0.2">
      <c r="B66" s="71" t="e">
        <f>_xlfn.XLOOKUP(G66,#REF!,CONCATENATE(#REF!," -",#REF!," -",#REF!),"No encontrado")</f>
        <v>#REF!</v>
      </c>
      <c r="C66" s="71" t="e">
        <f>_xlfn.XLOOKUP(G66,#REF!,#REF!)</f>
        <v>#REF!</v>
      </c>
      <c r="D66" s="72" t="e">
        <f>_xlfn.XLOOKUP(G66,#REF!,#REF!)</f>
        <v>#REF!</v>
      </c>
      <c r="E66" s="73" t="e">
        <f>_xlfn.XLOOKUP(G66,#REF!,#REF!)</f>
        <v>#REF!</v>
      </c>
      <c r="F66" s="40"/>
      <c r="G66" s="75"/>
    </row>
    <row r="67" spans="2:7" ht="15.75" x14ac:dyDescent="0.2">
      <c r="B67" s="71" t="e">
        <f>_xlfn.XLOOKUP(G67,#REF!,CONCATENATE(#REF!," -",#REF!," -",#REF!),"No encontrado")</f>
        <v>#REF!</v>
      </c>
      <c r="C67" s="71" t="e">
        <f>_xlfn.XLOOKUP(G67,#REF!,#REF!)</f>
        <v>#REF!</v>
      </c>
      <c r="D67" s="72" t="e">
        <f>_xlfn.XLOOKUP(G67,#REF!,#REF!)</f>
        <v>#REF!</v>
      </c>
      <c r="E67" s="73" t="e">
        <f>_xlfn.XLOOKUP(G67,#REF!,#REF!)</f>
        <v>#REF!</v>
      </c>
      <c r="F67" s="40"/>
      <c r="G67" s="75"/>
    </row>
    <row r="68" spans="2:7" ht="15.75" x14ac:dyDescent="0.2">
      <c r="B68" s="71" t="e">
        <f>_xlfn.XLOOKUP(G68,#REF!,CONCATENATE(#REF!," -",#REF!," -",#REF!),"No encontrado")</f>
        <v>#REF!</v>
      </c>
      <c r="C68" s="71" t="e">
        <f>_xlfn.XLOOKUP(G68,#REF!,#REF!)</f>
        <v>#REF!</v>
      </c>
      <c r="D68" s="72" t="e">
        <f>_xlfn.XLOOKUP(G68,#REF!,#REF!)</f>
        <v>#REF!</v>
      </c>
      <c r="E68" s="73" t="e">
        <f>_xlfn.XLOOKUP(G68,#REF!,#REF!)</f>
        <v>#REF!</v>
      </c>
      <c r="F68" s="40"/>
      <c r="G68" s="75"/>
    </row>
    <row r="69" spans="2:7" ht="15.75" x14ac:dyDescent="0.2">
      <c r="B69" s="71" t="e">
        <f>_xlfn.XLOOKUP(G69,#REF!,CONCATENATE(#REF!," -",#REF!," -",#REF!),"No encontrado")</f>
        <v>#REF!</v>
      </c>
      <c r="C69" s="71" t="e">
        <f>_xlfn.XLOOKUP(G69,#REF!,#REF!)</f>
        <v>#REF!</v>
      </c>
      <c r="D69" s="72" t="e">
        <f>_xlfn.XLOOKUP(G69,#REF!,#REF!)</f>
        <v>#REF!</v>
      </c>
      <c r="E69" s="73" t="e">
        <f>_xlfn.XLOOKUP(G69,#REF!,#REF!)</f>
        <v>#REF!</v>
      </c>
      <c r="F69" s="40"/>
      <c r="G69" s="75"/>
    </row>
    <row r="70" spans="2:7" ht="15.75" x14ac:dyDescent="0.2">
      <c r="B70" s="71" t="e">
        <f>_xlfn.XLOOKUP(G70,#REF!,CONCATENATE(#REF!," -",#REF!," -",#REF!),"No encontrado")</f>
        <v>#REF!</v>
      </c>
      <c r="C70" s="71" t="e">
        <f>_xlfn.XLOOKUP(G70,#REF!,#REF!)</f>
        <v>#REF!</v>
      </c>
      <c r="D70" s="72" t="e">
        <f>_xlfn.XLOOKUP(G70,#REF!,#REF!)</f>
        <v>#REF!</v>
      </c>
      <c r="E70" s="73" t="e">
        <f>_xlfn.XLOOKUP(G70,#REF!,#REF!)</f>
        <v>#REF!</v>
      </c>
      <c r="F70" s="40"/>
      <c r="G70" s="75"/>
    </row>
    <row r="71" spans="2:7" ht="15.75" x14ac:dyDescent="0.2">
      <c r="B71" s="71" t="e">
        <f>_xlfn.XLOOKUP(G71,#REF!,CONCATENATE(#REF!," -",#REF!," -",#REF!),"No encontrado")</f>
        <v>#REF!</v>
      </c>
      <c r="C71" s="71" t="e">
        <f>_xlfn.XLOOKUP(G71,#REF!,#REF!)</f>
        <v>#REF!</v>
      </c>
      <c r="D71" s="72" t="e">
        <f>_xlfn.XLOOKUP(G71,#REF!,#REF!)</f>
        <v>#REF!</v>
      </c>
      <c r="E71" s="73" t="e">
        <f>_xlfn.XLOOKUP(G71,#REF!,#REF!)</f>
        <v>#REF!</v>
      </c>
      <c r="F71" s="40"/>
      <c r="G71" s="75"/>
    </row>
    <row r="72" spans="2:7" ht="15.75" x14ac:dyDescent="0.2">
      <c r="B72" s="71" t="e">
        <f>_xlfn.XLOOKUP(G72,#REF!,CONCATENATE(#REF!," -",#REF!," -",#REF!),"No encontrado")</f>
        <v>#REF!</v>
      </c>
      <c r="C72" s="71" t="e">
        <f>_xlfn.XLOOKUP(G72,#REF!,#REF!)</f>
        <v>#REF!</v>
      </c>
      <c r="D72" s="72" t="e">
        <f>_xlfn.XLOOKUP(G72,#REF!,#REF!)</f>
        <v>#REF!</v>
      </c>
      <c r="E72" s="73" t="e">
        <f>_xlfn.XLOOKUP(G72,#REF!,#REF!)</f>
        <v>#REF!</v>
      </c>
      <c r="F72" s="40"/>
      <c r="G72" s="75"/>
    </row>
    <row r="73" spans="2:7" ht="15.75" x14ac:dyDescent="0.2">
      <c r="B73" s="71" t="e">
        <f>_xlfn.XLOOKUP(G73,#REF!,CONCATENATE(#REF!," -",#REF!," -",#REF!),"No encontrado")</f>
        <v>#REF!</v>
      </c>
      <c r="C73" s="71" t="e">
        <f>_xlfn.XLOOKUP(G73,#REF!,#REF!)</f>
        <v>#REF!</v>
      </c>
      <c r="D73" s="72" t="e">
        <f>_xlfn.XLOOKUP(G73,#REF!,#REF!)</f>
        <v>#REF!</v>
      </c>
      <c r="E73" s="73" t="e">
        <f>_xlfn.XLOOKUP(G73,#REF!,#REF!)</f>
        <v>#REF!</v>
      </c>
      <c r="F73" s="40"/>
      <c r="G73" s="75"/>
    </row>
    <row r="74" spans="2:7" ht="15.75" x14ac:dyDescent="0.2">
      <c r="B74" s="71" t="e">
        <f>_xlfn.XLOOKUP(G74,#REF!,CONCATENATE(#REF!," -",#REF!," -",#REF!),"No encontrado")</f>
        <v>#REF!</v>
      </c>
      <c r="C74" s="71" t="e">
        <f>_xlfn.XLOOKUP(G74,#REF!,#REF!)</f>
        <v>#REF!</v>
      </c>
      <c r="D74" s="72" t="e">
        <f>_xlfn.XLOOKUP(G74,#REF!,#REF!)</f>
        <v>#REF!</v>
      </c>
      <c r="E74" s="73" t="e">
        <f>_xlfn.XLOOKUP(G74,#REF!,#REF!)</f>
        <v>#REF!</v>
      </c>
      <c r="F74" s="40"/>
      <c r="G74" s="75"/>
    </row>
    <row r="75" spans="2:7" ht="15.75" x14ac:dyDescent="0.2">
      <c r="B75" s="71" t="e">
        <f>_xlfn.XLOOKUP(G75,#REF!,CONCATENATE(#REF!," -",#REF!," -",#REF!),"No encontrado")</f>
        <v>#REF!</v>
      </c>
      <c r="C75" s="71" t="e">
        <f>_xlfn.XLOOKUP(G75,#REF!,#REF!)</f>
        <v>#REF!</v>
      </c>
      <c r="D75" s="72" t="e">
        <f>_xlfn.XLOOKUP(G75,#REF!,#REF!)</f>
        <v>#REF!</v>
      </c>
      <c r="E75" s="73" t="e">
        <f>_xlfn.XLOOKUP(G75,#REF!,#REF!)</f>
        <v>#REF!</v>
      </c>
      <c r="F75" s="40"/>
      <c r="G75" s="75"/>
    </row>
    <row r="76" spans="2:7" ht="15.75" x14ac:dyDescent="0.2">
      <c r="B76" s="71" t="e">
        <f>_xlfn.XLOOKUP(G76,#REF!,CONCATENATE(#REF!," -",#REF!," -",#REF!),"No encontrado")</f>
        <v>#REF!</v>
      </c>
      <c r="C76" s="71" t="e">
        <f>_xlfn.XLOOKUP(G76,#REF!,#REF!)</f>
        <v>#REF!</v>
      </c>
      <c r="D76" s="72" t="e">
        <f>_xlfn.XLOOKUP(G76,#REF!,#REF!)</f>
        <v>#REF!</v>
      </c>
      <c r="E76" s="73" t="e">
        <f>_xlfn.XLOOKUP(G76,#REF!,#REF!)</f>
        <v>#REF!</v>
      </c>
      <c r="F76" s="40"/>
      <c r="G76" s="75"/>
    </row>
    <row r="77" spans="2:7" ht="15.75" x14ac:dyDescent="0.2">
      <c r="B77" s="71" t="e">
        <f>_xlfn.XLOOKUP(G77,#REF!,CONCATENATE(#REF!," -",#REF!," -",#REF!),"No encontrado")</f>
        <v>#REF!</v>
      </c>
      <c r="C77" s="71" t="e">
        <f>_xlfn.XLOOKUP(G77,#REF!,#REF!)</f>
        <v>#REF!</v>
      </c>
      <c r="D77" s="72" t="e">
        <f>_xlfn.XLOOKUP(G77,#REF!,#REF!)</f>
        <v>#REF!</v>
      </c>
      <c r="E77" s="73" t="e">
        <f>_xlfn.XLOOKUP(G77,#REF!,#REF!)</f>
        <v>#REF!</v>
      </c>
      <c r="F77" s="40"/>
      <c r="G77" s="75"/>
    </row>
    <row r="78" spans="2:7" ht="15.75" x14ac:dyDescent="0.2">
      <c r="B78" s="71" t="e">
        <f>_xlfn.XLOOKUP(G78,#REF!,CONCATENATE(#REF!," -",#REF!," -",#REF!),"No encontrado")</f>
        <v>#REF!</v>
      </c>
      <c r="C78" s="71" t="e">
        <f>_xlfn.XLOOKUP(G78,#REF!,#REF!)</f>
        <v>#REF!</v>
      </c>
      <c r="D78" s="72" t="e">
        <f>_xlfn.XLOOKUP(G78,#REF!,#REF!)</f>
        <v>#REF!</v>
      </c>
      <c r="E78" s="73" t="e">
        <f>_xlfn.XLOOKUP(G78,#REF!,#REF!)</f>
        <v>#REF!</v>
      </c>
      <c r="F78" s="40"/>
      <c r="G78" s="75"/>
    </row>
    <row r="79" spans="2:7" ht="15.75" x14ac:dyDescent="0.2">
      <c r="B79" s="71" t="e">
        <f>_xlfn.XLOOKUP(G79,#REF!,CONCATENATE(#REF!," -",#REF!," -",#REF!),"No encontrado")</f>
        <v>#REF!</v>
      </c>
      <c r="C79" s="71" t="e">
        <f>_xlfn.XLOOKUP(G79,#REF!,#REF!)</f>
        <v>#REF!</v>
      </c>
      <c r="D79" s="72" t="e">
        <f>_xlfn.XLOOKUP(G79,#REF!,#REF!)</f>
        <v>#REF!</v>
      </c>
      <c r="E79" s="73" t="e">
        <f>_xlfn.XLOOKUP(G79,#REF!,#REF!)</f>
        <v>#REF!</v>
      </c>
      <c r="F79" s="40"/>
      <c r="G79" s="75"/>
    </row>
    <row r="80" spans="2:7" ht="15.75" x14ac:dyDescent="0.2">
      <c r="B80" s="71" t="e">
        <f>_xlfn.XLOOKUP(G80,#REF!,CONCATENATE(#REF!," -",#REF!," -",#REF!),"No encontrado")</f>
        <v>#REF!</v>
      </c>
      <c r="C80" s="71" t="e">
        <f>_xlfn.XLOOKUP(G80,#REF!,#REF!)</f>
        <v>#REF!</v>
      </c>
      <c r="D80" s="72" t="e">
        <f>_xlfn.XLOOKUP(G80,#REF!,#REF!)</f>
        <v>#REF!</v>
      </c>
      <c r="E80" s="73" t="e">
        <f>_xlfn.XLOOKUP(G80,#REF!,#REF!)</f>
        <v>#REF!</v>
      </c>
      <c r="F80" s="40"/>
      <c r="G80" s="75"/>
    </row>
    <row r="81" spans="2:7" ht="15.75" x14ac:dyDescent="0.2">
      <c r="B81" s="71" t="e">
        <f>_xlfn.XLOOKUP(G81,#REF!,CONCATENATE(#REF!," -",#REF!," -",#REF!),"No encontrado")</f>
        <v>#REF!</v>
      </c>
      <c r="C81" s="71" t="e">
        <f>_xlfn.XLOOKUP(G81,#REF!,#REF!)</f>
        <v>#REF!</v>
      </c>
      <c r="D81" s="72" t="e">
        <f>_xlfn.XLOOKUP(G81,#REF!,#REF!)</f>
        <v>#REF!</v>
      </c>
      <c r="E81" s="73" t="e">
        <f>_xlfn.XLOOKUP(G81,#REF!,#REF!)</f>
        <v>#REF!</v>
      </c>
      <c r="F81" s="40"/>
      <c r="G81" s="75"/>
    </row>
    <row r="82" spans="2:7" ht="15.75" x14ac:dyDescent="0.2">
      <c r="B82" s="71" t="e">
        <f>_xlfn.XLOOKUP(G82,#REF!,CONCATENATE(#REF!," -",#REF!," -",#REF!),"No encontrado")</f>
        <v>#REF!</v>
      </c>
      <c r="C82" s="71" t="e">
        <f>_xlfn.XLOOKUP(G82,#REF!,#REF!)</f>
        <v>#REF!</v>
      </c>
      <c r="D82" s="72" t="e">
        <f>_xlfn.XLOOKUP(G82,#REF!,#REF!)</f>
        <v>#REF!</v>
      </c>
      <c r="E82" s="73" t="e">
        <f>_xlfn.XLOOKUP(G82,#REF!,#REF!)</f>
        <v>#REF!</v>
      </c>
      <c r="F82" s="40"/>
      <c r="G82" s="75"/>
    </row>
    <row r="83" spans="2:7" ht="15.75" x14ac:dyDescent="0.2">
      <c r="B83" s="71" t="e">
        <f>_xlfn.XLOOKUP(G83,#REF!,CONCATENATE(#REF!," -",#REF!," -",#REF!),"No encontrado")</f>
        <v>#REF!</v>
      </c>
      <c r="C83" s="71" t="e">
        <f>_xlfn.XLOOKUP(G83,#REF!,#REF!)</f>
        <v>#REF!</v>
      </c>
      <c r="D83" s="72" t="e">
        <f>_xlfn.XLOOKUP(G83,#REF!,#REF!)</f>
        <v>#REF!</v>
      </c>
      <c r="E83" s="73" t="e">
        <f>_xlfn.XLOOKUP(G83,#REF!,#REF!)</f>
        <v>#REF!</v>
      </c>
      <c r="F83" s="40"/>
      <c r="G83" s="75"/>
    </row>
    <row r="84" spans="2:7" ht="15.75" x14ac:dyDescent="0.2">
      <c r="B84" s="71" t="e">
        <f>_xlfn.XLOOKUP(G84,#REF!,CONCATENATE(#REF!," -",#REF!," -",#REF!),"No encontrado")</f>
        <v>#REF!</v>
      </c>
      <c r="C84" s="71" t="e">
        <f>_xlfn.XLOOKUP(G84,#REF!,#REF!)</f>
        <v>#REF!</v>
      </c>
      <c r="D84" s="72" t="e">
        <f>_xlfn.XLOOKUP(G84,#REF!,#REF!)</f>
        <v>#REF!</v>
      </c>
      <c r="E84" s="73" t="e">
        <f>_xlfn.XLOOKUP(G84,#REF!,#REF!)</f>
        <v>#REF!</v>
      </c>
      <c r="F84" s="40"/>
      <c r="G84" s="75"/>
    </row>
    <row r="85" spans="2:7" ht="15.75" x14ac:dyDescent="0.2">
      <c r="B85" s="71" t="e">
        <f>_xlfn.XLOOKUP(G85,#REF!,CONCATENATE(#REF!," -",#REF!," -",#REF!),"No encontrado")</f>
        <v>#REF!</v>
      </c>
      <c r="C85" s="71" t="e">
        <f>_xlfn.XLOOKUP(G85,#REF!,#REF!)</f>
        <v>#REF!</v>
      </c>
      <c r="D85" s="72" t="e">
        <f>_xlfn.XLOOKUP(G85,#REF!,#REF!)</f>
        <v>#REF!</v>
      </c>
      <c r="E85" s="73" t="e">
        <f>_xlfn.XLOOKUP(G85,#REF!,#REF!)</f>
        <v>#REF!</v>
      </c>
      <c r="F85" s="40"/>
      <c r="G85" s="75"/>
    </row>
    <row r="86" spans="2:7" ht="15.75" x14ac:dyDescent="0.2">
      <c r="B86" s="71" t="e">
        <f>_xlfn.XLOOKUP(G86,#REF!,CONCATENATE(#REF!," -",#REF!," -",#REF!),"No encontrado")</f>
        <v>#REF!</v>
      </c>
      <c r="C86" s="71" t="e">
        <f>_xlfn.XLOOKUP(G86,#REF!,#REF!)</f>
        <v>#REF!</v>
      </c>
      <c r="D86" s="72" t="e">
        <f>_xlfn.XLOOKUP(G86,#REF!,#REF!)</f>
        <v>#REF!</v>
      </c>
      <c r="E86" s="73" t="e">
        <f>_xlfn.XLOOKUP(G86,#REF!,#REF!)</f>
        <v>#REF!</v>
      </c>
      <c r="F86" s="40"/>
      <c r="G86" s="75"/>
    </row>
    <row r="87" spans="2:7" ht="15.75" x14ac:dyDescent="0.2">
      <c r="B87" s="71" t="e">
        <f>_xlfn.XLOOKUP(G87,#REF!,CONCATENATE(#REF!," -",#REF!," -",#REF!),"No encontrado")</f>
        <v>#REF!</v>
      </c>
      <c r="C87" s="71" t="e">
        <f>_xlfn.XLOOKUP(G87,#REF!,#REF!)</f>
        <v>#REF!</v>
      </c>
      <c r="D87" s="72" t="e">
        <f>_xlfn.XLOOKUP(G87,#REF!,#REF!)</f>
        <v>#REF!</v>
      </c>
      <c r="E87" s="73" t="e">
        <f>_xlfn.XLOOKUP(G87,#REF!,#REF!)</f>
        <v>#REF!</v>
      </c>
      <c r="F87" s="40"/>
      <c r="G87" s="75"/>
    </row>
    <row r="88" spans="2:7" ht="15.75" x14ac:dyDescent="0.2">
      <c r="B88" s="71" t="e">
        <f>_xlfn.XLOOKUP(G88,#REF!,CONCATENATE(#REF!," -",#REF!," -",#REF!),"No encontrado")</f>
        <v>#REF!</v>
      </c>
      <c r="C88" s="71" t="e">
        <f>_xlfn.XLOOKUP(G88,#REF!,#REF!)</f>
        <v>#REF!</v>
      </c>
      <c r="D88" s="72" t="e">
        <f>_xlfn.XLOOKUP(G88,#REF!,#REF!)</f>
        <v>#REF!</v>
      </c>
      <c r="E88" s="73" t="e">
        <f>_xlfn.XLOOKUP(G88,#REF!,#REF!)</f>
        <v>#REF!</v>
      </c>
      <c r="F88" s="40"/>
      <c r="G88" s="75"/>
    </row>
    <row r="89" spans="2:7" ht="15.75" x14ac:dyDescent="0.2">
      <c r="B89" s="71" t="e">
        <f>_xlfn.XLOOKUP(G89,#REF!,CONCATENATE(#REF!," -",#REF!," -",#REF!),"No encontrado")</f>
        <v>#REF!</v>
      </c>
      <c r="C89" s="71" t="e">
        <f>_xlfn.XLOOKUP(G89,#REF!,#REF!)</f>
        <v>#REF!</v>
      </c>
      <c r="D89" s="72" t="e">
        <f>_xlfn.XLOOKUP(G89,#REF!,#REF!)</f>
        <v>#REF!</v>
      </c>
      <c r="E89" s="73" t="e">
        <f>_xlfn.XLOOKUP(G89,#REF!,#REF!)</f>
        <v>#REF!</v>
      </c>
      <c r="F89" s="40"/>
      <c r="G89" s="75"/>
    </row>
    <row r="90" spans="2:7" ht="15.75" x14ac:dyDescent="0.2">
      <c r="B90" s="71" t="e">
        <f>_xlfn.XLOOKUP(G90,#REF!,CONCATENATE(#REF!," -",#REF!," -",#REF!),"No encontrado")</f>
        <v>#REF!</v>
      </c>
      <c r="C90" s="71" t="e">
        <f>_xlfn.XLOOKUP(G90,#REF!,#REF!)</f>
        <v>#REF!</v>
      </c>
      <c r="D90" s="72" t="e">
        <f>_xlfn.XLOOKUP(G90,#REF!,#REF!)</f>
        <v>#REF!</v>
      </c>
      <c r="E90" s="73" t="e">
        <f>_xlfn.XLOOKUP(G90,#REF!,#REF!)</f>
        <v>#REF!</v>
      </c>
      <c r="F90" s="40"/>
      <c r="G90" s="75"/>
    </row>
    <row r="91" spans="2:7" ht="15.75" x14ac:dyDescent="0.2">
      <c r="B91" s="71" t="e">
        <f>_xlfn.XLOOKUP(G91,#REF!,CONCATENATE(#REF!," -",#REF!," -",#REF!),"No encontrado")</f>
        <v>#REF!</v>
      </c>
      <c r="C91" s="71" t="e">
        <f>_xlfn.XLOOKUP(G91,#REF!,#REF!)</f>
        <v>#REF!</v>
      </c>
      <c r="D91" s="72" t="e">
        <f>_xlfn.XLOOKUP(G91,#REF!,#REF!)</f>
        <v>#REF!</v>
      </c>
      <c r="E91" s="73" t="e">
        <f>_xlfn.XLOOKUP(G91,#REF!,#REF!)</f>
        <v>#REF!</v>
      </c>
      <c r="F91" s="40"/>
      <c r="G91" s="75"/>
    </row>
    <row r="92" spans="2:7" ht="15.75" x14ac:dyDescent="0.2">
      <c r="B92" s="71" t="e">
        <f>_xlfn.XLOOKUP(G92,#REF!,CONCATENATE(#REF!," -",#REF!," -",#REF!),"No encontrado")</f>
        <v>#REF!</v>
      </c>
      <c r="C92" s="71" t="e">
        <f>_xlfn.XLOOKUP(G92,#REF!,#REF!)</f>
        <v>#REF!</v>
      </c>
      <c r="D92" s="72" t="e">
        <f>_xlfn.XLOOKUP(G92,#REF!,#REF!)</f>
        <v>#REF!</v>
      </c>
      <c r="E92" s="73" t="e">
        <f>_xlfn.XLOOKUP(G92,#REF!,#REF!)</f>
        <v>#REF!</v>
      </c>
      <c r="F92" s="40"/>
      <c r="G92" s="75"/>
    </row>
    <row r="93" spans="2:7" ht="15.75" x14ac:dyDescent="0.2">
      <c r="B93" s="71" t="e">
        <f>_xlfn.XLOOKUP(G93,#REF!,CONCATENATE(#REF!," -",#REF!," -",#REF!),"No encontrado")</f>
        <v>#REF!</v>
      </c>
      <c r="C93" s="71" t="e">
        <f>_xlfn.XLOOKUP(G93,#REF!,#REF!)</f>
        <v>#REF!</v>
      </c>
      <c r="D93" s="72" t="e">
        <f>_xlfn.XLOOKUP(G93,#REF!,#REF!)</f>
        <v>#REF!</v>
      </c>
      <c r="E93" s="73" t="e">
        <f>_xlfn.XLOOKUP(G93,#REF!,#REF!)</f>
        <v>#REF!</v>
      </c>
      <c r="F93" s="40"/>
      <c r="G93" s="75"/>
    </row>
    <row r="94" spans="2:7" ht="15.75" x14ac:dyDescent="0.2">
      <c r="B94" s="71" t="e">
        <f>_xlfn.XLOOKUP(G94,#REF!,CONCATENATE(#REF!," -",#REF!," -",#REF!),"No encontrado")</f>
        <v>#REF!</v>
      </c>
      <c r="C94" s="71" t="e">
        <f>_xlfn.XLOOKUP(G94,#REF!,#REF!)</f>
        <v>#REF!</v>
      </c>
      <c r="D94" s="72" t="e">
        <f>_xlfn.XLOOKUP(G94,#REF!,#REF!)</f>
        <v>#REF!</v>
      </c>
      <c r="E94" s="73" t="e">
        <f>_xlfn.XLOOKUP(G94,#REF!,#REF!)</f>
        <v>#REF!</v>
      </c>
      <c r="F94" s="40"/>
      <c r="G94" s="75"/>
    </row>
    <row r="95" spans="2:7" ht="15.75" x14ac:dyDescent="0.2">
      <c r="B95" s="71" t="e">
        <f>_xlfn.XLOOKUP(G95,#REF!,CONCATENATE(#REF!," -",#REF!," -",#REF!),"No encontrado")</f>
        <v>#REF!</v>
      </c>
      <c r="C95" s="71" t="e">
        <f>_xlfn.XLOOKUP(G95,#REF!,#REF!)</f>
        <v>#REF!</v>
      </c>
      <c r="D95" s="72" t="e">
        <f>_xlfn.XLOOKUP(G95,#REF!,#REF!)</f>
        <v>#REF!</v>
      </c>
      <c r="E95" s="73" t="e">
        <f>_xlfn.XLOOKUP(G95,#REF!,#REF!)</f>
        <v>#REF!</v>
      </c>
      <c r="F95" s="40"/>
      <c r="G95" s="75"/>
    </row>
    <row r="96" spans="2:7" ht="15.75" x14ac:dyDescent="0.2">
      <c r="B96" s="71" t="e">
        <f>_xlfn.XLOOKUP(G96,#REF!,CONCATENATE(#REF!," -",#REF!," -",#REF!),"No encontrado")</f>
        <v>#REF!</v>
      </c>
      <c r="C96" s="71" t="e">
        <f>_xlfn.XLOOKUP(G96,#REF!,#REF!)</f>
        <v>#REF!</v>
      </c>
      <c r="D96" s="72" t="e">
        <f>_xlfn.XLOOKUP(G96,#REF!,#REF!)</f>
        <v>#REF!</v>
      </c>
      <c r="E96" s="73" t="e">
        <f>_xlfn.XLOOKUP(G96,#REF!,#REF!)</f>
        <v>#REF!</v>
      </c>
      <c r="F96" s="40"/>
      <c r="G96" s="75"/>
    </row>
    <row r="97" spans="2:7" ht="15.75" x14ac:dyDescent="0.2">
      <c r="B97" s="71" t="e">
        <f>_xlfn.XLOOKUP(G97,#REF!,CONCATENATE(#REF!," -",#REF!," -",#REF!),"No encontrado")</f>
        <v>#REF!</v>
      </c>
      <c r="C97" s="71" t="e">
        <f>_xlfn.XLOOKUP(G97,#REF!,#REF!)</f>
        <v>#REF!</v>
      </c>
      <c r="D97" s="72" t="e">
        <f>_xlfn.XLOOKUP(G97,#REF!,#REF!)</f>
        <v>#REF!</v>
      </c>
      <c r="E97" s="73" t="e">
        <f>_xlfn.XLOOKUP(G97,#REF!,#REF!)</f>
        <v>#REF!</v>
      </c>
      <c r="F97" s="40"/>
      <c r="G97" s="75"/>
    </row>
    <row r="98" spans="2:7" ht="15.75" x14ac:dyDescent="0.2">
      <c r="B98" s="71" t="e">
        <f>_xlfn.XLOOKUP(G98,#REF!,CONCATENATE(#REF!," -",#REF!," -",#REF!),"No encontrado")</f>
        <v>#REF!</v>
      </c>
      <c r="C98" s="71" t="e">
        <f>_xlfn.XLOOKUP(G98,#REF!,#REF!)</f>
        <v>#REF!</v>
      </c>
      <c r="D98" s="72" t="e">
        <f>_xlfn.XLOOKUP(G98,#REF!,#REF!)</f>
        <v>#REF!</v>
      </c>
      <c r="E98" s="73" t="e">
        <f>_xlfn.XLOOKUP(G98,#REF!,#REF!)</f>
        <v>#REF!</v>
      </c>
      <c r="F98" s="40"/>
      <c r="G98" s="75"/>
    </row>
    <row r="99" spans="2:7" ht="15.75" x14ac:dyDescent="0.2">
      <c r="B99" s="71" t="e">
        <f>_xlfn.XLOOKUP(G99,#REF!,CONCATENATE(#REF!," -",#REF!," -",#REF!),"No encontrado")</f>
        <v>#REF!</v>
      </c>
      <c r="C99" s="71" t="e">
        <f>_xlfn.XLOOKUP(G99,#REF!,#REF!)</f>
        <v>#REF!</v>
      </c>
      <c r="D99" s="72" t="e">
        <f>_xlfn.XLOOKUP(G99,#REF!,#REF!)</f>
        <v>#REF!</v>
      </c>
      <c r="E99" s="73" t="e">
        <f>_xlfn.XLOOKUP(G99,#REF!,#REF!)</f>
        <v>#REF!</v>
      </c>
      <c r="F99" s="40"/>
      <c r="G99" s="75"/>
    </row>
    <row r="100" spans="2:7" ht="15.75" x14ac:dyDescent="0.2">
      <c r="B100" s="71" t="e">
        <f>_xlfn.XLOOKUP(G100,#REF!,CONCATENATE(#REF!," -",#REF!," -",#REF!),"No encontrado")</f>
        <v>#REF!</v>
      </c>
      <c r="C100" s="71" t="e">
        <f>_xlfn.XLOOKUP(G100,#REF!,#REF!)</f>
        <v>#REF!</v>
      </c>
      <c r="D100" s="72" t="e">
        <f>_xlfn.XLOOKUP(G100,#REF!,#REF!)</f>
        <v>#REF!</v>
      </c>
      <c r="E100" s="73" t="e">
        <f>_xlfn.XLOOKUP(G100,#REF!,#REF!)</f>
        <v>#REF!</v>
      </c>
      <c r="F100" s="40"/>
      <c r="G100" s="75"/>
    </row>
    <row r="101" spans="2:7" ht="15.75" x14ac:dyDescent="0.2">
      <c r="B101" s="71" t="e">
        <f>_xlfn.XLOOKUP(G101,#REF!,CONCATENATE(#REF!," -",#REF!," -",#REF!),"No encontrado")</f>
        <v>#REF!</v>
      </c>
      <c r="C101" s="71" t="e">
        <f>_xlfn.XLOOKUP(G101,#REF!,#REF!)</f>
        <v>#REF!</v>
      </c>
      <c r="D101" s="72" t="e">
        <f>_xlfn.XLOOKUP(G101,#REF!,#REF!)</f>
        <v>#REF!</v>
      </c>
      <c r="E101" s="73" t="e">
        <f>_xlfn.XLOOKUP(G101,#REF!,#REF!)</f>
        <v>#REF!</v>
      </c>
      <c r="F101" s="40"/>
      <c r="G101" s="75"/>
    </row>
    <row r="102" spans="2:7" ht="15.75" x14ac:dyDescent="0.2">
      <c r="B102" s="71" t="e">
        <f>_xlfn.XLOOKUP(G102,#REF!,CONCATENATE(#REF!," -",#REF!," -",#REF!),"No encontrado")</f>
        <v>#REF!</v>
      </c>
      <c r="C102" s="71" t="e">
        <f>_xlfn.XLOOKUP(G102,#REF!,#REF!)</f>
        <v>#REF!</v>
      </c>
      <c r="D102" s="72" t="e">
        <f>_xlfn.XLOOKUP(G102,#REF!,#REF!)</f>
        <v>#REF!</v>
      </c>
      <c r="E102" s="73" t="e">
        <f>_xlfn.XLOOKUP(G102,#REF!,#REF!)</f>
        <v>#REF!</v>
      </c>
      <c r="F102" s="40"/>
      <c r="G102" s="75"/>
    </row>
    <row r="103" spans="2:7" ht="15.75" x14ac:dyDescent="0.2">
      <c r="B103" s="71" t="e">
        <f>_xlfn.XLOOKUP(G103,#REF!,CONCATENATE(#REF!," -",#REF!," -",#REF!),"No encontrado")</f>
        <v>#REF!</v>
      </c>
      <c r="C103" s="71" t="e">
        <f>_xlfn.XLOOKUP(G103,#REF!,#REF!)</f>
        <v>#REF!</v>
      </c>
      <c r="D103" s="72" t="e">
        <f>_xlfn.XLOOKUP(G103,#REF!,#REF!)</f>
        <v>#REF!</v>
      </c>
      <c r="E103" s="73" t="e">
        <f>_xlfn.XLOOKUP(G103,#REF!,#REF!)</f>
        <v>#REF!</v>
      </c>
      <c r="F103" s="40"/>
      <c r="G103" s="75"/>
    </row>
    <row r="104" spans="2:7" ht="15.75" x14ac:dyDescent="0.2">
      <c r="B104" s="71" t="e">
        <f>_xlfn.XLOOKUP(G104,#REF!,CONCATENATE(#REF!," -",#REF!," -",#REF!),"No encontrado")</f>
        <v>#REF!</v>
      </c>
      <c r="C104" s="71" t="e">
        <f>_xlfn.XLOOKUP(G104,#REF!,#REF!)</f>
        <v>#REF!</v>
      </c>
      <c r="D104" s="72" t="e">
        <f>_xlfn.XLOOKUP(G104,#REF!,#REF!)</f>
        <v>#REF!</v>
      </c>
      <c r="E104" s="73" t="e">
        <f>_xlfn.XLOOKUP(G104,#REF!,#REF!)</f>
        <v>#REF!</v>
      </c>
      <c r="F104" s="40"/>
      <c r="G104" s="75"/>
    </row>
    <row r="105" spans="2:7" ht="15.75" x14ac:dyDescent="0.2">
      <c r="B105" s="71" t="e">
        <f>_xlfn.XLOOKUP(G105,#REF!,CONCATENATE(#REF!," -",#REF!," -",#REF!),"No encontrado")</f>
        <v>#REF!</v>
      </c>
      <c r="C105" s="71" t="e">
        <f>_xlfn.XLOOKUP(G105,#REF!,#REF!)</f>
        <v>#REF!</v>
      </c>
      <c r="D105" s="72" t="e">
        <f>_xlfn.XLOOKUP(G105,#REF!,#REF!)</f>
        <v>#REF!</v>
      </c>
      <c r="E105" s="73" t="e">
        <f>_xlfn.XLOOKUP(G105,#REF!,#REF!)</f>
        <v>#REF!</v>
      </c>
      <c r="F105" s="40"/>
      <c r="G105" s="75"/>
    </row>
    <row r="106" spans="2:7" ht="15.75" x14ac:dyDescent="0.2">
      <c r="B106" s="71" t="e">
        <f>_xlfn.XLOOKUP(G106,#REF!,CONCATENATE(#REF!," -",#REF!," -",#REF!),"No encontrado")</f>
        <v>#REF!</v>
      </c>
      <c r="C106" s="71" t="e">
        <f>_xlfn.XLOOKUP(G106,#REF!,#REF!)</f>
        <v>#REF!</v>
      </c>
      <c r="D106" s="72" t="e">
        <f>_xlfn.XLOOKUP(G106,#REF!,#REF!)</f>
        <v>#REF!</v>
      </c>
      <c r="E106" s="73" t="e">
        <f>_xlfn.XLOOKUP(G106,#REF!,#REF!)</f>
        <v>#REF!</v>
      </c>
      <c r="F106" s="40"/>
      <c r="G106" s="75"/>
    </row>
    <row r="107" spans="2:7" ht="15.75" x14ac:dyDescent="0.2">
      <c r="B107" s="71" t="e">
        <f>_xlfn.XLOOKUP(G107,#REF!,CONCATENATE(#REF!," -",#REF!," -",#REF!),"No encontrado")</f>
        <v>#REF!</v>
      </c>
      <c r="C107" s="71" t="e">
        <f>_xlfn.XLOOKUP(G107,#REF!,#REF!)</f>
        <v>#REF!</v>
      </c>
      <c r="D107" s="72" t="e">
        <f>_xlfn.XLOOKUP(G107,#REF!,#REF!)</f>
        <v>#REF!</v>
      </c>
      <c r="E107" s="73" t="e">
        <f>_xlfn.XLOOKUP(G107,#REF!,#REF!)</f>
        <v>#REF!</v>
      </c>
      <c r="F107" s="40"/>
      <c r="G107" s="75"/>
    </row>
    <row r="108" spans="2:7" ht="15.75" x14ac:dyDescent="0.2">
      <c r="B108" s="71" t="e">
        <f>_xlfn.XLOOKUP(G108,#REF!,CONCATENATE(#REF!," -",#REF!," -",#REF!),"No encontrado")</f>
        <v>#REF!</v>
      </c>
      <c r="C108" s="71" t="e">
        <f>_xlfn.XLOOKUP(G108,#REF!,#REF!)</f>
        <v>#REF!</v>
      </c>
      <c r="D108" s="72" t="e">
        <f>_xlfn.XLOOKUP(G108,#REF!,#REF!)</f>
        <v>#REF!</v>
      </c>
      <c r="E108" s="73" t="e">
        <f>_xlfn.XLOOKUP(G108,#REF!,#REF!)</f>
        <v>#REF!</v>
      </c>
      <c r="F108" s="40"/>
      <c r="G108" s="75"/>
    </row>
    <row r="109" spans="2:7" ht="15.75" x14ac:dyDescent="0.2">
      <c r="B109" s="71" t="e">
        <f>_xlfn.XLOOKUP(G109,#REF!,CONCATENATE(#REF!," -",#REF!," -",#REF!),"No encontrado")</f>
        <v>#REF!</v>
      </c>
      <c r="C109" s="71" t="e">
        <f>_xlfn.XLOOKUP(G109,#REF!,#REF!)</f>
        <v>#REF!</v>
      </c>
      <c r="D109" s="72" t="e">
        <f>_xlfn.XLOOKUP(G109,#REF!,#REF!)</f>
        <v>#REF!</v>
      </c>
      <c r="E109" s="73" t="e">
        <f>_xlfn.XLOOKUP(G109,#REF!,#REF!)</f>
        <v>#REF!</v>
      </c>
      <c r="F109" s="40"/>
      <c r="G109" s="75"/>
    </row>
    <row r="110" spans="2:7" ht="15.75" x14ac:dyDescent="0.2">
      <c r="B110" s="71" t="e">
        <f>_xlfn.XLOOKUP(G110,#REF!,CONCATENATE(#REF!," -",#REF!," -",#REF!),"No encontrado")</f>
        <v>#REF!</v>
      </c>
      <c r="C110" s="71" t="e">
        <f>_xlfn.XLOOKUP(G110,#REF!,#REF!)</f>
        <v>#REF!</v>
      </c>
      <c r="D110" s="72" t="e">
        <f>_xlfn.XLOOKUP(G110,#REF!,#REF!)</f>
        <v>#REF!</v>
      </c>
      <c r="E110" s="73" t="e">
        <f>_xlfn.XLOOKUP(G110,#REF!,#REF!)</f>
        <v>#REF!</v>
      </c>
      <c r="F110" s="40"/>
      <c r="G110" s="75"/>
    </row>
    <row r="111" spans="2:7" ht="15.75" x14ac:dyDescent="0.2">
      <c r="B111" s="71" t="e">
        <f>_xlfn.XLOOKUP(G111,#REF!,CONCATENATE(#REF!," -",#REF!," -",#REF!),"No encontrado")</f>
        <v>#REF!</v>
      </c>
      <c r="C111" s="71" t="e">
        <f>_xlfn.XLOOKUP(G111,#REF!,#REF!)</f>
        <v>#REF!</v>
      </c>
      <c r="D111" s="72" t="e">
        <f>_xlfn.XLOOKUP(G111,#REF!,#REF!)</f>
        <v>#REF!</v>
      </c>
      <c r="E111" s="73" t="e">
        <f>_xlfn.XLOOKUP(G111,#REF!,#REF!)</f>
        <v>#REF!</v>
      </c>
      <c r="F111" s="40"/>
      <c r="G111" s="76"/>
    </row>
    <row r="112" spans="2:7" ht="15.75" x14ac:dyDescent="0.2">
      <c r="B112" s="71" t="e">
        <f>_xlfn.XLOOKUP(G112,#REF!,CONCATENATE(#REF!," -",#REF!," -",#REF!),"No encontrado")</f>
        <v>#REF!</v>
      </c>
      <c r="C112" s="71" t="e">
        <f>_xlfn.XLOOKUP(G112,#REF!,#REF!)</f>
        <v>#REF!</v>
      </c>
      <c r="D112" s="72" t="e">
        <f>_xlfn.XLOOKUP(G112,#REF!,#REF!)</f>
        <v>#REF!</v>
      </c>
      <c r="E112" s="73" t="e">
        <f>_xlfn.XLOOKUP(G112,#REF!,#REF!)</f>
        <v>#REF!</v>
      </c>
      <c r="F112" s="40"/>
      <c r="G112" s="42"/>
    </row>
    <row r="113" spans="2:5" ht="15.75" x14ac:dyDescent="0.2">
      <c r="B113" s="71" t="e">
        <f>_xlfn.XLOOKUP(G113,#REF!,CONCATENATE(#REF!," -",#REF!," -",#REF!),"No encontrado")</f>
        <v>#REF!</v>
      </c>
      <c r="C113" s="71" t="e">
        <f>_xlfn.XLOOKUP(G113,#REF!,#REF!)</f>
        <v>#REF!</v>
      </c>
      <c r="D113" s="72" t="e">
        <f>_xlfn.XLOOKUP(G113,#REF!,#REF!)</f>
        <v>#REF!</v>
      </c>
      <c r="E113" s="73" t="e">
        <f>_xlfn.XLOOKUP(G113,#REF!,#REF!)</f>
        <v>#REF!</v>
      </c>
    </row>
    <row r="114" spans="2:5" ht="15.75" x14ac:dyDescent="0.2">
      <c r="B114" s="71" t="e">
        <f>_xlfn.XLOOKUP(G114,#REF!,CONCATENATE(#REF!," -",#REF!," -",#REF!),"No encontrado")</f>
        <v>#REF!</v>
      </c>
      <c r="C114" s="71" t="e">
        <f>_xlfn.XLOOKUP(G114,#REF!,#REF!)</f>
        <v>#REF!</v>
      </c>
      <c r="D114" s="72" t="e">
        <f>_xlfn.XLOOKUP(G114,#REF!,#REF!)</f>
        <v>#REF!</v>
      </c>
      <c r="E114" s="73" t="e">
        <f>_xlfn.XLOOKUP(G114,#REF!,#REF!)</f>
        <v>#REF!</v>
      </c>
    </row>
    <row r="115" spans="2:5" ht="15.75" x14ac:dyDescent="0.2">
      <c r="B115" s="71" t="e">
        <f>_xlfn.XLOOKUP(G115,#REF!,CONCATENATE(#REF!," -",#REF!," -",#REF!),"No encontrado")</f>
        <v>#REF!</v>
      </c>
      <c r="C115" s="71" t="e">
        <f>_xlfn.XLOOKUP(G115,#REF!,#REF!)</f>
        <v>#REF!</v>
      </c>
      <c r="D115" s="72" t="e">
        <f>_xlfn.XLOOKUP(G115,#REF!,#REF!)</f>
        <v>#REF!</v>
      </c>
      <c r="E115" s="73" t="e">
        <f>_xlfn.XLOOKUP(G115,#REF!,#REF!)</f>
        <v>#REF!</v>
      </c>
    </row>
    <row r="116" spans="2:5" ht="15.75" x14ac:dyDescent="0.2">
      <c r="B116" s="71" t="e">
        <f>_xlfn.XLOOKUP(G116,#REF!,CONCATENATE(#REF!," -",#REF!," -",#REF!),"No encontrado")</f>
        <v>#REF!</v>
      </c>
      <c r="C116" s="71" t="e">
        <f>_xlfn.XLOOKUP(G116,#REF!,#REF!)</f>
        <v>#REF!</v>
      </c>
      <c r="D116" s="72" t="e">
        <f>_xlfn.XLOOKUP(G116,#REF!,#REF!)</f>
        <v>#REF!</v>
      </c>
      <c r="E116" s="73" t="e">
        <f>_xlfn.XLOOKUP(G116,#REF!,#REF!)</f>
        <v>#REF!</v>
      </c>
    </row>
    <row r="117" spans="2:5" ht="15.75" x14ac:dyDescent="0.2">
      <c r="B117" s="71" t="e">
        <f>_xlfn.XLOOKUP(G117,#REF!,CONCATENATE(#REF!," -",#REF!," -",#REF!),"No encontrado")</f>
        <v>#REF!</v>
      </c>
      <c r="C117" s="71" t="e">
        <f>_xlfn.XLOOKUP(G117,#REF!,#REF!)</f>
        <v>#REF!</v>
      </c>
      <c r="D117" s="72" t="e">
        <f>_xlfn.XLOOKUP(G117,#REF!,#REF!)</f>
        <v>#REF!</v>
      </c>
      <c r="E117" s="73" t="e">
        <f>_xlfn.XLOOKUP(G117,#REF!,#REF!)</f>
        <v>#REF!</v>
      </c>
    </row>
    <row r="118" spans="2:5" ht="15.75" x14ac:dyDescent="0.2">
      <c r="B118" s="71" t="e">
        <f>_xlfn.XLOOKUP(G118,#REF!,CONCATENATE(#REF!," -",#REF!," -",#REF!),"No encontrado")</f>
        <v>#REF!</v>
      </c>
      <c r="C118" s="71" t="e">
        <f>_xlfn.XLOOKUP(G118,#REF!,#REF!)</f>
        <v>#REF!</v>
      </c>
      <c r="D118" s="72" t="e">
        <f>_xlfn.XLOOKUP(G118,#REF!,#REF!)</f>
        <v>#REF!</v>
      </c>
      <c r="E118" s="73" t="e">
        <f>_xlfn.XLOOKUP(G118,#REF!,#REF!)</f>
        <v>#REF!</v>
      </c>
    </row>
    <row r="119" spans="2:5" ht="15.75" x14ac:dyDescent="0.2">
      <c r="B119" s="71" t="e">
        <f>_xlfn.XLOOKUP(G119,#REF!,CONCATENATE(#REF!," -",#REF!," -",#REF!),"No encontrado")</f>
        <v>#REF!</v>
      </c>
      <c r="C119" s="71" t="e">
        <f>_xlfn.XLOOKUP(G119,#REF!,#REF!)</f>
        <v>#REF!</v>
      </c>
      <c r="D119" s="72" t="e">
        <f>_xlfn.XLOOKUP(G119,#REF!,#REF!)</f>
        <v>#REF!</v>
      </c>
      <c r="E119" s="73" t="e">
        <f>_xlfn.XLOOKUP(G119,#REF!,#REF!)</f>
        <v>#REF!</v>
      </c>
    </row>
    <row r="120" spans="2:5" ht="15.75" x14ac:dyDescent="0.2">
      <c r="B120" s="71" t="e">
        <f>_xlfn.XLOOKUP(G120,#REF!,CONCATENATE(#REF!," -",#REF!," -",#REF!),"No encontrado")</f>
        <v>#REF!</v>
      </c>
      <c r="C120" s="71" t="e">
        <f>_xlfn.XLOOKUP(G120,#REF!,#REF!)</f>
        <v>#REF!</v>
      </c>
      <c r="D120" s="72" t="e">
        <f>_xlfn.XLOOKUP(G120,#REF!,#REF!)</f>
        <v>#REF!</v>
      </c>
      <c r="E120" s="73" t="e">
        <f>_xlfn.XLOOKUP(G120,#REF!,#REF!)</f>
        <v>#REF!</v>
      </c>
    </row>
    <row r="121" spans="2:5" ht="15.75" x14ac:dyDescent="0.2">
      <c r="B121" s="71" t="e">
        <f>_xlfn.XLOOKUP(G121,#REF!,CONCATENATE(#REF!," -",#REF!," -",#REF!),"No encontrado")</f>
        <v>#REF!</v>
      </c>
      <c r="C121" s="71" t="e">
        <f>_xlfn.XLOOKUP(G121,#REF!,#REF!)</f>
        <v>#REF!</v>
      </c>
      <c r="D121" s="72" t="e">
        <f>_xlfn.XLOOKUP(G121,#REF!,#REF!)</f>
        <v>#REF!</v>
      </c>
      <c r="E121" s="73" t="e">
        <f>_xlfn.XLOOKUP(G121,#REF!,#REF!)</f>
        <v>#REF!</v>
      </c>
    </row>
    <row r="122" spans="2:5" ht="15.75" x14ac:dyDescent="0.2">
      <c r="B122" s="71" t="e">
        <f>_xlfn.XLOOKUP(G122,#REF!,CONCATENATE(#REF!," -",#REF!," -",#REF!),"No encontrado")</f>
        <v>#REF!</v>
      </c>
      <c r="C122" s="71" t="e">
        <f>_xlfn.XLOOKUP(G122,#REF!,#REF!)</f>
        <v>#REF!</v>
      </c>
      <c r="D122" s="72" t="e">
        <f>_xlfn.XLOOKUP(G122,#REF!,#REF!)</f>
        <v>#REF!</v>
      </c>
      <c r="E122" s="73" t="e">
        <f>_xlfn.XLOOKUP(G122,#REF!,#REF!)</f>
        <v>#REF!</v>
      </c>
    </row>
    <row r="123" spans="2:5" ht="15.75" x14ac:dyDescent="0.2">
      <c r="B123" s="71" t="e">
        <f>_xlfn.XLOOKUP(G123,#REF!,CONCATENATE(#REF!," -",#REF!," -",#REF!),"No encontrado")</f>
        <v>#REF!</v>
      </c>
      <c r="C123" s="71" t="e">
        <f>_xlfn.XLOOKUP(G123,#REF!,#REF!)</f>
        <v>#REF!</v>
      </c>
      <c r="D123" s="72" t="e">
        <f>_xlfn.XLOOKUP(G123,#REF!,#REF!)</f>
        <v>#REF!</v>
      </c>
      <c r="E123" s="73" t="e">
        <f>_xlfn.XLOOKUP(G123,#REF!,#REF!)</f>
        <v>#REF!</v>
      </c>
    </row>
    <row r="124" spans="2:5" ht="15.75" x14ac:dyDescent="0.2">
      <c r="B124" s="71" t="e">
        <f>_xlfn.XLOOKUP(G124,#REF!,CONCATENATE(#REF!," -",#REF!," -",#REF!),"No encontrado")</f>
        <v>#REF!</v>
      </c>
      <c r="C124" s="71" t="e">
        <f>_xlfn.XLOOKUP(G124,#REF!,#REF!)</f>
        <v>#REF!</v>
      </c>
      <c r="D124" s="72" t="e">
        <f>_xlfn.XLOOKUP(G124,#REF!,#REF!)</f>
        <v>#REF!</v>
      </c>
      <c r="E124" s="73" t="e">
        <f>_xlfn.XLOOKUP(G124,#REF!,#REF!)</f>
        <v>#REF!</v>
      </c>
    </row>
    <row r="125" spans="2:5" ht="15.75" x14ac:dyDescent="0.2">
      <c r="B125" s="71" t="e">
        <f>_xlfn.XLOOKUP(G125,#REF!,CONCATENATE(#REF!," -",#REF!," -",#REF!),"No encontrado")</f>
        <v>#REF!</v>
      </c>
      <c r="C125" s="71" t="e">
        <f>_xlfn.XLOOKUP(G125,#REF!,#REF!)</f>
        <v>#REF!</v>
      </c>
      <c r="D125" s="72" t="e">
        <f>_xlfn.XLOOKUP(G125,#REF!,#REF!)</f>
        <v>#REF!</v>
      </c>
      <c r="E125" s="73" t="e">
        <f>_xlfn.XLOOKUP(G125,#REF!,#REF!)</f>
        <v>#REF!</v>
      </c>
    </row>
    <row r="126" spans="2:5" ht="15.75" x14ac:dyDescent="0.2">
      <c r="B126" s="71" t="e">
        <f>_xlfn.XLOOKUP(G126,#REF!,CONCATENATE(#REF!," -",#REF!," -",#REF!),"No encontrado")</f>
        <v>#REF!</v>
      </c>
      <c r="C126" s="71" t="e">
        <f>_xlfn.XLOOKUP(G126,#REF!,#REF!)</f>
        <v>#REF!</v>
      </c>
      <c r="D126" s="72" t="e">
        <f>_xlfn.XLOOKUP(G126,#REF!,#REF!)</f>
        <v>#REF!</v>
      </c>
      <c r="E126" s="73" t="e">
        <f>_xlfn.XLOOKUP(G126,#REF!,#REF!)</f>
        <v>#REF!</v>
      </c>
    </row>
    <row r="127" spans="2:5" ht="15.75" x14ac:dyDescent="0.2">
      <c r="B127" s="71" t="e">
        <f>_xlfn.XLOOKUP(G127,#REF!,CONCATENATE(#REF!," -",#REF!," -",#REF!),"No encontrado")</f>
        <v>#REF!</v>
      </c>
      <c r="C127" s="71" t="e">
        <f>_xlfn.XLOOKUP(G127,#REF!,#REF!)</f>
        <v>#REF!</v>
      </c>
      <c r="D127" s="72" t="e">
        <f>_xlfn.XLOOKUP(G127,#REF!,#REF!)</f>
        <v>#REF!</v>
      </c>
      <c r="E127" s="73" t="e">
        <f>_xlfn.XLOOKUP(G127,#REF!,#REF!)</f>
        <v>#REF!</v>
      </c>
    </row>
    <row r="128" spans="2:5" ht="15.75" x14ac:dyDescent="0.2">
      <c r="B128" s="71" t="e">
        <f>_xlfn.XLOOKUP(G128,#REF!,CONCATENATE(#REF!," -",#REF!," -",#REF!),"No encontrado")</f>
        <v>#REF!</v>
      </c>
      <c r="C128" s="71" t="e">
        <f>_xlfn.XLOOKUP(G128,#REF!,#REF!)</f>
        <v>#REF!</v>
      </c>
      <c r="D128" s="72" t="e">
        <f>_xlfn.XLOOKUP(G128,#REF!,#REF!)</f>
        <v>#REF!</v>
      </c>
      <c r="E128" s="73" t="e">
        <f>_xlfn.XLOOKUP(G128,#REF!,#REF!)</f>
        <v>#REF!</v>
      </c>
    </row>
    <row r="129" spans="2:5" ht="15.75" x14ac:dyDescent="0.2">
      <c r="B129" s="71" t="e">
        <f>_xlfn.XLOOKUP(G129,#REF!,CONCATENATE(#REF!," -",#REF!," -",#REF!),"No encontrado")</f>
        <v>#REF!</v>
      </c>
      <c r="C129" s="71" t="e">
        <f>_xlfn.XLOOKUP(G129,#REF!,#REF!)</f>
        <v>#REF!</v>
      </c>
      <c r="D129" s="72" t="e">
        <f>_xlfn.XLOOKUP(G129,#REF!,#REF!)</f>
        <v>#REF!</v>
      </c>
      <c r="E129" s="73" t="e">
        <f>_xlfn.XLOOKUP(G129,#REF!,#REF!)</f>
        <v>#REF!</v>
      </c>
    </row>
    <row r="130" spans="2:5" ht="15.75" x14ac:dyDescent="0.2">
      <c r="B130" s="71" t="e">
        <f>_xlfn.XLOOKUP(G130,#REF!,CONCATENATE(#REF!," -",#REF!," -",#REF!),"No encontrado")</f>
        <v>#REF!</v>
      </c>
      <c r="C130" s="71" t="e">
        <f>_xlfn.XLOOKUP(G130,#REF!,#REF!)</f>
        <v>#REF!</v>
      </c>
      <c r="D130" s="72" t="e">
        <f>_xlfn.XLOOKUP(G130,#REF!,#REF!)</f>
        <v>#REF!</v>
      </c>
      <c r="E130" s="73" t="e">
        <f>_xlfn.XLOOKUP(G130,#REF!,#REF!)</f>
        <v>#REF!</v>
      </c>
    </row>
    <row r="131" spans="2:5" ht="15.75" x14ac:dyDescent="0.2">
      <c r="B131" s="71" t="e">
        <f>_xlfn.XLOOKUP(G131,#REF!,CONCATENATE(#REF!," -",#REF!," -",#REF!),"No encontrado")</f>
        <v>#REF!</v>
      </c>
      <c r="C131" s="71" t="e">
        <f>_xlfn.XLOOKUP(G131,#REF!,#REF!)</f>
        <v>#REF!</v>
      </c>
      <c r="D131" s="72" t="e">
        <f>_xlfn.XLOOKUP(G131,#REF!,#REF!)</f>
        <v>#REF!</v>
      </c>
      <c r="E131" s="73" t="e">
        <f>_xlfn.XLOOKUP(G131,#REF!,#REF!)</f>
        <v>#REF!</v>
      </c>
    </row>
    <row r="132" spans="2:5" ht="15.75" x14ac:dyDescent="0.2">
      <c r="B132" s="71" t="e">
        <f>_xlfn.XLOOKUP(G132,#REF!,CONCATENATE(#REF!," -",#REF!," -",#REF!),"No encontrado")</f>
        <v>#REF!</v>
      </c>
      <c r="C132" s="71" t="e">
        <f>_xlfn.XLOOKUP(G132,#REF!,#REF!)</f>
        <v>#REF!</v>
      </c>
      <c r="D132" s="72" t="e">
        <f>_xlfn.XLOOKUP(G132,#REF!,#REF!)</f>
        <v>#REF!</v>
      </c>
      <c r="E132" s="73" t="e">
        <f>_xlfn.XLOOKUP(G132,#REF!,#REF!)</f>
        <v>#REF!</v>
      </c>
    </row>
    <row r="133" spans="2:5" ht="15.75" x14ac:dyDescent="0.2">
      <c r="B133" s="71" t="e">
        <f>_xlfn.XLOOKUP(G133,#REF!,CONCATENATE(#REF!," -",#REF!," -",#REF!),"No encontrado")</f>
        <v>#REF!</v>
      </c>
      <c r="C133" s="71" t="e">
        <f>_xlfn.XLOOKUP(G133,#REF!,#REF!)</f>
        <v>#REF!</v>
      </c>
      <c r="D133" s="72" t="e">
        <f>_xlfn.XLOOKUP(G133,#REF!,#REF!)</f>
        <v>#REF!</v>
      </c>
      <c r="E133" s="73" t="e">
        <f>_xlfn.XLOOKUP(G133,#REF!,#REF!)</f>
        <v>#REF!</v>
      </c>
    </row>
    <row r="134" spans="2:5" ht="15.75" x14ac:dyDescent="0.2">
      <c r="B134" s="71" t="e">
        <f>_xlfn.XLOOKUP(G134,#REF!,CONCATENATE(#REF!," -",#REF!," -",#REF!),"No encontrado")</f>
        <v>#REF!</v>
      </c>
      <c r="C134" s="71" t="e">
        <f>_xlfn.XLOOKUP(G134,#REF!,#REF!)</f>
        <v>#REF!</v>
      </c>
      <c r="D134" s="72" t="e">
        <f>_xlfn.XLOOKUP(G134,#REF!,#REF!)</f>
        <v>#REF!</v>
      </c>
      <c r="E134" s="73" t="e">
        <f>_xlfn.XLOOKUP(G134,#REF!,#REF!)</f>
        <v>#REF!</v>
      </c>
    </row>
    <row r="135" spans="2:5" ht="15.75" x14ac:dyDescent="0.2">
      <c r="B135" s="71" t="e">
        <f>_xlfn.XLOOKUP(G135,#REF!,CONCATENATE(#REF!," -",#REF!," -",#REF!),"No encontrado")</f>
        <v>#REF!</v>
      </c>
      <c r="C135" s="71" t="e">
        <f>_xlfn.XLOOKUP(G135,#REF!,#REF!)</f>
        <v>#REF!</v>
      </c>
      <c r="D135" s="72" t="e">
        <f>_xlfn.XLOOKUP(G135,#REF!,#REF!)</f>
        <v>#REF!</v>
      </c>
      <c r="E135" s="73" t="e">
        <f>_xlfn.XLOOKUP(G135,#REF!,#REF!)</f>
        <v>#REF!</v>
      </c>
    </row>
    <row r="136" spans="2:5" ht="15.75" x14ac:dyDescent="0.2">
      <c r="B136" s="71" t="e">
        <f>_xlfn.XLOOKUP(G136,#REF!,CONCATENATE(#REF!," -",#REF!," -",#REF!),"No encontrado")</f>
        <v>#REF!</v>
      </c>
      <c r="C136" s="71" t="e">
        <f>_xlfn.XLOOKUP(G136,#REF!,#REF!)</f>
        <v>#REF!</v>
      </c>
      <c r="D136" s="72" t="e">
        <f>_xlfn.XLOOKUP(G136,#REF!,#REF!)</f>
        <v>#REF!</v>
      </c>
      <c r="E136" s="73" t="e">
        <f>_xlfn.XLOOKUP(G136,#REF!,#REF!)</f>
        <v>#REF!</v>
      </c>
    </row>
    <row r="137" spans="2:5" ht="15.75" x14ac:dyDescent="0.2">
      <c r="B137" s="71" t="e">
        <f>_xlfn.XLOOKUP(G137,#REF!,CONCATENATE(#REF!," -",#REF!," -",#REF!),"No encontrado")</f>
        <v>#REF!</v>
      </c>
      <c r="C137" s="71" t="e">
        <f>_xlfn.XLOOKUP(G137,#REF!,#REF!)</f>
        <v>#REF!</v>
      </c>
      <c r="D137" s="72" t="e">
        <f>_xlfn.XLOOKUP(G137,#REF!,#REF!)</f>
        <v>#REF!</v>
      </c>
      <c r="E137" s="73" t="e">
        <f>_xlfn.XLOOKUP(G137,#REF!,#REF!)</f>
        <v>#REF!</v>
      </c>
    </row>
    <row r="138" spans="2:5" ht="15.75" x14ac:dyDescent="0.2">
      <c r="B138" s="71" t="e">
        <f>_xlfn.XLOOKUP(G138,#REF!,CONCATENATE(#REF!," -",#REF!," -",#REF!),"No encontrado")</f>
        <v>#REF!</v>
      </c>
      <c r="C138" s="71" t="e">
        <f>_xlfn.XLOOKUP(G138,#REF!,#REF!)</f>
        <v>#REF!</v>
      </c>
      <c r="D138" s="72" t="e">
        <f>_xlfn.XLOOKUP(G138,#REF!,#REF!)</f>
        <v>#REF!</v>
      </c>
      <c r="E138" s="73" t="e">
        <f>_xlfn.XLOOKUP(G138,#REF!,#REF!)</f>
        <v>#REF!</v>
      </c>
    </row>
    <row r="139" spans="2:5" ht="15.75" x14ac:dyDescent="0.2">
      <c r="B139" s="71" t="e">
        <f>_xlfn.XLOOKUP(G139,#REF!,CONCATENATE(#REF!," -",#REF!," -",#REF!),"No encontrado")</f>
        <v>#REF!</v>
      </c>
      <c r="C139" s="71" t="e">
        <f>_xlfn.XLOOKUP(G139,#REF!,#REF!)</f>
        <v>#REF!</v>
      </c>
      <c r="D139" s="72" t="e">
        <f>_xlfn.XLOOKUP(G139,#REF!,#REF!)</f>
        <v>#REF!</v>
      </c>
      <c r="E139" s="73" t="e">
        <f>_xlfn.XLOOKUP(G139,#REF!,#REF!)</f>
        <v>#REF!</v>
      </c>
    </row>
    <row r="140" spans="2:5" ht="15.75" x14ac:dyDescent="0.2">
      <c r="B140" s="71" t="e">
        <f>_xlfn.XLOOKUP(G140,#REF!,CONCATENATE(#REF!," -",#REF!," -",#REF!),"No encontrado")</f>
        <v>#REF!</v>
      </c>
      <c r="C140" s="71" t="e">
        <f>_xlfn.XLOOKUP(G140,#REF!,#REF!)</f>
        <v>#REF!</v>
      </c>
      <c r="D140" s="72" t="e">
        <f>_xlfn.XLOOKUP(G140,#REF!,#REF!)</f>
        <v>#REF!</v>
      </c>
      <c r="E140" s="73" t="e">
        <f>_xlfn.XLOOKUP(G140,#REF!,#REF!)</f>
        <v>#REF!</v>
      </c>
    </row>
    <row r="141" spans="2:5" ht="15.75" x14ac:dyDescent="0.2">
      <c r="B141" s="71" t="e">
        <f>_xlfn.XLOOKUP(G141,#REF!,CONCATENATE(#REF!," -",#REF!," -",#REF!),"No encontrado")</f>
        <v>#REF!</v>
      </c>
      <c r="C141" s="71" t="e">
        <f>_xlfn.XLOOKUP(G141,#REF!,#REF!)</f>
        <v>#REF!</v>
      </c>
      <c r="D141" s="72" t="e">
        <f>_xlfn.XLOOKUP(G141,#REF!,#REF!)</f>
        <v>#REF!</v>
      </c>
      <c r="E141" s="73" t="e">
        <f>_xlfn.XLOOKUP(G141,#REF!,#REF!)</f>
        <v>#REF!</v>
      </c>
    </row>
    <row r="142" spans="2:5" ht="15.75" x14ac:dyDescent="0.2">
      <c r="B142" s="71" t="e">
        <f>_xlfn.XLOOKUP(G142,#REF!,CONCATENATE(#REF!," -",#REF!," -",#REF!),"No encontrado")</f>
        <v>#REF!</v>
      </c>
      <c r="C142" s="71" t="e">
        <f>_xlfn.XLOOKUP(G142,#REF!,#REF!)</f>
        <v>#REF!</v>
      </c>
      <c r="D142" s="72" t="e">
        <f>_xlfn.XLOOKUP(G142,#REF!,#REF!)</f>
        <v>#REF!</v>
      </c>
      <c r="E142" s="73" t="e">
        <f>_xlfn.XLOOKUP(G142,#REF!,#REF!)</f>
        <v>#REF!</v>
      </c>
    </row>
    <row r="143" spans="2:5" ht="15.75" x14ac:dyDescent="0.2">
      <c r="B143" s="71" t="e">
        <f>_xlfn.XLOOKUP(G143,#REF!,CONCATENATE(#REF!," -",#REF!," -",#REF!),"No encontrado")</f>
        <v>#REF!</v>
      </c>
      <c r="C143" s="71" t="e">
        <f>_xlfn.XLOOKUP(G143,#REF!,#REF!)</f>
        <v>#REF!</v>
      </c>
      <c r="D143" s="72" t="e">
        <f>_xlfn.XLOOKUP(G143,#REF!,#REF!)</f>
        <v>#REF!</v>
      </c>
      <c r="E143" s="73" t="e">
        <f>_xlfn.XLOOKUP(G143,#REF!,#REF!)</f>
        <v>#REF!</v>
      </c>
    </row>
    <row r="144" spans="2:5" ht="15.75" x14ac:dyDescent="0.2">
      <c r="B144" s="71" t="e">
        <f>_xlfn.XLOOKUP(G144,#REF!,CONCATENATE(#REF!," -",#REF!," -",#REF!),"No encontrado")</f>
        <v>#REF!</v>
      </c>
      <c r="C144" s="71" t="e">
        <f>_xlfn.XLOOKUP(G144,#REF!,#REF!)</f>
        <v>#REF!</v>
      </c>
      <c r="D144" s="72" t="e">
        <f>_xlfn.XLOOKUP(G144,#REF!,#REF!)</f>
        <v>#REF!</v>
      </c>
      <c r="E144" s="73" t="e">
        <f>_xlfn.XLOOKUP(G144,#REF!,#REF!)</f>
        <v>#REF!</v>
      </c>
    </row>
    <row r="145" spans="2:5" ht="15.75" x14ac:dyDescent="0.2">
      <c r="B145" s="71" t="e">
        <f>_xlfn.XLOOKUP(G145,#REF!,CONCATENATE(#REF!," -",#REF!," -",#REF!),"No encontrado")</f>
        <v>#REF!</v>
      </c>
      <c r="C145" s="71" t="e">
        <f>_xlfn.XLOOKUP(G145,#REF!,#REF!)</f>
        <v>#REF!</v>
      </c>
      <c r="D145" s="72" t="e">
        <f>_xlfn.XLOOKUP(G145,#REF!,#REF!)</f>
        <v>#REF!</v>
      </c>
      <c r="E145" s="73" t="e">
        <f>_xlfn.XLOOKUP(G145,#REF!,#REF!)</f>
        <v>#REF!</v>
      </c>
    </row>
    <row r="146" spans="2:5" ht="15.75" x14ac:dyDescent="0.2">
      <c r="B146" s="71" t="e">
        <f>_xlfn.XLOOKUP(G146,#REF!,CONCATENATE(#REF!," -",#REF!," -",#REF!),"No encontrado")</f>
        <v>#REF!</v>
      </c>
      <c r="C146" s="71" t="e">
        <f>_xlfn.XLOOKUP(G146,#REF!,#REF!)</f>
        <v>#REF!</v>
      </c>
      <c r="D146" s="72" t="e">
        <f>_xlfn.XLOOKUP(G146,#REF!,#REF!)</f>
        <v>#REF!</v>
      </c>
      <c r="E146" s="73" t="e">
        <f>_xlfn.XLOOKUP(G146,#REF!,#REF!)</f>
        <v>#REF!</v>
      </c>
    </row>
    <row r="147" spans="2:5" ht="15.75" x14ac:dyDescent="0.2">
      <c r="B147" s="71" t="e">
        <f>_xlfn.XLOOKUP(G147,#REF!,CONCATENATE(#REF!," -",#REF!," -",#REF!),"No encontrado")</f>
        <v>#REF!</v>
      </c>
      <c r="C147" s="71" t="e">
        <f>_xlfn.XLOOKUP(G147,#REF!,#REF!)</f>
        <v>#REF!</v>
      </c>
      <c r="D147" s="72" t="e">
        <f>_xlfn.XLOOKUP(G147,#REF!,#REF!)</f>
        <v>#REF!</v>
      </c>
      <c r="E147" s="73" t="e">
        <f>_xlfn.XLOOKUP(G147,#REF!,#REF!)</f>
        <v>#REF!</v>
      </c>
    </row>
    <row r="148" spans="2:5" ht="15.75" x14ac:dyDescent="0.2">
      <c r="B148" s="71" t="e">
        <f>_xlfn.XLOOKUP(G148,#REF!,CONCATENATE(#REF!," -",#REF!," -",#REF!),"No encontrado")</f>
        <v>#REF!</v>
      </c>
      <c r="C148" s="71" t="e">
        <f>_xlfn.XLOOKUP(G148,#REF!,#REF!)</f>
        <v>#REF!</v>
      </c>
      <c r="D148" s="72" t="e">
        <f>_xlfn.XLOOKUP(G148,#REF!,#REF!)</f>
        <v>#REF!</v>
      </c>
      <c r="E148" s="73" t="e">
        <f>_xlfn.XLOOKUP(G148,#REF!,#REF!)</f>
        <v>#REF!</v>
      </c>
    </row>
    <row r="149" spans="2:5" ht="15.75" x14ac:dyDescent="0.2">
      <c r="B149" s="71" t="e">
        <f>_xlfn.XLOOKUP(G149,#REF!,CONCATENATE(#REF!," -",#REF!," -",#REF!),"No encontrado")</f>
        <v>#REF!</v>
      </c>
      <c r="C149" s="71" t="e">
        <f>_xlfn.XLOOKUP(G149,#REF!,#REF!)</f>
        <v>#REF!</v>
      </c>
      <c r="D149" s="72" t="e">
        <f>_xlfn.XLOOKUP(G149,#REF!,#REF!)</f>
        <v>#REF!</v>
      </c>
      <c r="E149" s="73" t="e">
        <f>_xlfn.XLOOKUP(G149,#REF!,#REF!)</f>
        <v>#REF!</v>
      </c>
    </row>
    <row r="150" spans="2:5" ht="15.75" x14ac:dyDescent="0.2">
      <c r="B150" s="71" t="e">
        <f>_xlfn.XLOOKUP(G150,#REF!,CONCATENATE(#REF!," -",#REF!," -",#REF!),"No encontrado")</f>
        <v>#REF!</v>
      </c>
      <c r="C150" s="71" t="e">
        <f>_xlfn.XLOOKUP(G150,#REF!,#REF!)</f>
        <v>#REF!</v>
      </c>
      <c r="D150" s="72" t="e">
        <f>_xlfn.XLOOKUP(G150,#REF!,#REF!)</f>
        <v>#REF!</v>
      </c>
      <c r="E150" s="73" t="e">
        <f>_xlfn.XLOOKUP(G150,#REF!,#REF!)</f>
        <v>#REF!</v>
      </c>
    </row>
    <row r="151" spans="2:5" ht="15.75" x14ac:dyDescent="0.2">
      <c r="B151" s="71" t="e">
        <f>_xlfn.XLOOKUP(G151,#REF!,CONCATENATE(#REF!," -",#REF!," -",#REF!),"No encontrado")</f>
        <v>#REF!</v>
      </c>
      <c r="C151" s="71" t="e">
        <f>_xlfn.XLOOKUP(G151,#REF!,#REF!)</f>
        <v>#REF!</v>
      </c>
      <c r="D151" s="72" t="e">
        <f>_xlfn.XLOOKUP(G151,#REF!,#REF!)</f>
        <v>#REF!</v>
      </c>
      <c r="E151" s="73" t="e">
        <f>_xlfn.XLOOKUP(G151,#REF!,#REF!)</f>
        <v>#REF!</v>
      </c>
    </row>
    <row r="152" spans="2:5" ht="15.75" x14ac:dyDescent="0.2">
      <c r="B152" s="71" t="e">
        <f>_xlfn.XLOOKUP(G152,#REF!,CONCATENATE(#REF!," -",#REF!," -",#REF!),"No encontrado")</f>
        <v>#REF!</v>
      </c>
      <c r="C152" s="71" t="e">
        <f>_xlfn.XLOOKUP(G152,#REF!,#REF!)</f>
        <v>#REF!</v>
      </c>
      <c r="D152" s="72" t="e">
        <f>_xlfn.XLOOKUP(G152,#REF!,#REF!)</f>
        <v>#REF!</v>
      </c>
      <c r="E152" s="73" t="e">
        <f>_xlfn.XLOOKUP(G152,#REF!,#REF!)</f>
        <v>#REF!</v>
      </c>
    </row>
    <row r="153" spans="2:5" ht="15.75" x14ac:dyDescent="0.2">
      <c r="B153" s="71" t="e">
        <f>_xlfn.XLOOKUP(G153,#REF!,CONCATENATE(#REF!," -",#REF!," -",#REF!),"No encontrado")</f>
        <v>#REF!</v>
      </c>
      <c r="C153" s="71" t="e">
        <f>_xlfn.XLOOKUP(G153,#REF!,#REF!)</f>
        <v>#REF!</v>
      </c>
      <c r="D153" s="72" t="e">
        <f>_xlfn.XLOOKUP(G153,#REF!,#REF!)</f>
        <v>#REF!</v>
      </c>
      <c r="E153" s="73" t="e">
        <f>_xlfn.XLOOKUP(G153,#REF!,#REF!)</f>
        <v>#REF!</v>
      </c>
    </row>
    <row r="154" spans="2:5" ht="15.75" x14ac:dyDescent="0.2">
      <c r="B154" s="71" t="e">
        <f>_xlfn.XLOOKUP(G154,#REF!,CONCATENATE(#REF!," -",#REF!," -",#REF!),"No encontrado")</f>
        <v>#REF!</v>
      </c>
      <c r="C154" s="71" t="e">
        <f>_xlfn.XLOOKUP(G154,#REF!,#REF!)</f>
        <v>#REF!</v>
      </c>
      <c r="D154" s="72" t="e">
        <f>_xlfn.XLOOKUP(G154,#REF!,#REF!)</f>
        <v>#REF!</v>
      </c>
      <c r="E154" s="73" t="e">
        <f>_xlfn.XLOOKUP(G154,#REF!,#REF!)</f>
        <v>#REF!</v>
      </c>
    </row>
    <row r="155" spans="2:5" ht="15.75" x14ac:dyDescent="0.2">
      <c r="B155" s="71" t="e">
        <f>_xlfn.XLOOKUP(G155,#REF!,CONCATENATE(#REF!," -",#REF!," -",#REF!),"No encontrado")</f>
        <v>#REF!</v>
      </c>
      <c r="C155" s="71" t="e">
        <f>_xlfn.XLOOKUP(G155,#REF!,#REF!)</f>
        <v>#REF!</v>
      </c>
      <c r="D155" s="72" t="e">
        <f>_xlfn.XLOOKUP(G155,#REF!,#REF!)</f>
        <v>#REF!</v>
      </c>
      <c r="E155" s="73" t="e">
        <f>_xlfn.XLOOKUP(G155,#REF!,#REF!)</f>
        <v>#REF!</v>
      </c>
    </row>
    <row r="156" spans="2:5" ht="15.75" x14ac:dyDescent="0.2">
      <c r="B156" s="71" t="e">
        <f>_xlfn.XLOOKUP(G156,#REF!,CONCATENATE(#REF!," -",#REF!," -",#REF!),"No encontrado")</f>
        <v>#REF!</v>
      </c>
      <c r="C156" s="71" t="e">
        <f>_xlfn.XLOOKUP(G156,#REF!,#REF!)</f>
        <v>#REF!</v>
      </c>
      <c r="D156" s="72" t="e">
        <f>_xlfn.XLOOKUP(G156,#REF!,#REF!)</f>
        <v>#REF!</v>
      </c>
      <c r="E156" s="73" t="e">
        <f>_xlfn.XLOOKUP(G156,#REF!,#REF!)</f>
        <v>#REF!</v>
      </c>
    </row>
    <row r="157" spans="2:5" ht="15.75" x14ac:dyDescent="0.2">
      <c r="B157" s="71" t="e">
        <f>_xlfn.XLOOKUP(G157,#REF!,CONCATENATE(#REF!," -",#REF!," -",#REF!),"No encontrado")</f>
        <v>#REF!</v>
      </c>
      <c r="C157" s="71" t="e">
        <f>_xlfn.XLOOKUP(G157,#REF!,#REF!)</f>
        <v>#REF!</v>
      </c>
      <c r="D157" s="72" t="e">
        <f>_xlfn.XLOOKUP(G157,#REF!,#REF!)</f>
        <v>#REF!</v>
      </c>
      <c r="E157" s="73" t="e">
        <f>_xlfn.XLOOKUP(G157,#REF!,#REF!)</f>
        <v>#REF!</v>
      </c>
    </row>
    <row r="158" spans="2:5" ht="15.75" x14ac:dyDescent="0.2">
      <c r="B158" s="71" t="e">
        <f>_xlfn.XLOOKUP(G158,#REF!,CONCATENATE(#REF!," -",#REF!," -",#REF!),"No encontrado")</f>
        <v>#REF!</v>
      </c>
      <c r="C158" s="71" t="e">
        <f>_xlfn.XLOOKUP(G158,#REF!,#REF!)</f>
        <v>#REF!</v>
      </c>
      <c r="D158" s="72" t="e">
        <f>_xlfn.XLOOKUP(G158,#REF!,#REF!)</f>
        <v>#REF!</v>
      </c>
      <c r="E158" s="73" t="e">
        <f>_xlfn.XLOOKUP(G158,#REF!,#REF!)</f>
        <v>#REF!</v>
      </c>
    </row>
    <row r="159" spans="2:5" ht="15.75" x14ac:dyDescent="0.2">
      <c r="B159" s="71" t="e">
        <f>_xlfn.XLOOKUP(G159,#REF!,CONCATENATE(#REF!," -",#REF!," -",#REF!),"No encontrado")</f>
        <v>#REF!</v>
      </c>
      <c r="C159" s="71" t="e">
        <f>_xlfn.XLOOKUP(G159,#REF!,#REF!)</f>
        <v>#REF!</v>
      </c>
      <c r="D159" s="72" t="e">
        <f>_xlfn.XLOOKUP(G159,#REF!,#REF!)</f>
        <v>#REF!</v>
      </c>
      <c r="E159" s="73" t="e">
        <f>_xlfn.XLOOKUP(G159,#REF!,#REF!)</f>
        <v>#REF!</v>
      </c>
    </row>
    <row r="160" spans="2:5" ht="15.75" x14ac:dyDescent="0.2">
      <c r="B160" s="71" t="e">
        <f>_xlfn.XLOOKUP(G160,#REF!,CONCATENATE(#REF!," -",#REF!," -",#REF!),"No encontrado")</f>
        <v>#REF!</v>
      </c>
      <c r="C160" s="71" t="e">
        <f>_xlfn.XLOOKUP(G160,#REF!,#REF!)</f>
        <v>#REF!</v>
      </c>
      <c r="D160" s="72" t="e">
        <f>_xlfn.XLOOKUP(G160,#REF!,#REF!)</f>
        <v>#REF!</v>
      </c>
      <c r="E160" s="73" t="e">
        <f>_xlfn.XLOOKUP(G160,#REF!,#REF!)</f>
        <v>#REF!</v>
      </c>
    </row>
    <row r="161" spans="2:5" ht="15.75" x14ac:dyDescent="0.2">
      <c r="B161" s="71" t="e">
        <f>_xlfn.XLOOKUP(G161,#REF!,CONCATENATE(#REF!," -",#REF!," -",#REF!),"No encontrado")</f>
        <v>#REF!</v>
      </c>
      <c r="C161" s="71" t="e">
        <f>_xlfn.XLOOKUP(G161,#REF!,#REF!)</f>
        <v>#REF!</v>
      </c>
      <c r="D161" s="72" t="e">
        <f>_xlfn.XLOOKUP(G161,#REF!,#REF!)</f>
        <v>#REF!</v>
      </c>
      <c r="E161" s="73" t="e">
        <f>_xlfn.XLOOKUP(G161,#REF!,#REF!)</f>
        <v>#REF!</v>
      </c>
    </row>
    <row r="162" spans="2:5" ht="15.75" x14ac:dyDescent="0.2">
      <c r="B162" s="71" t="e">
        <f>_xlfn.XLOOKUP(G162,#REF!,CONCATENATE(#REF!," -",#REF!," -",#REF!),"No encontrado")</f>
        <v>#REF!</v>
      </c>
      <c r="C162" s="71" t="e">
        <f>_xlfn.XLOOKUP(G162,#REF!,#REF!)</f>
        <v>#REF!</v>
      </c>
      <c r="D162" s="72" t="e">
        <f>_xlfn.XLOOKUP(G162,#REF!,#REF!)</f>
        <v>#REF!</v>
      </c>
      <c r="E162" s="73" t="e">
        <f>_xlfn.XLOOKUP(G162,#REF!,#REF!)</f>
        <v>#REF!</v>
      </c>
    </row>
    <row r="163" spans="2:5" ht="15.75" x14ac:dyDescent="0.2">
      <c r="B163" s="71" t="e">
        <f>_xlfn.XLOOKUP(G163,#REF!,CONCATENATE(#REF!," -",#REF!," -",#REF!),"No encontrado")</f>
        <v>#REF!</v>
      </c>
      <c r="C163" s="71" t="e">
        <f>_xlfn.XLOOKUP(G163,#REF!,#REF!)</f>
        <v>#REF!</v>
      </c>
      <c r="D163" s="72" t="e">
        <f>_xlfn.XLOOKUP(G163,#REF!,#REF!)</f>
        <v>#REF!</v>
      </c>
      <c r="E163" s="73" t="e">
        <f>_xlfn.XLOOKUP(G163,#REF!,#REF!)</f>
        <v>#REF!</v>
      </c>
    </row>
    <row r="164" spans="2:5" ht="15.75" x14ac:dyDescent="0.2">
      <c r="B164" s="71" t="e">
        <f>_xlfn.XLOOKUP(G164,#REF!,CONCATENATE(#REF!," -",#REF!," -",#REF!),"No encontrado")</f>
        <v>#REF!</v>
      </c>
      <c r="C164" s="71" t="e">
        <f>_xlfn.XLOOKUP(G164,#REF!,#REF!)</f>
        <v>#REF!</v>
      </c>
      <c r="D164" s="72" t="e">
        <f>_xlfn.XLOOKUP(G164,#REF!,#REF!)</f>
        <v>#REF!</v>
      </c>
      <c r="E164" s="73" t="e">
        <f>_xlfn.XLOOKUP(G164,#REF!,#REF!)</f>
        <v>#REF!</v>
      </c>
    </row>
    <row r="165" spans="2:5" ht="15.75" x14ac:dyDescent="0.2">
      <c r="B165" s="71" t="e">
        <f>_xlfn.XLOOKUP(G165,#REF!,CONCATENATE(#REF!," -",#REF!," -",#REF!),"No encontrado")</f>
        <v>#REF!</v>
      </c>
      <c r="C165" s="71" t="e">
        <f>_xlfn.XLOOKUP(G165,#REF!,#REF!)</f>
        <v>#REF!</v>
      </c>
      <c r="D165" s="72" t="e">
        <f>_xlfn.XLOOKUP(G165,#REF!,#REF!)</f>
        <v>#REF!</v>
      </c>
      <c r="E165" s="73" t="e">
        <f>_xlfn.XLOOKUP(G165,#REF!,#REF!)</f>
        <v>#REF!</v>
      </c>
    </row>
  </sheetData>
  <mergeCells count="1">
    <mergeCell ref="B1:E1"/>
  </mergeCells>
  <conditionalFormatting sqref="O2:O3">
    <cfRule type="containsText" dxfId="14" priority="11" operator="containsText" text="En revisión">
      <formula>NOT(ISERROR(SEARCH("En revisión",O2)))</formula>
    </cfRule>
    <cfRule type="containsText" dxfId="13" priority="12" operator="containsText" text="En custodia">
      <formula>NOT(ISERROR(SEARCH("En custodia",O2)))</formula>
    </cfRule>
    <cfRule type="containsText" dxfId="12" priority="13" operator="containsText" text="Aprobado sin asignar">
      <formula>NOT(ISERROR(SEARCH("Aprobado sin asignar",O2)))</formula>
    </cfRule>
    <cfRule type="containsText" dxfId="11" priority="14" operator="containsText" text="En curso">
      <formula>NOT(ISERROR(SEARCH("En curso",O2)))</formula>
    </cfRule>
    <cfRule type="containsText" dxfId="10" priority="15" operator="containsText" text="Almacenado">
      <formula>NOT(ISERROR(SEARCH("Almacenado",O2)))</formula>
    </cfRule>
  </conditionalFormatting>
  <conditionalFormatting sqref="O4:O21">
    <cfRule type="containsText" dxfId="9" priority="2" operator="containsText" text="En curso">
      <formula>NOT(ISERROR(SEARCH("En curso",O4)))</formula>
    </cfRule>
    <cfRule type="containsText" dxfId="8" priority="3" operator="containsText" text="Aprobado sin asignar">
      <formula>NOT(ISERROR(SEARCH("Aprobado sin asignar",O4)))</formula>
    </cfRule>
    <cfRule type="containsText" dxfId="7" priority="4" operator="containsText" text="En custodia">
      <formula>NOT(ISERROR(SEARCH("En custodia",O4)))</formula>
    </cfRule>
    <cfRule type="containsText" dxfId="6" priority="5" operator="containsText" text="Almacenado">
      <formula>NOT(ISERROR(SEARCH("Almacenado",O4)))</formula>
    </cfRule>
  </conditionalFormatting>
  <conditionalFormatting sqref="O22:O110">
    <cfRule type="containsText" dxfId="5" priority="6" operator="containsText" text="En revisión">
      <formula>NOT(ISERROR(SEARCH("En revisión",O22)))</formula>
    </cfRule>
    <cfRule type="containsText" dxfId="4" priority="7" operator="containsText" text="En custodia">
      <formula>NOT(ISERROR(SEARCH("En custodia",O22)))</formula>
    </cfRule>
    <cfRule type="containsText" dxfId="3" priority="8" operator="containsText" text="Aprobado sin asignar">
      <formula>NOT(ISERROR(SEARCH("Aprobado sin asignar",O22)))</formula>
    </cfRule>
    <cfRule type="containsText" dxfId="2" priority="9" operator="containsText" text="En curso">
      <formula>NOT(ISERROR(SEARCH("En curso",O22)))</formula>
    </cfRule>
    <cfRule type="containsText" dxfId="1" priority="10" operator="containsText" text="Almacenado">
      <formula>NOT(ISERROR(SEARCH("Almacenado",O22)))</formula>
    </cfRule>
  </conditionalFormatting>
  <conditionalFormatting sqref="Q4:R21">
    <cfRule type="containsText" dxfId="0" priority="1" operator="containsText" text="No">
      <formula>NOT(ISERROR(SEARCH("No",Q4)))</formula>
    </cfRule>
  </conditionalFormatting>
  <dataValidations count="2">
    <dataValidation type="list" showInputMessage="1" showErrorMessage="1" sqref="Q4:R21" xr:uid="{D1397BA9-1336-47A7-A878-DA023D5F413B}">
      <formula1>"Si, No"</formula1>
    </dataValidation>
    <dataValidation type="list" allowBlank="1" showInputMessage="1" showErrorMessage="1" sqref="O4:O21" xr:uid="{10327299-C8D2-48E5-8828-621F7C66AA76}">
      <formula1>"Almacenado,En custodia,En curso,Aprobado sin asignar,Enviado,Destrucción"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CE72-3A05-4A3B-87F6-3684D2231BB2}">
  <sheetPr codeName="Hoja4"/>
  <dimension ref="A1:F4000"/>
  <sheetViews>
    <sheetView workbookViewId="0">
      <selection activeCell="G19" sqref="G19"/>
    </sheetView>
  </sheetViews>
  <sheetFormatPr baseColWidth="10" defaultColWidth="11.42578125" defaultRowHeight="14.25" x14ac:dyDescent="0.2"/>
  <cols>
    <col min="1" max="1" width="36.7109375" style="43" customWidth="1"/>
    <col min="2" max="2" width="7.85546875" style="43" bestFit="1" customWidth="1"/>
    <col min="3" max="3" width="18.5703125" style="43" customWidth="1"/>
    <col min="4" max="4" width="43.5703125" style="40" customWidth="1"/>
    <col min="5" max="5" width="11.42578125" style="40"/>
    <col min="6" max="6" width="11.42578125" style="42"/>
    <col min="7" max="16384" width="11.42578125" style="40"/>
  </cols>
  <sheetData>
    <row r="1" spans="1:4" ht="15.75" customHeight="1" x14ac:dyDescent="0.2">
      <c r="A1" s="37" t="s">
        <v>1695</v>
      </c>
      <c r="B1" s="38" t="s">
        <v>1696</v>
      </c>
      <c r="C1" s="39"/>
      <c r="D1" s="280" t="s">
        <v>1697</v>
      </c>
    </row>
    <row r="2" spans="1:4" ht="15.75" thickBot="1" x14ac:dyDescent="0.25">
      <c r="A2" s="41" t="s">
        <v>1698</v>
      </c>
      <c r="B2" s="38" t="s">
        <v>1699</v>
      </c>
      <c r="C2" s="39"/>
      <c r="D2" s="281"/>
    </row>
    <row r="3" spans="1:4" x14ac:dyDescent="0.2">
      <c r="A3" s="42"/>
      <c r="D3" s="44" t="s">
        <v>126</v>
      </c>
    </row>
    <row r="4" spans="1:4" x14ac:dyDescent="0.2">
      <c r="A4" s="42"/>
      <c r="D4" s="45" t="s">
        <v>1700</v>
      </c>
    </row>
    <row r="5" spans="1:4" x14ac:dyDescent="0.2">
      <c r="A5" s="42"/>
      <c r="D5" s="45" t="s">
        <v>121</v>
      </c>
    </row>
    <row r="6" spans="1:4" x14ac:dyDescent="0.2">
      <c r="A6" s="42"/>
      <c r="D6" s="45" t="s">
        <v>172</v>
      </c>
    </row>
    <row r="7" spans="1:4" x14ac:dyDescent="0.2">
      <c r="A7" s="42"/>
      <c r="D7" s="45" t="s">
        <v>235</v>
      </c>
    </row>
    <row r="8" spans="1:4" x14ac:dyDescent="0.2">
      <c r="A8" s="42"/>
      <c r="D8" s="45" t="s">
        <v>159</v>
      </c>
    </row>
    <row r="9" spans="1:4" ht="15" thickBot="1" x14ac:dyDescent="0.25">
      <c r="A9" s="42"/>
      <c r="D9" s="46" t="s">
        <v>1701</v>
      </c>
    </row>
    <row r="10" spans="1:4" x14ac:dyDescent="0.2">
      <c r="A10" s="42"/>
    </row>
    <row r="11" spans="1:4" x14ac:dyDescent="0.2">
      <c r="A11" s="42"/>
    </row>
    <row r="12" spans="1:4" x14ac:dyDescent="0.2">
      <c r="A12" s="42"/>
    </row>
    <row r="13" spans="1:4" x14ac:dyDescent="0.2">
      <c r="A13" s="42"/>
    </row>
    <row r="14" spans="1:4" x14ac:dyDescent="0.2">
      <c r="A14" s="42"/>
    </row>
    <row r="15" spans="1:4" x14ac:dyDescent="0.2">
      <c r="A15" s="42"/>
    </row>
    <row r="16" spans="1:4" x14ac:dyDescent="0.2">
      <c r="A16" s="42"/>
    </row>
    <row r="17" spans="1:4" x14ac:dyDescent="0.2">
      <c r="A17" s="42"/>
    </row>
    <row r="18" spans="1:4" ht="15" thickBot="1" x14ac:dyDescent="0.25">
      <c r="A18" s="42"/>
    </row>
    <row r="19" spans="1:4" ht="15" thickBot="1" x14ac:dyDescent="0.25">
      <c r="A19" s="42"/>
      <c r="D19" s="47" t="s">
        <v>1702</v>
      </c>
    </row>
    <row r="20" spans="1:4" x14ac:dyDescent="0.2">
      <c r="A20" s="42"/>
      <c r="D20" s="48" t="s">
        <v>6</v>
      </c>
    </row>
    <row r="21" spans="1:4" x14ac:dyDescent="0.2">
      <c r="A21" s="42"/>
      <c r="D21" s="49" t="s">
        <v>1703</v>
      </c>
    </row>
    <row r="22" spans="1:4" x14ac:dyDescent="0.2">
      <c r="A22" s="42"/>
      <c r="D22" s="49" t="s">
        <v>7</v>
      </c>
    </row>
    <row r="23" spans="1:4" ht="15" thickBot="1" x14ac:dyDescent="0.25">
      <c r="A23" s="42"/>
      <c r="D23" s="50" t="s">
        <v>1704</v>
      </c>
    </row>
    <row r="24" spans="1:4" x14ac:dyDescent="0.2">
      <c r="A24" s="42"/>
    </row>
    <row r="25" spans="1:4" x14ac:dyDescent="0.2">
      <c r="A25" s="42"/>
    </row>
    <row r="26" spans="1:4" x14ac:dyDescent="0.2">
      <c r="A26" s="42"/>
    </row>
    <row r="27" spans="1:4" x14ac:dyDescent="0.2">
      <c r="A27" s="42"/>
    </row>
    <row r="28" spans="1:4" x14ac:dyDescent="0.2">
      <c r="A28" s="42"/>
    </row>
    <row r="29" spans="1:4" x14ac:dyDescent="0.2">
      <c r="A29" s="42"/>
    </row>
    <row r="30" spans="1:4" x14ac:dyDescent="0.2">
      <c r="A30" s="42"/>
    </row>
    <row r="31" spans="1:4" x14ac:dyDescent="0.2">
      <c r="A31" s="42"/>
    </row>
    <row r="32" spans="1:4" x14ac:dyDescent="0.2">
      <c r="A32" s="42"/>
    </row>
    <row r="33" spans="1:1" x14ac:dyDescent="0.2">
      <c r="A33" s="42"/>
    </row>
    <row r="34" spans="1:1" x14ac:dyDescent="0.2">
      <c r="A34" s="42"/>
    </row>
    <row r="35" spans="1:1" x14ac:dyDescent="0.2">
      <c r="A35" s="42"/>
    </row>
    <row r="36" spans="1:1" x14ac:dyDescent="0.2">
      <c r="A36" s="42"/>
    </row>
    <row r="37" spans="1:1" x14ac:dyDescent="0.2">
      <c r="A37" s="42"/>
    </row>
    <row r="38" spans="1:1" x14ac:dyDescent="0.2">
      <c r="A38" s="42"/>
    </row>
    <row r="39" spans="1:1" x14ac:dyDescent="0.2">
      <c r="A39" s="42"/>
    </row>
    <row r="40" spans="1:1" x14ac:dyDescent="0.2">
      <c r="A40" s="42"/>
    </row>
    <row r="41" spans="1:1" x14ac:dyDescent="0.2">
      <c r="A41" s="42"/>
    </row>
    <row r="42" spans="1:1" x14ac:dyDescent="0.2">
      <c r="A42" s="42"/>
    </row>
    <row r="43" spans="1:1" x14ac:dyDescent="0.2">
      <c r="A43" s="42"/>
    </row>
    <row r="44" spans="1:1" x14ac:dyDescent="0.2">
      <c r="A44" s="42"/>
    </row>
    <row r="45" spans="1:1" x14ac:dyDescent="0.2">
      <c r="A45" s="42"/>
    </row>
    <row r="46" spans="1:1" x14ac:dyDescent="0.2">
      <c r="A46" s="42"/>
    </row>
    <row r="47" spans="1:1" x14ac:dyDescent="0.2">
      <c r="A47" s="42"/>
    </row>
    <row r="48" spans="1:1" x14ac:dyDescent="0.2">
      <c r="A48" s="42"/>
    </row>
    <row r="49" spans="1:1" x14ac:dyDescent="0.2">
      <c r="A49" s="42"/>
    </row>
    <row r="50" spans="1:1" x14ac:dyDescent="0.2">
      <c r="A50" s="42"/>
    </row>
    <row r="51" spans="1:1" x14ac:dyDescent="0.2">
      <c r="A51" s="42"/>
    </row>
    <row r="52" spans="1:1" x14ac:dyDescent="0.2">
      <c r="A52" s="42"/>
    </row>
    <row r="53" spans="1:1" x14ac:dyDescent="0.2">
      <c r="A53" s="42"/>
    </row>
    <row r="54" spans="1:1" x14ac:dyDescent="0.2">
      <c r="A54" s="42"/>
    </row>
    <row r="55" spans="1:1" x14ac:dyDescent="0.2">
      <c r="A55" s="42"/>
    </row>
    <row r="56" spans="1:1" x14ac:dyDescent="0.2">
      <c r="A56" s="42"/>
    </row>
    <row r="57" spans="1:1" x14ac:dyDescent="0.2">
      <c r="A57" s="42"/>
    </row>
    <row r="58" spans="1:1" x14ac:dyDescent="0.2">
      <c r="A58" s="42"/>
    </row>
    <row r="59" spans="1:1" x14ac:dyDescent="0.2">
      <c r="A59" s="42"/>
    </row>
    <row r="60" spans="1:1" x14ac:dyDescent="0.2">
      <c r="A60" s="42"/>
    </row>
    <row r="61" spans="1:1" x14ac:dyDescent="0.2">
      <c r="A61" s="42"/>
    </row>
    <row r="62" spans="1:1" x14ac:dyDescent="0.2">
      <c r="A62" s="42"/>
    </row>
    <row r="63" spans="1:1" x14ac:dyDescent="0.2">
      <c r="A63" s="42"/>
    </row>
    <row r="64" spans="1:1" x14ac:dyDescent="0.2">
      <c r="A64" s="42"/>
    </row>
    <row r="65" spans="1:1" x14ac:dyDescent="0.2">
      <c r="A65" s="42"/>
    </row>
    <row r="66" spans="1:1" x14ac:dyDescent="0.2">
      <c r="A66" s="42"/>
    </row>
    <row r="67" spans="1:1" x14ac:dyDescent="0.2">
      <c r="A67" s="42"/>
    </row>
    <row r="68" spans="1:1" x14ac:dyDescent="0.2">
      <c r="A68" s="42"/>
    </row>
    <row r="69" spans="1:1" x14ac:dyDescent="0.2">
      <c r="A69" s="42"/>
    </row>
    <row r="70" spans="1:1" x14ac:dyDescent="0.2">
      <c r="A70" s="42"/>
    </row>
    <row r="71" spans="1:1" x14ac:dyDescent="0.2">
      <c r="A71" s="42"/>
    </row>
    <row r="72" spans="1:1" x14ac:dyDescent="0.2">
      <c r="A72" s="42"/>
    </row>
    <row r="73" spans="1:1" x14ac:dyDescent="0.2">
      <c r="A73" s="42"/>
    </row>
    <row r="74" spans="1:1" x14ac:dyDescent="0.2">
      <c r="A74" s="42"/>
    </row>
    <row r="75" spans="1:1" x14ac:dyDescent="0.2">
      <c r="A75" s="42"/>
    </row>
    <row r="76" spans="1:1" x14ac:dyDescent="0.2">
      <c r="A76" s="42"/>
    </row>
    <row r="77" spans="1:1" x14ac:dyDescent="0.2">
      <c r="A77" s="42"/>
    </row>
    <row r="78" spans="1:1" x14ac:dyDescent="0.2">
      <c r="A78" s="42"/>
    </row>
    <row r="79" spans="1:1" x14ac:dyDescent="0.2">
      <c r="A79" s="42"/>
    </row>
    <row r="80" spans="1:1" x14ac:dyDescent="0.2">
      <c r="A80" s="42"/>
    </row>
    <row r="81" spans="1:1" x14ac:dyDescent="0.2">
      <c r="A81" s="42"/>
    </row>
    <row r="82" spans="1:1" x14ac:dyDescent="0.2">
      <c r="A82" s="42"/>
    </row>
    <row r="83" spans="1:1" x14ac:dyDescent="0.2">
      <c r="A83" s="42"/>
    </row>
    <row r="84" spans="1:1" x14ac:dyDescent="0.2">
      <c r="A84" s="42"/>
    </row>
    <row r="85" spans="1:1" x14ac:dyDescent="0.2">
      <c r="A85" s="42"/>
    </row>
    <row r="86" spans="1:1" x14ac:dyDescent="0.2">
      <c r="A86" s="42"/>
    </row>
    <row r="87" spans="1:1" x14ac:dyDescent="0.2">
      <c r="A87" s="42"/>
    </row>
    <row r="88" spans="1:1" x14ac:dyDescent="0.2">
      <c r="A88" s="42"/>
    </row>
    <row r="89" spans="1:1" x14ac:dyDescent="0.2">
      <c r="A89" s="42"/>
    </row>
    <row r="90" spans="1:1" x14ac:dyDescent="0.2">
      <c r="A90" s="42"/>
    </row>
    <row r="91" spans="1:1" x14ac:dyDescent="0.2">
      <c r="A91" s="42"/>
    </row>
    <row r="92" spans="1:1" x14ac:dyDescent="0.2">
      <c r="A92" s="42"/>
    </row>
    <row r="93" spans="1:1" x14ac:dyDescent="0.2">
      <c r="A93" s="42"/>
    </row>
    <row r="94" spans="1:1" x14ac:dyDescent="0.2">
      <c r="A94" s="42"/>
    </row>
    <row r="95" spans="1:1" x14ac:dyDescent="0.2">
      <c r="A95" s="42"/>
    </row>
    <row r="96" spans="1:1" x14ac:dyDescent="0.2">
      <c r="A96" s="42"/>
    </row>
    <row r="97" spans="1:1" x14ac:dyDescent="0.2">
      <c r="A97" s="42"/>
    </row>
    <row r="98" spans="1:1" x14ac:dyDescent="0.2">
      <c r="A98" s="42"/>
    </row>
    <row r="99" spans="1:1" x14ac:dyDescent="0.2">
      <c r="A99" s="42"/>
    </row>
    <row r="100" spans="1:1" x14ac:dyDescent="0.2">
      <c r="A100" s="42"/>
    </row>
    <row r="101" spans="1:1" x14ac:dyDescent="0.2">
      <c r="A101" s="42"/>
    </row>
    <row r="102" spans="1:1" x14ac:dyDescent="0.2">
      <c r="A102" s="42"/>
    </row>
    <row r="103" spans="1:1" x14ac:dyDescent="0.2">
      <c r="A103" s="42"/>
    </row>
    <row r="104" spans="1:1" x14ac:dyDescent="0.2">
      <c r="A104" s="42"/>
    </row>
    <row r="105" spans="1:1" x14ac:dyDescent="0.2">
      <c r="A105" s="42"/>
    </row>
    <row r="106" spans="1:1" x14ac:dyDescent="0.2">
      <c r="A106" s="42"/>
    </row>
    <row r="107" spans="1:1" x14ac:dyDescent="0.2">
      <c r="A107" s="42"/>
    </row>
    <row r="108" spans="1:1" x14ac:dyDescent="0.2">
      <c r="A108" s="42"/>
    </row>
    <row r="109" spans="1:1" x14ac:dyDescent="0.2">
      <c r="A109" s="42"/>
    </row>
    <row r="110" spans="1:1" x14ac:dyDescent="0.2">
      <c r="A110" s="42"/>
    </row>
    <row r="111" spans="1:1" x14ac:dyDescent="0.2">
      <c r="A111" s="42"/>
    </row>
    <row r="112" spans="1:1" x14ac:dyDescent="0.2">
      <c r="A112" s="42"/>
    </row>
    <row r="113" spans="1:1" x14ac:dyDescent="0.2">
      <c r="A113" s="42"/>
    </row>
    <row r="114" spans="1:1" x14ac:dyDescent="0.2">
      <c r="A114" s="42"/>
    </row>
    <row r="115" spans="1:1" x14ac:dyDescent="0.2">
      <c r="A115" s="42"/>
    </row>
    <row r="116" spans="1:1" x14ac:dyDescent="0.2">
      <c r="A116" s="42"/>
    </row>
    <row r="117" spans="1:1" x14ac:dyDescent="0.2">
      <c r="A117" s="42"/>
    </row>
    <row r="118" spans="1:1" x14ac:dyDescent="0.2">
      <c r="A118" s="42"/>
    </row>
    <row r="119" spans="1:1" x14ac:dyDescent="0.2">
      <c r="A119" s="42"/>
    </row>
    <row r="120" spans="1:1" x14ac:dyDescent="0.2">
      <c r="A120" s="42"/>
    </row>
    <row r="121" spans="1:1" x14ac:dyDescent="0.2">
      <c r="A121" s="42"/>
    </row>
    <row r="122" spans="1:1" x14ac:dyDescent="0.2">
      <c r="A122" s="42"/>
    </row>
    <row r="123" spans="1:1" x14ac:dyDescent="0.2">
      <c r="A123" s="42"/>
    </row>
    <row r="124" spans="1:1" x14ac:dyDescent="0.2">
      <c r="A124" s="42"/>
    </row>
    <row r="125" spans="1:1" x14ac:dyDescent="0.2">
      <c r="A125" s="42"/>
    </row>
    <row r="126" spans="1:1" x14ac:dyDescent="0.2">
      <c r="A126" s="42"/>
    </row>
    <row r="127" spans="1:1" x14ac:dyDescent="0.2">
      <c r="A127" s="42"/>
    </row>
    <row r="128" spans="1:1" x14ac:dyDescent="0.2">
      <c r="A128" s="42"/>
    </row>
    <row r="129" spans="1:1" x14ac:dyDescent="0.2">
      <c r="A129" s="42"/>
    </row>
    <row r="130" spans="1:1" x14ac:dyDescent="0.2">
      <c r="A130" s="42"/>
    </row>
    <row r="131" spans="1:1" x14ac:dyDescent="0.2">
      <c r="A131" s="42"/>
    </row>
    <row r="132" spans="1:1" x14ac:dyDescent="0.2">
      <c r="A132" s="42"/>
    </row>
    <row r="133" spans="1:1" x14ac:dyDescent="0.2">
      <c r="A133" s="42"/>
    </row>
    <row r="134" spans="1:1" x14ac:dyDescent="0.2">
      <c r="A134" s="42"/>
    </row>
    <row r="135" spans="1:1" x14ac:dyDescent="0.2">
      <c r="A135" s="42"/>
    </row>
    <row r="136" spans="1:1" x14ac:dyDescent="0.2">
      <c r="A136" s="42"/>
    </row>
    <row r="137" spans="1:1" x14ac:dyDescent="0.2">
      <c r="A137" s="42"/>
    </row>
    <row r="138" spans="1:1" x14ac:dyDescent="0.2">
      <c r="A138" s="42"/>
    </row>
    <row r="139" spans="1:1" x14ac:dyDescent="0.2">
      <c r="A139" s="42"/>
    </row>
    <row r="140" spans="1:1" x14ac:dyDescent="0.2">
      <c r="A140" s="42"/>
    </row>
    <row r="141" spans="1:1" x14ac:dyDescent="0.2">
      <c r="A141" s="42"/>
    </row>
    <row r="142" spans="1:1" x14ac:dyDescent="0.2">
      <c r="A142" s="42"/>
    </row>
    <row r="143" spans="1:1" x14ac:dyDescent="0.2">
      <c r="A143" s="42"/>
    </row>
    <row r="144" spans="1:1" x14ac:dyDescent="0.2">
      <c r="A144" s="42"/>
    </row>
    <row r="145" spans="1:1" x14ac:dyDescent="0.2">
      <c r="A145" s="42"/>
    </row>
    <row r="146" spans="1:1" x14ac:dyDescent="0.2">
      <c r="A146" s="42"/>
    </row>
    <row r="147" spans="1:1" x14ac:dyDescent="0.2">
      <c r="A147" s="42"/>
    </row>
    <row r="148" spans="1:1" x14ac:dyDescent="0.2">
      <c r="A148" s="42"/>
    </row>
    <row r="149" spans="1:1" x14ac:dyDescent="0.2">
      <c r="A149" s="42"/>
    </row>
    <row r="150" spans="1:1" x14ac:dyDescent="0.2">
      <c r="A150" s="42"/>
    </row>
    <row r="151" spans="1:1" x14ac:dyDescent="0.2">
      <c r="A151" s="42"/>
    </row>
    <row r="152" spans="1:1" x14ac:dyDescent="0.2">
      <c r="A152" s="42"/>
    </row>
    <row r="153" spans="1:1" x14ac:dyDescent="0.2">
      <c r="A153" s="42"/>
    </row>
    <row r="154" spans="1:1" x14ac:dyDescent="0.2">
      <c r="A154" s="42"/>
    </row>
    <row r="155" spans="1:1" x14ac:dyDescent="0.2">
      <c r="A155" s="42"/>
    </row>
    <row r="156" spans="1:1" x14ac:dyDescent="0.2">
      <c r="A156" s="42"/>
    </row>
    <row r="157" spans="1:1" x14ac:dyDescent="0.2">
      <c r="A157" s="42"/>
    </row>
    <row r="158" spans="1:1" x14ac:dyDescent="0.2">
      <c r="A158" s="42"/>
    </row>
    <row r="159" spans="1:1" x14ac:dyDescent="0.2">
      <c r="A159" s="42"/>
    </row>
    <row r="160" spans="1:1" x14ac:dyDescent="0.2">
      <c r="A160" s="42"/>
    </row>
    <row r="161" spans="1:1" x14ac:dyDescent="0.2">
      <c r="A161" s="42"/>
    </row>
    <row r="162" spans="1:1" x14ac:dyDescent="0.2">
      <c r="A162" s="42"/>
    </row>
    <row r="163" spans="1:1" x14ac:dyDescent="0.2">
      <c r="A163" s="42"/>
    </row>
    <row r="164" spans="1:1" x14ac:dyDescent="0.2">
      <c r="A164" s="42"/>
    </row>
    <row r="165" spans="1:1" x14ac:dyDescent="0.2">
      <c r="A165" s="42"/>
    </row>
    <row r="166" spans="1:1" x14ac:dyDescent="0.2">
      <c r="A166" s="42"/>
    </row>
    <row r="167" spans="1:1" x14ac:dyDescent="0.2">
      <c r="A167" s="42"/>
    </row>
    <row r="168" spans="1:1" x14ac:dyDescent="0.2">
      <c r="A168" s="42"/>
    </row>
    <row r="169" spans="1:1" x14ac:dyDescent="0.2">
      <c r="A169" s="42"/>
    </row>
    <row r="170" spans="1:1" x14ac:dyDescent="0.2">
      <c r="A170" s="42"/>
    </row>
    <row r="171" spans="1:1" x14ac:dyDescent="0.2">
      <c r="A171" s="42"/>
    </row>
    <row r="172" spans="1:1" x14ac:dyDescent="0.2">
      <c r="A172" s="42"/>
    </row>
    <row r="173" spans="1:1" x14ac:dyDescent="0.2">
      <c r="A173" s="42"/>
    </row>
    <row r="174" spans="1:1" x14ac:dyDescent="0.2">
      <c r="A174" s="42"/>
    </row>
    <row r="175" spans="1:1" x14ac:dyDescent="0.2">
      <c r="A175" s="42"/>
    </row>
    <row r="176" spans="1:1" x14ac:dyDescent="0.2">
      <c r="A176" s="42"/>
    </row>
    <row r="177" spans="1:1" x14ac:dyDescent="0.2">
      <c r="A177" s="42"/>
    </row>
    <row r="178" spans="1:1" x14ac:dyDescent="0.2">
      <c r="A178" s="42"/>
    </row>
    <row r="179" spans="1:1" x14ac:dyDescent="0.2">
      <c r="A179" s="42"/>
    </row>
    <row r="180" spans="1:1" x14ac:dyDescent="0.2">
      <c r="A180" s="42"/>
    </row>
    <row r="181" spans="1:1" x14ac:dyDescent="0.2">
      <c r="A181" s="42"/>
    </row>
    <row r="182" spans="1:1" x14ac:dyDescent="0.2">
      <c r="A182" s="42"/>
    </row>
    <row r="183" spans="1:1" x14ac:dyDescent="0.2">
      <c r="A183" s="42"/>
    </row>
    <row r="184" spans="1:1" x14ac:dyDescent="0.2">
      <c r="A184" s="42"/>
    </row>
    <row r="185" spans="1:1" x14ac:dyDescent="0.2">
      <c r="A185" s="42"/>
    </row>
    <row r="186" spans="1:1" x14ac:dyDescent="0.2">
      <c r="A186" s="42"/>
    </row>
    <row r="187" spans="1:1" x14ac:dyDescent="0.2">
      <c r="A187" s="42"/>
    </row>
    <row r="188" spans="1:1" x14ac:dyDescent="0.2">
      <c r="A188" s="42"/>
    </row>
    <row r="189" spans="1:1" x14ac:dyDescent="0.2">
      <c r="A189" s="42"/>
    </row>
    <row r="190" spans="1:1" x14ac:dyDescent="0.2">
      <c r="A190" s="42"/>
    </row>
    <row r="191" spans="1:1" x14ac:dyDescent="0.2">
      <c r="A191" s="42"/>
    </row>
    <row r="192" spans="1:1" x14ac:dyDescent="0.2">
      <c r="A192" s="42"/>
    </row>
    <row r="193" spans="1:1" x14ac:dyDescent="0.2">
      <c r="A193" s="42"/>
    </row>
    <row r="194" spans="1:1" x14ac:dyDescent="0.2">
      <c r="A194" s="42"/>
    </row>
    <row r="195" spans="1:1" x14ac:dyDescent="0.2">
      <c r="A195" s="42"/>
    </row>
    <row r="196" spans="1:1" x14ac:dyDescent="0.2">
      <c r="A196" s="42"/>
    </row>
    <row r="197" spans="1:1" x14ac:dyDescent="0.2">
      <c r="A197" s="42"/>
    </row>
    <row r="198" spans="1:1" x14ac:dyDescent="0.2">
      <c r="A198" s="42"/>
    </row>
    <row r="199" spans="1:1" x14ac:dyDescent="0.2">
      <c r="A199" s="42"/>
    </row>
    <row r="200" spans="1:1" x14ac:dyDescent="0.2">
      <c r="A200" s="42"/>
    </row>
    <row r="201" spans="1:1" x14ac:dyDescent="0.2">
      <c r="A201" s="42"/>
    </row>
    <row r="202" spans="1:1" x14ac:dyDescent="0.2">
      <c r="A202" s="42"/>
    </row>
    <row r="203" spans="1:1" x14ac:dyDescent="0.2">
      <c r="A203" s="42"/>
    </row>
    <row r="204" spans="1:1" x14ac:dyDescent="0.2">
      <c r="A204" s="42"/>
    </row>
    <row r="205" spans="1:1" x14ac:dyDescent="0.2">
      <c r="A205" s="42"/>
    </row>
    <row r="206" spans="1:1" x14ac:dyDescent="0.2">
      <c r="A206" s="42"/>
    </row>
    <row r="207" spans="1:1" x14ac:dyDescent="0.2">
      <c r="A207" s="42"/>
    </row>
    <row r="208" spans="1:1" x14ac:dyDescent="0.2">
      <c r="A208" s="42"/>
    </row>
    <row r="209" spans="1:1" x14ac:dyDescent="0.2">
      <c r="A209" s="42"/>
    </row>
    <row r="210" spans="1:1" x14ac:dyDescent="0.2">
      <c r="A210" s="42"/>
    </row>
    <row r="211" spans="1:1" x14ac:dyDescent="0.2">
      <c r="A211" s="42"/>
    </row>
    <row r="212" spans="1:1" x14ac:dyDescent="0.2">
      <c r="A212" s="42"/>
    </row>
    <row r="213" spans="1:1" x14ac:dyDescent="0.2">
      <c r="A213" s="42"/>
    </row>
    <row r="214" spans="1:1" x14ac:dyDescent="0.2">
      <c r="A214" s="42"/>
    </row>
    <row r="215" spans="1:1" x14ac:dyDescent="0.2">
      <c r="A215" s="42"/>
    </row>
    <row r="216" spans="1:1" x14ac:dyDescent="0.2">
      <c r="A216" s="42"/>
    </row>
    <row r="217" spans="1:1" x14ac:dyDescent="0.2">
      <c r="A217" s="42"/>
    </row>
    <row r="218" spans="1:1" x14ac:dyDescent="0.2">
      <c r="A218" s="42"/>
    </row>
    <row r="219" spans="1:1" x14ac:dyDescent="0.2">
      <c r="A219" s="42"/>
    </row>
    <row r="220" spans="1:1" x14ac:dyDescent="0.2">
      <c r="A220" s="42"/>
    </row>
    <row r="221" spans="1:1" x14ac:dyDescent="0.2">
      <c r="A221" s="42"/>
    </row>
    <row r="222" spans="1:1" x14ac:dyDescent="0.2">
      <c r="A222" s="42"/>
    </row>
    <row r="223" spans="1:1" x14ac:dyDescent="0.2">
      <c r="A223" s="42"/>
    </row>
    <row r="224" spans="1:1" x14ac:dyDescent="0.2">
      <c r="A224" s="42"/>
    </row>
    <row r="225" spans="1:1" x14ac:dyDescent="0.2">
      <c r="A225" s="42"/>
    </row>
    <row r="226" spans="1:1" x14ac:dyDescent="0.2">
      <c r="A226" s="42"/>
    </row>
    <row r="227" spans="1:1" x14ac:dyDescent="0.2">
      <c r="A227" s="42"/>
    </row>
    <row r="228" spans="1:1" x14ac:dyDescent="0.2">
      <c r="A228" s="42"/>
    </row>
    <row r="229" spans="1:1" x14ac:dyDescent="0.2">
      <c r="A229" s="42"/>
    </row>
    <row r="230" spans="1:1" x14ac:dyDescent="0.2">
      <c r="A230" s="42"/>
    </row>
    <row r="231" spans="1:1" x14ac:dyDescent="0.2">
      <c r="A231" s="42"/>
    </row>
    <row r="232" spans="1:1" x14ac:dyDescent="0.2">
      <c r="A232" s="42"/>
    </row>
    <row r="233" spans="1:1" x14ac:dyDescent="0.2">
      <c r="A233" s="42"/>
    </row>
    <row r="234" spans="1:1" x14ac:dyDescent="0.2">
      <c r="A234" s="42"/>
    </row>
    <row r="235" spans="1:1" x14ac:dyDescent="0.2">
      <c r="A235" s="42"/>
    </row>
    <row r="236" spans="1:1" x14ac:dyDescent="0.2">
      <c r="A236" s="42"/>
    </row>
    <row r="237" spans="1:1" x14ac:dyDescent="0.2">
      <c r="A237" s="42"/>
    </row>
    <row r="238" spans="1:1" x14ac:dyDescent="0.2">
      <c r="A238" s="42"/>
    </row>
    <row r="239" spans="1:1" x14ac:dyDescent="0.2">
      <c r="A239" s="42"/>
    </row>
    <row r="240" spans="1:1" x14ac:dyDescent="0.2">
      <c r="A240" s="42"/>
    </row>
    <row r="241" spans="1:1" x14ac:dyDescent="0.2">
      <c r="A241" s="42"/>
    </row>
    <row r="242" spans="1:1" x14ac:dyDescent="0.2">
      <c r="A242" s="42"/>
    </row>
    <row r="243" spans="1:1" x14ac:dyDescent="0.2">
      <c r="A243" s="42"/>
    </row>
    <row r="244" spans="1:1" x14ac:dyDescent="0.2">
      <c r="A244" s="42"/>
    </row>
    <row r="245" spans="1:1" x14ac:dyDescent="0.2">
      <c r="A245" s="42"/>
    </row>
    <row r="246" spans="1:1" x14ac:dyDescent="0.2">
      <c r="A246" s="42"/>
    </row>
    <row r="247" spans="1:1" x14ac:dyDescent="0.2">
      <c r="A247" s="42"/>
    </row>
    <row r="248" spans="1:1" x14ac:dyDescent="0.2">
      <c r="A248" s="42"/>
    </row>
    <row r="249" spans="1:1" x14ac:dyDescent="0.2">
      <c r="A249" s="42"/>
    </row>
    <row r="250" spans="1:1" x14ac:dyDescent="0.2">
      <c r="A250" s="42"/>
    </row>
    <row r="251" spans="1:1" x14ac:dyDescent="0.2">
      <c r="A251" s="42"/>
    </row>
    <row r="252" spans="1:1" x14ac:dyDescent="0.2">
      <c r="A252" s="42"/>
    </row>
    <row r="253" spans="1:1" x14ac:dyDescent="0.2">
      <c r="A253" s="42"/>
    </row>
    <row r="254" spans="1:1" x14ac:dyDescent="0.2">
      <c r="A254" s="42"/>
    </row>
    <row r="255" spans="1:1" x14ac:dyDescent="0.2">
      <c r="A255" s="42"/>
    </row>
    <row r="256" spans="1:1" x14ac:dyDescent="0.2">
      <c r="A256" s="42"/>
    </row>
    <row r="257" spans="1:1" x14ac:dyDescent="0.2">
      <c r="A257" s="42"/>
    </row>
    <row r="258" spans="1:1" x14ac:dyDescent="0.2">
      <c r="A258" s="42"/>
    </row>
    <row r="259" spans="1:1" x14ac:dyDescent="0.2">
      <c r="A259" s="42"/>
    </row>
    <row r="260" spans="1:1" x14ac:dyDescent="0.2">
      <c r="A260" s="42"/>
    </row>
    <row r="261" spans="1:1" x14ac:dyDescent="0.2">
      <c r="A261" s="42"/>
    </row>
    <row r="262" spans="1:1" x14ac:dyDescent="0.2">
      <c r="A262" s="42"/>
    </row>
    <row r="263" spans="1:1" x14ac:dyDescent="0.2">
      <c r="A263" s="42"/>
    </row>
    <row r="264" spans="1:1" x14ac:dyDescent="0.2">
      <c r="A264" s="42"/>
    </row>
    <row r="265" spans="1:1" x14ac:dyDescent="0.2">
      <c r="A265" s="42"/>
    </row>
    <row r="266" spans="1:1" x14ac:dyDescent="0.2">
      <c r="A266" s="42"/>
    </row>
    <row r="267" spans="1:1" x14ac:dyDescent="0.2">
      <c r="A267" s="42"/>
    </row>
    <row r="268" spans="1:1" x14ac:dyDescent="0.2">
      <c r="A268" s="42"/>
    </row>
    <row r="269" spans="1:1" x14ac:dyDescent="0.2">
      <c r="A269" s="42"/>
    </row>
    <row r="270" spans="1:1" x14ac:dyDescent="0.2">
      <c r="A270" s="42"/>
    </row>
    <row r="271" spans="1:1" x14ac:dyDescent="0.2">
      <c r="A271" s="42"/>
    </row>
    <row r="272" spans="1:1" x14ac:dyDescent="0.2">
      <c r="A272" s="42"/>
    </row>
    <row r="273" spans="1:1" x14ac:dyDescent="0.2">
      <c r="A273" s="42"/>
    </row>
    <row r="274" spans="1:1" x14ac:dyDescent="0.2">
      <c r="A274" s="42"/>
    </row>
    <row r="275" spans="1:1" x14ac:dyDescent="0.2">
      <c r="A275" s="42"/>
    </row>
    <row r="276" spans="1:1" x14ac:dyDescent="0.2">
      <c r="A276" s="42"/>
    </row>
    <row r="277" spans="1:1" x14ac:dyDescent="0.2">
      <c r="A277" s="42"/>
    </row>
    <row r="278" spans="1:1" x14ac:dyDescent="0.2">
      <c r="A278" s="42"/>
    </row>
    <row r="279" spans="1:1" x14ac:dyDescent="0.2">
      <c r="A279" s="42"/>
    </row>
    <row r="280" spans="1:1" x14ac:dyDescent="0.2">
      <c r="A280" s="42"/>
    </row>
    <row r="281" spans="1:1" x14ac:dyDescent="0.2">
      <c r="A281" s="42"/>
    </row>
    <row r="282" spans="1:1" x14ac:dyDescent="0.2">
      <c r="A282" s="42"/>
    </row>
    <row r="283" spans="1:1" x14ac:dyDescent="0.2">
      <c r="A283" s="42"/>
    </row>
    <row r="284" spans="1:1" x14ac:dyDescent="0.2">
      <c r="A284" s="42"/>
    </row>
    <row r="285" spans="1:1" x14ac:dyDescent="0.2">
      <c r="A285" s="42"/>
    </row>
    <row r="286" spans="1:1" x14ac:dyDescent="0.2">
      <c r="A286" s="42"/>
    </row>
    <row r="287" spans="1:1" x14ac:dyDescent="0.2">
      <c r="A287" s="42"/>
    </row>
    <row r="288" spans="1:1" x14ac:dyDescent="0.2">
      <c r="A288" s="42"/>
    </row>
    <row r="289" spans="1:1" x14ac:dyDescent="0.2">
      <c r="A289" s="42"/>
    </row>
    <row r="290" spans="1:1" x14ac:dyDescent="0.2">
      <c r="A290" s="42"/>
    </row>
    <row r="291" spans="1:1" x14ac:dyDescent="0.2">
      <c r="A291" s="42"/>
    </row>
    <row r="292" spans="1:1" x14ac:dyDescent="0.2">
      <c r="A292" s="42"/>
    </row>
    <row r="293" spans="1:1" x14ac:dyDescent="0.2">
      <c r="A293" s="42"/>
    </row>
    <row r="294" spans="1:1" x14ac:dyDescent="0.2">
      <c r="A294" s="42"/>
    </row>
    <row r="295" spans="1:1" x14ac:dyDescent="0.2">
      <c r="A295" s="42"/>
    </row>
    <row r="296" spans="1:1" x14ac:dyDescent="0.2">
      <c r="A296" s="42"/>
    </row>
    <row r="297" spans="1:1" x14ac:dyDescent="0.2">
      <c r="A297" s="42"/>
    </row>
    <row r="298" spans="1:1" x14ac:dyDescent="0.2">
      <c r="A298" s="42"/>
    </row>
    <row r="299" spans="1:1" x14ac:dyDescent="0.2">
      <c r="A299" s="42"/>
    </row>
    <row r="300" spans="1:1" x14ac:dyDescent="0.2">
      <c r="A300" s="42"/>
    </row>
    <row r="301" spans="1:1" x14ac:dyDescent="0.2">
      <c r="A301" s="42"/>
    </row>
    <row r="302" spans="1:1" x14ac:dyDescent="0.2">
      <c r="A302" s="42"/>
    </row>
    <row r="303" spans="1:1" x14ac:dyDescent="0.2">
      <c r="A303" s="42"/>
    </row>
    <row r="304" spans="1:1" x14ac:dyDescent="0.2">
      <c r="A304" s="42"/>
    </row>
    <row r="305" spans="1:1" x14ac:dyDescent="0.2">
      <c r="A305" s="42"/>
    </row>
    <row r="306" spans="1:1" x14ac:dyDescent="0.2">
      <c r="A306" s="42"/>
    </row>
    <row r="307" spans="1:1" x14ac:dyDescent="0.2">
      <c r="A307" s="42"/>
    </row>
    <row r="308" spans="1:1" x14ac:dyDescent="0.2">
      <c r="A308" s="42"/>
    </row>
    <row r="309" spans="1:1" x14ac:dyDescent="0.2">
      <c r="A309" s="42"/>
    </row>
    <row r="310" spans="1:1" x14ac:dyDescent="0.2">
      <c r="A310" s="42"/>
    </row>
    <row r="311" spans="1:1" x14ac:dyDescent="0.2">
      <c r="A311" s="42"/>
    </row>
    <row r="312" spans="1:1" x14ac:dyDescent="0.2">
      <c r="A312" s="42"/>
    </row>
    <row r="313" spans="1:1" x14ac:dyDescent="0.2">
      <c r="A313" s="42"/>
    </row>
    <row r="314" spans="1:1" x14ac:dyDescent="0.2">
      <c r="A314" s="42"/>
    </row>
    <row r="315" spans="1:1" x14ac:dyDescent="0.2">
      <c r="A315" s="42"/>
    </row>
    <row r="316" spans="1:1" x14ac:dyDescent="0.2">
      <c r="A316" s="42"/>
    </row>
    <row r="317" spans="1:1" x14ac:dyDescent="0.2">
      <c r="A317" s="42"/>
    </row>
    <row r="318" spans="1:1" x14ac:dyDescent="0.2">
      <c r="A318" s="42"/>
    </row>
    <row r="319" spans="1:1" x14ac:dyDescent="0.2">
      <c r="A319" s="42"/>
    </row>
    <row r="320" spans="1:1" x14ac:dyDescent="0.2">
      <c r="A320" s="42"/>
    </row>
    <row r="321" spans="1:1" x14ac:dyDescent="0.2">
      <c r="A321" s="42"/>
    </row>
    <row r="322" spans="1:1" x14ac:dyDescent="0.2">
      <c r="A322" s="42"/>
    </row>
    <row r="323" spans="1:1" x14ac:dyDescent="0.2">
      <c r="A323" s="42"/>
    </row>
    <row r="324" spans="1:1" x14ac:dyDescent="0.2">
      <c r="A324" s="42"/>
    </row>
    <row r="325" spans="1:1" x14ac:dyDescent="0.2">
      <c r="A325" s="42"/>
    </row>
    <row r="326" spans="1:1" x14ac:dyDescent="0.2">
      <c r="A326" s="42"/>
    </row>
    <row r="327" spans="1:1" x14ac:dyDescent="0.2">
      <c r="A327" s="42"/>
    </row>
    <row r="328" spans="1:1" x14ac:dyDescent="0.2">
      <c r="A328" s="42"/>
    </row>
    <row r="329" spans="1:1" x14ac:dyDescent="0.2">
      <c r="A329" s="42"/>
    </row>
    <row r="330" spans="1:1" x14ac:dyDescent="0.2">
      <c r="A330" s="42"/>
    </row>
    <row r="331" spans="1:1" x14ac:dyDescent="0.2">
      <c r="A331" s="42"/>
    </row>
    <row r="332" spans="1:1" x14ac:dyDescent="0.2">
      <c r="A332" s="42"/>
    </row>
    <row r="333" spans="1:1" x14ac:dyDescent="0.2">
      <c r="A333" s="42"/>
    </row>
    <row r="334" spans="1:1" x14ac:dyDescent="0.2">
      <c r="A334" s="42"/>
    </row>
    <row r="335" spans="1:1" x14ac:dyDescent="0.2">
      <c r="A335" s="42"/>
    </row>
    <row r="336" spans="1:1" x14ac:dyDescent="0.2">
      <c r="A336" s="42"/>
    </row>
    <row r="337" spans="1:1" x14ac:dyDescent="0.2">
      <c r="A337" s="42"/>
    </row>
    <row r="338" spans="1:1" x14ac:dyDescent="0.2">
      <c r="A338" s="42"/>
    </row>
    <row r="339" spans="1:1" x14ac:dyDescent="0.2">
      <c r="A339" s="42"/>
    </row>
    <row r="340" spans="1:1" x14ac:dyDescent="0.2">
      <c r="A340" s="42"/>
    </row>
    <row r="341" spans="1:1" x14ac:dyDescent="0.2">
      <c r="A341" s="42"/>
    </row>
    <row r="342" spans="1:1" x14ac:dyDescent="0.2">
      <c r="A342" s="42"/>
    </row>
    <row r="343" spans="1:1" x14ac:dyDescent="0.2">
      <c r="A343" s="42"/>
    </row>
    <row r="344" spans="1:1" x14ac:dyDescent="0.2">
      <c r="A344" s="42"/>
    </row>
    <row r="345" spans="1:1" x14ac:dyDescent="0.2">
      <c r="A345" s="42"/>
    </row>
    <row r="346" spans="1:1" x14ac:dyDescent="0.2">
      <c r="A346" s="42"/>
    </row>
    <row r="347" spans="1:1" x14ac:dyDescent="0.2">
      <c r="A347" s="42"/>
    </row>
    <row r="348" spans="1:1" x14ac:dyDescent="0.2">
      <c r="A348" s="42"/>
    </row>
    <row r="349" spans="1:1" x14ac:dyDescent="0.2">
      <c r="A349" s="42"/>
    </row>
    <row r="350" spans="1:1" x14ac:dyDescent="0.2">
      <c r="A350" s="42"/>
    </row>
    <row r="351" spans="1:1" x14ac:dyDescent="0.2">
      <c r="A351" s="42"/>
    </row>
    <row r="352" spans="1:1" x14ac:dyDescent="0.2">
      <c r="A352" s="42"/>
    </row>
    <row r="353" spans="1:1" x14ac:dyDescent="0.2">
      <c r="A353" s="42"/>
    </row>
    <row r="354" spans="1:1" x14ac:dyDescent="0.2">
      <c r="A354" s="42"/>
    </row>
    <row r="355" spans="1:1" x14ac:dyDescent="0.2">
      <c r="A355" s="42"/>
    </row>
    <row r="356" spans="1:1" x14ac:dyDescent="0.2">
      <c r="A356" s="42"/>
    </row>
    <row r="357" spans="1:1" x14ac:dyDescent="0.2">
      <c r="A357" s="42"/>
    </row>
    <row r="358" spans="1:1" x14ac:dyDescent="0.2">
      <c r="A358" s="42"/>
    </row>
    <row r="359" spans="1:1" x14ac:dyDescent="0.2">
      <c r="A359" s="42"/>
    </row>
    <row r="360" spans="1:1" x14ac:dyDescent="0.2">
      <c r="A360" s="42"/>
    </row>
    <row r="361" spans="1:1" x14ac:dyDescent="0.2">
      <c r="A361" s="42"/>
    </row>
    <row r="362" spans="1:1" x14ac:dyDescent="0.2">
      <c r="A362" s="42"/>
    </row>
    <row r="363" spans="1:1" x14ac:dyDescent="0.2">
      <c r="A363" s="42"/>
    </row>
    <row r="364" spans="1:1" x14ac:dyDescent="0.2">
      <c r="A364" s="42"/>
    </row>
    <row r="365" spans="1:1" x14ac:dyDescent="0.2">
      <c r="A365" s="42"/>
    </row>
    <row r="366" spans="1:1" x14ac:dyDescent="0.2">
      <c r="A366" s="42"/>
    </row>
    <row r="367" spans="1:1" x14ac:dyDescent="0.2">
      <c r="A367" s="42"/>
    </row>
    <row r="368" spans="1:1" x14ac:dyDescent="0.2">
      <c r="A368" s="42"/>
    </row>
    <row r="369" spans="1:1" x14ac:dyDescent="0.2">
      <c r="A369" s="42"/>
    </row>
    <row r="370" spans="1:1" x14ac:dyDescent="0.2">
      <c r="A370" s="42"/>
    </row>
    <row r="371" spans="1:1" x14ac:dyDescent="0.2">
      <c r="A371" s="42"/>
    </row>
    <row r="372" spans="1:1" x14ac:dyDescent="0.2">
      <c r="A372" s="42"/>
    </row>
    <row r="373" spans="1:1" x14ac:dyDescent="0.2">
      <c r="A373" s="42"/>
    </row>
    <row r="374" spans="1:1" x14ac:dyDescent="0.2">
      <c r="A374" s="42"/>
    </row>
    <row r="375" spans="1:1" x14ac:dyDescent="0.2">
      <c r="A375" s="42"/>
    </row>
    <row r="376" spans="1:1" x14ac:dyDescent="0.2">
      <c r="A376" s="42"/>
    </row>
    <row r="377" spans="1:1" x14ac:dyDescent="0.2">
      <c r="A377" s="42"/>
    </row>
    <row r="378" spans="1:1" x14ac:dyDescent="0.2">
      <c r="A378" s="42"/>
    </row>
    <row r="379" spans="1:1" x14ac:dyDescent="0.2">
      <c r="A379" s="42"/>
    </row>
    <row r="380" spans="1:1" x14ac:dyDescent="0.2">
      <c r="A380" s="42"/>
    </row>
    <row r="381" spans="1:1" x14ac:dyDescent="0.2">
      <c r="A381" s="42"/>
    </row>
    <row r="382" spans="1:1" x14ac:dyDescent="0.2">
      <c r="A382" s="42"/>
    </row>
    <row r="383" spans="1:1" x14ac:dyDescent="0.2">
      <c r="A383" s="42"/>
    </row>
    <row r="384" spans="1:1" x14ac:dyDescent="0.2">
      <c r="A384" s="42"/>
    </row>
    <row r="385" spans="1:1" x14ac:dyDescent="0.2">
      <c r="A385" s="42"/>
    </row>
    <row r="386" spans="1:1" x14ac:dyDescent="0.2">
      <c r="A386" s="42"/>
    </row>
    <row r="387" spans="1:1" x14ac:dyDescent="0.2">
      <c r="A387" s="42"/>
    </row>
    <row r="388" spans="1:1" x14ac:dyDescent="0.2">
      <c r="A388" s="42"/>
    </row>
    <row r="389" spans="1:1" x14ac:dyDescent="0.2">
      <c r="A389" s="42"/>
    </row>
    <row r="390" spans="1:1" x14ac:dyDescent="0.2">
      <c r="A390" s="42"/>
    </row>
    <row r="391" spans="1:1" x14ac:dyDescent="0.2">
      <c r="A391" s="42"/>
    </row>
    <row r="392" spans="1:1" x14ac:dyDescent="0.2">
      <c r="A392" s="42"/>
    </row>
    <row r="393" spans="1:1" x14ac:dyDescent="0.2">
      <c r="A393" s="42"/>
    </row>
    <row r="394" spans="1:1" x14ac:dyDescent="0.2">
      <c r="A394" s="42"/>
    </row>
    <row r="395" spans="1:1" x14ac:dyDescent="0.2">
      <c r="A395" s="42"/>
    </row>
    <row r="396" spans="1:1" x14ac:dyDescent="0.2">
      <c r="A396" s="42"/>
    </row>
    <row r="397" spans="1:1" x14ac:dyDescent="0.2">
      <c r="A397" s="42"/>
    </row>
    <row r="398" spans="1:1" x14ac:dyDescent="0.2">
      <c r="A398" s="42"/>
    </row>
    <row r="399" spans="1:1" x14ac:dyDescent="0.2">
      <c r="A399" s="42"/>
    </row>
    <row r="400" spans="1:1" x14ac:dyDescent="0.2">
      <c r="A400" s="42"/>
    </row>
    <row r="401" spans="1:1" x14ac:dyDescent="0.2">
      <c r="A401" s="42"/>
    </row>
    <row r="402" spans="1:1" x14ac:dyDescent="0.2">
      <c r="A402" s="42"/>
    </row>
    <row r="403" spans="1:1" x14ac:dyDescent="0.2">
      <c r="A403" s="42"/>
    </row>
    <row r="404" spans="1:1" x14ac:dyDescent="0.2">
      <c r="A404" s="42"/>
    </row>
    <row r="405" spans="1:1" x14ac:dyDescent="0.2">
      <c r="A405" s="42"/>
    </row>
    <row r="406" spans="1:1" x14ac:dyDescent="0.2">
      <c r="A406" s="42"/>
    </row>
    <row r="407" spans="1:1" x14ac:dyDescent="0.2">
      <c r="A407" s="42"/>
    </row>
    <row r="408" spans="1:1" x14ac:dyDescent="0.2">
      <c r="A408" s="42"/>
    </row>
    <row r="409" spans="1:1" x14ac:dyDescent="0.2">
      <c r="A409" s="42"/>
    </row>
    <row r="410" spans="1:1" x14ac:dyDescent="0.2">
      <c r="A410" s="42"/>
    </row>
    <row r="411" spans="1:1" x14ac:dyDescent="0.2">
      <c r="A411" s="42"/>
    </row>
    <row r="412" spans="1:1" x14ac:dyDescent="0.2">
      <c r="A412" s="42"/>
    </row>
    <row r="413" spans="1:1" x14ac:dyDescent="0.2">
      <c r="A413" s="42"/>
    </row>
    <row r="414" spans="1:1" x14ac:dyDescent="0.2">
      <c r="A414" s="42"/>
    </row>
    <row r="415" spans="1:1" x14ac:dyDescent="0.2">
      <c r="A415" s="42"/>
    </row>
    <row r="416" spans="1:1" x14ac:dyDescent="0.2">
      <c r="A416" s="42"/>
    </row>
    <row r="417" spans="1:1" x14ac:dyDescent="0.2">
      <c r="A417" s="42"/>
    </row>
    <row r="418" spans="1:1" x14ac:dyDescent="0.2">
      <c r="A418" s="42"/>
    </row>
    <row r="419" spans="1:1" x14ac:dyDescent="0.2">
      <c r="A419" s="42"/>
    </row>
    <row r="420" spans="1:1" x14ac:dyDescent="0.2">
      <c r="A420" s="42"/>
    </row>
    <row r="421" spans="1:1" x14ac:dyDescent="0.2">
      <c r="A421" s="42"/>
    </row>
    <row r="422" spans="1:1" x14ac:dyDescent="0.2">
      <c r="A422" s="42"/>
    </row>
    <row r="423" spans="1:1" x14ac:dyDescent="0.2">
      <c r="A423" s="42"/>
    </row>
    <row r="424" spans="1:1" x14ac:dyDescent="0.2">
      <c r="A424" s="42"/>
    </row>
    <row r="425" spans="1:1" x14ac:dyDescent="0.2">
      <c r="A425" s="42"/>
    </row>
    <row r="426" spans="1:1" x14ac:dyDescent="0.2">
      <c r="A426" s="42"/>
    </row>
    <row r="427" spans="1:1" x14ac:dyDescent="0.2">
      <c r="A427" s="42"/>
    </row>
    <row r="428" spans="1:1" x14ac:dyDescent="0.2">
      <c r="A428" s="42"/>
    </row>
    <row r="429" spans="1:1" x14ac:dyDescent="0.2">
      <c r="A429" s="42"/>
    </row>
    <row r="430" spans="1:1" x14ac:dyDescent="0.2">
      <c r="A430" s="42"/>
    </row>
    <row r="431" spans="1:1" x14ac:dyDescent="0.2">
      <c r="A431" s="42"/>
    </row>
    <row r="432" spans="1:1" x14ac:dyDescent="0.2">
      <c r="A432" s="42"/>
    </row>
    <row r="433" spans="1:1" x14ac:dyDescent="0.2">
      <c r="A433" s="42"/>
    </row>
    <row r="434" spans="1:1" x14ac:dyDescent="0.2">
      <c r="A434" s="42"/>
    </row>
    <row r="435" spans="1:1" x14ac:dyDescent="0.2">
      <c r="A435" s="42"/>
    </row>
    <row r="436" spans="1:1" x14ac:dyDescent="0.2">
      <c r="A436" s="42"/>
    </row>
    <row r="437" spans="1:1" x14ac:dyDescent="0.2">
      <c r="A437" s="42"/>
    </row>
    <row r="438" spans="1:1" x14ac:dyDescent="0.2">
      <c r="A438" s="42"/>
    </row>
    <row r="439" spans="1:1" x14ac:dyDescent="0.2">
      <c r="A439" s="42"/>
    </row>
    <row r="440" spans="1:1" x14ac:dyDescent="0.2">
      <c r="A440" s="42"/>
    </row>
    <row r="441" spans="1:1" x14ac:dyDescent="0.2">
      <c r="A441" s="42"/>
    </row>
    <row r="442" spans="1:1" x14ac:dyDescent="0.2">
      <c r="A442" s="42"/>
    </row>
    <row r="443" spans="1:1" x14ac:dyDescent="0.2">
      <c r="A443" s="42"/>
    </row>
    <row r="444" spans="1:1" x14ac:dyDescent="0.2">
      <c r="A444" s="42"/>
    </row>
    <row r="445" spans="1:1" x14ac:dyDescent="0.2">
      <c r="A445" s="42"/>
    </row>
    <row r="446" spans="1:1" x14ac:dyDescent="0.2">
      <c r="A446" s="42"/>
    </row>
    <row r="447" spans="1:1" x14ac:dyDescent="0.2">
      <c r="A447" s="42"/>
    </row>
    <row r="448" spans="1:1" x14ac:dyDescent="0.2">
      <c r="A448" s="42"/>
    </row>
    <row r="449" spans="1:1" x14ac:dyDescent="0.2">
      <c r="A449" s="42"/>
    </row>
    <row r="450" spans="1:1" x14ac:dyDescent="0.2">
      <c r="A450" s="42"/>
    </row>
    <row r="451" spans="1:1" x14ac:dyDescent="0.2">
      <c r="A451" s="42"/>
    </row>
    <row r="452" spans="1:1" x14ac:dyDescent="0.2">
      <c r="A452" s="42"/>
    </row>
    <row r="453" spans="1:1" x14ac:dyDescent="0.2">
      <c r="A453" s="42"/>
    </row>
    <row r="454" spans="1:1" x14ac:dyDescent="0.2">
      <c r="A454" s="42"/>
    </row>
    <row r="455" spans="1:1" x14ac:dyDescent="0.2">
      <c r="A455" s="42"/>
    </row>
    <row r="456" spans="1:1" x14ac:dyDescent="0.2">
      <c r="A456" s="42"/>
    </row>
    <row r="457" spans="1:1" x14ac:dyDescent="0.2">
      <c r="A457" s="42"/>
    </row>
    <row r="458" spans="1:1" x14ac:dyDescent="0.2">
      <c r="A458" s="42"/>
    </row>
    <row r="459" spans="1:1" x14ac:dyDescent="0.2">
      <c r="A459" s="42"/>
    </row>
    <row r="460" spans="1:1" x14ac:dyDescent="0.2">
      <c r="A460" s="42"/>
    </row>
    <row r="461" spans="1:1" x14ac:dyDescent="0.2">
      <c r="A461" s="42"/>
    </row>
    <row r="462" spans="1:1" x14ac:dyDescent="0.2">
      <c r="A462" s="42"/>
    </row>
    <row r="463" spans="1:1" x14ac:dyDescent="0.2">
      <c r="A463" s="42"/>
    </row>
    <row r="464" spans="1:1" x14ac:dyDescent="0.2">
      <c r="A464" s="42"/>
    </row>
    <row r="465" spans="1:1" x14ac:dyDescent="0.2">
      <c r="A465" s="42"/>
    </row>
    <row r="466" spans="1:1" x14ac:dyDescent="0.2">
      <c r="A466" s="42"/>
    </row>
    <row r="467" spans="1:1" x14ac:dyDescent="0.2">
      <c r="A467" s="42"/>
    </row>
    <row r="468" spans="1:1" x14ac:dyDescent="0.2">
      <c r="A468" s="42"/>
    </row>
    <row r="469" spans="1:1" x14ac:dyDescent="0.2">
      <c r="A469" s="42"/>
    </row>
    <row r="470" spans="1:1" x14ac:dyDescent="0.2">
      <c r="A470" s="42"/>
    </row>
    <row r="471" spans="1:1" x14ac:dyDescent="0.2">
      <c r="A471" s="42"/>
    </row>
    <row r="472" spans="1:1" x14ac:dyDescent="0.2">
      <c r="A472" s="42"/>
    </row>
    <row r="473" spans="1:1" x14ac:dyDescent="0.2">
      <c r="A473" s="42"/>
    </row>
    <row r="474" spans="1:1" x14ac:dyDescent="0.2">
      <c r="A474" s="42"/>
    </row>
    <row r="475" spans="1:1" x14ac:dyDescent="0.2">
      <c r="A475" s="42"/>
    </row>
    <row r="476" spans="1:1" x14ac:dyDescent="0.2">
      <c r="A476" s="42"/>
    </row>
    <row r="477" spans="1:1" x14ac:dyDescent="0.2">
      <c r="A477" s="42"/>
    </row>
    <row r="478" spans="1:1" x14ac:dyDescent="0.2">
      <c r="A478" s="42"/>
    </row>
    <row r="479" spans="1:1" x14ac:dyDescent="0.2">
      <c r="A479" s="42"/>
    </row>
    <row r="480" spans="1:1" x14ac:dyDescent="0.2">
      <c r="A480" s="42"/>
    </row>
    <row r="481" spans="1:1" x14ac:dyDescent="0.2">
      <c r="A481" s="42"/>
    </row>
    <row r="482" spans="1:1" x14ac:dyDescent="0.2">
      <c r="A482" s="42"/>
    </row>
    <row r="483" spans="1:1" x14ac:dyDescent="0.2">
      <c r="A483" s="42"/>
    </row>
    <row r="484" spans="1:1" x14ac:dyDescent="0.2">
      <c r="A484" s="42"/>
    </row>
    <row r="485" spans="1:1" x14ac:dyDescent="0.2">
      <c r="A485" s="42"/>
    </row>
    <row r="486" spans="1:1" x14ac:dyDescent="0.2">
      <c r="A486" s="42"/>
    </row>
    <row r="487" spans="1:1" x14ac:dyDescent="0.2">
      <c r="A487" s="42"/>
    </row>
    <row r="488" spans="1:1" x14ac:dyDescent="0.2">
      <c r="A488" s="42"/>
    </row>
    <row r="489" spans="1:1" x14ac:dyDescent="0.2">
      <c r="A489" s="42"/>
    </row>
    <row r="490" spans="1:1" x14ac:dyDescent="0.2">
      <c r="A490" s="42"/>
    </row>
    <row r="491" spans="1:1" x14ac:dyDescent="0.2">
      <c r="A491" s="42"/>
    </row>
    <row r="492" spans="1:1" x14ac:dyDescent="0.2">
      <c r="A492" s="42"/>
    </row>
    <row r="493" spans="1:1" x14ac:dyDescent="0.2">
      <c r="A493" s="42"/>
    </row>
    <row r="494" spans="1:1" x14ac:dyDescent="0.2">
      <c r="A494" s="42"/>
    </row>
    <row r="495" spans="1:1" x14ac:dyDescent="0.2">
      <c r="A495" s="42"/>
    </row>
    <row r="496" spans="1:1" x14ac:dyDescent="0.2">
      <c r="A496" s="42"/>
    </row>
    <row r="497" spans="1:1" x14ac:dyDescent="0.2">
      <c r="A497" s="42"/>
    </row>
    <row r="498" spans="1:1" x14ac:dyDescent="0.2">
      <c r="A498" s="42"/>
    </row>
    <row r="499" spans="1:1" x14ac:dyDescent="0.2">
      <c r="A499" s="42"/>
    </row>
    <row r="500" spans="1:1" x14ac:dyDescent="0.2">
      <c r="A500" s="42"/>
    </row>
    <row r="501" spans="1:1" x14ac:dyDescent="0.2">
      <c r="A501" s="42"/>
    </row>
    <row r="502" spans="1:1" x14ac:dyDescent="0.2">
      <c r="A502" s="42"/>
    </row>
    <row r="503" spans="1:1" x14ac:dyDescent="0.2">
      <c r="A503" s="42"/>
    </row>
    <row r="504" spans="1:1" x14ac:dyDescent="0.2">
      <c r="A504" s="42"/>
    </row>
    <row r="505" spans="1:1" x14ac:dyDescent="0.2">
      <c r="A505" s="42"/>
    </row>
    <row r="506" spans="1:1" x14ac:dyDescent="0.2">
      <c r="A506" s="42"/>
    </row>
    <row r="507" spans="1:1" x14ac:dyDescent="0.2">
      <c r="A507" s="42"/>
    </row>
    <row r="508" spans="1:1" x14ac:dyDescent="0.2">
      <c r="A508" s="42"/>
    </row>
    <row r="509" spans="1:1" x14ac:dyDescent="0.2">
      <c r="A509" s="42"/>
    </row>
    <row r="510" spans="1:1" x14ac:dyDescent="0.2">
      <c r="A510" s="42"/>
    </row>
    <row r="511" spans="1:1" x14ac:dyDescent="0.2">
      <c r="A511" s="42"/>
    </row>
    <row r="512" spans="1:1" x14ac:dyDescent="0.2">
      <c r="A512" s="42"/>
    </row>
    <row r="513" spans="1:1" x14ac:dyDescent="0.2">
      <c r="A513" s="42"/>
    </row>
    <row r="514" spans="1:1" x14ac:dyDescent="0.2">
      <c r="A514" s="42"/>
    </row>
    <row r="515" spans="1:1" x14ac:dyDescent="0.2">
      <c r="A515" s="42"/>
    </row>
    <row r="516" spans="1:1" x14ac:dyDescent="0.2">
      <c r="A516" s="42"/>
    </row>
    <row r="517" spans="1:1" x14ac:dyDescent="0.2">
      <c r="A517" s="42"/>
    </row>
    <row r="518" spans="1:1" x14ac:dyDescent="0.2">
      <c r="A518" s="42"/>
    </row>
    <row r="519" spans="1:1" x14ac:dyDescent="0.2">
      <c r="A519" s="42"/>
    </row>
    <row r="520" spans="1:1" x14ac:dyDescent="0.2">
      <c r="A520" s="42"/>
    </row>
    <row r="521" spans="1:1" x14ac:dyDescent="0.2">
      <c r="A521" s="42"/>
    </row>
    <row r="522" spans="1:1" x14ac:dyDescent="0.2">
      <c r="A522" s="42"/>
    </row>
    <row r="523" spans="1:1" x14ac:dyDescent="0.2">
      <c r="A523" s="42"/>
    </row>
    <row r="524" spans="1:1" x14ac:dyDescent="0.2">
      <c r="A524" s="42"/>
    </row>
    <row r="525" spans="1:1" x14ac:dyDescent="0.2">
      <c r="A525" s="42"/>
    </row>
    <row r="526" spans="1:1" x14ac:dyDescent="0.2">
      <c r="A526" s="42"/>
    </row>
    <row r="527" spans="1:1" x14ac:dyDescent="0.2">
      <c r="A527" s="42"/>
    </row>
    <row r="528" spans="1:1" x14ac:dyDescent="0.2">
      <c r="A528" s="42"/>
    </row>
    <row r="529" spans="1:1" x14ac:dyDescent="0.2">
      <c r="A529" s="42"/>
    </row>
    <row r="530" spans="1:1" x14ac:dyDescent="0.2">
      <c r="A530" s="42"/>
    </row>
    <row r="531" spans="1:1" x14ac:dyDescent="0.2">
      <c r="A531" s="42"/>
    </row>
    <row r="532" spans="1:1" x14ac:dyDescent="0.2">
      <c r="A532" s="42"/>
    </row>
    <row r="533" spans="1:1" x14ac:dyDescent="0.2">
      <c r="A533" s="42"/>
    </row>
    <row r="534" spans="1:1" x14ac:dyDescent="0.2">
      <c r="A534" s="42"/>
    </row>
    <row r="535" spans="1:1" x14ac:dyDescent="0.2">
      <c r="A535" s="42"/>
    </row>
    <row r="536" spans="1:1" x14ac:dyDescent="0.2">
      <c r="A536" s="42"/>
    </row>
    <row r="537" spans="1:1" x14ac:dyDescent="0.2">
      <c r="A537" s="42"/>
    </row>
    <row r="538" spans="1:1" x14ac:dyDescent="0.2">
      <c r="A538" s="42"/>
    </row>
    <row r="539" spans="1:1" x14ac:dyDescent="0.2">
      <c r="A539" s="42"/>
    </row>
    <row r="540" spans="1:1" x14ac:dyDescent="0.2">
      <c r="A540" s="42"/>
    </row>
    <row r="541" spans="1:1" x14ac:dyDescent="0.2">
      <c r="A541" s="42"/>
    </row>
    <row r="542" spans="1:1" x14ac:dyDescent="0.2">
      <c r="A542" s="42"/>
    </row>
    <row r="543" spans="1:1" x14ac:dyDescent="0.2">
      <c r="A543" s="42"/>
    </row>
    <row r="544" spans="1:1" x14ac:dyDescent="0.2">
      <c r="A544" s="42"/>
    </row>
    <row r="545" spans="1:1" x14ac:dyDescent="0.2">
      <c r="A545" s="42"/>
    </row>
    <row r="546" spans="1:1" x14ac:dyDescent="0.2">
      <c r="A546" s="42"/>
    </row>
    <row r="547" spans="1:1" x14ac:dyDescent="0.2">
      <c r="A547" s="42"/>
    </row>
    <row r="548" spans="1:1" x14ac:dyDescent="0.2">
      <c r="A548" s="42"/>
    </row>
    <row r="549" spans="1:1" x14ac:dyDescent="0.2">
      <c r="A549" s="42"/>
    </row>
    <row r="550" spans="1:1" x14ac:dyDescent="0.2">
      <c r="A550" s="42"/>
    </row>
    <row r="551" spans="1:1" x14ac:dyDescent="0.2">
      <c r="A551" s="42"/>
    </row>
    <row r="552" spans="1:1" x14ac:dyDescent="0.2">
      <c r="A552" s="42"/>
    </row>
    <row r="553" spans="1:1" x14ac:dyDescent="0.2">
      <c r="A553" s="42"/>
    </row>
    <row r="554" spans="1:1" x14ac:dyDescent="0.2">
      <c r="A554" s="42"/>
    </row>
    <row r="555" spans="1:1" x14ac:dyDescent="0.2">
      <c r="A555" s="42"/>
    </row>
    <row r="556" spans="1:1" x14ac:dyDescent="0.2">
      <c r="A556" s="42"/>
    </row>
    <row r="557" spans="1:1" x14ac:dyDescent="0.2">
      <c r="A557" s="42"/>
    </row>
    <row r="558" spans="1:1" x14ac:dyDescent="0.2">
      <c r="A558" s="42"/>
    </row>
    <row r="559" spans="1:1" x14ac:dyDescent="0.2">
      <c r="A559" s="42"/>
    </row>
    <row r="560" spans="1:1" x14ac:dyDescent="0.2">
      <c r="A560" s="42"/>
    </row>
    <row r="561" spans="1:1" x14ac:dyDescent="0.2">
      <c r="A561" s="42"/>
    </row>
    <row r="562" spans="1:1" x14ac:dyDescent="0.2">
      <c r="A562" s="42"/>
    </row>
    <row r="563" spans="1:1" x14ac:dyDescent="0.2">
      <c r="A563" s="42"/>
    </row>
    <row r="564" spans="1:1" x14ac:dyDescent="0.2">
      <c r="A564" s="42"/>
    </row>
    <row r="565" spans="1:1" x14ac:dyDescent="0.2">
      <c r="A565" s="42"/>
    </row>
    <row r="566" spans="1:1" x14ac:dyDescent="0.2">
      <c r="A566" s="42"/>
    </row>
    <row r="567" spans="1:1" x14ac:dyDescent="0.2">
      <c r="A567" s="42"/>
    </row>
    <row r="568" spans="1:1" x14ac:dyDescent="0.2">
      <c r="A568" s="42"/>
    </row>
    <row r="569" spans="1:1" x14ac:dyDescent="0.2">
      <c r="A569" s="42"/>
    </row>
    <row r="570" spans="1:1" x14ac:dyDescent="0.2">
      <c r="A570" s="42"/>
    </row>
    <row r="571" spans="1:1" x14ac:dyDescent="0.2">
      <c r="A571" s="42"/>
    </row>
    <row r="572" spans="1:1" x14ac:dyDescent="0.2">
      <c r="A572" s="42"/>
    </row>
    <row r="573" spans="1:1" x14ac:dyDescent="0.2">
      <c r="A573" s="42"/>
    </row>
    <row r="574" spans="1:1" x14ac:dyDescent="0.2">
      <c r="A574" s="42"/>
    </row>
    <row r="575" spans="1:1" x14ac:dyDescent="0.2">
      <c r="A575" s="42"/>
    </row>
    <row r="576" spans="1:1" x14ac:dyDescent="0.2">
      <c r="A576" s="42"/>
    </row>
    <row r="577" spans="1:1" x14ac:dyDescent="0.2">
      <c r="A577" s="42"/>
    </row>
    <row r="578" spans="1:1" x14ac:dyDescent="0.2">
      <c r="A578" s="42"/>
    </row>
    <row r="579" spans="1:1" x14ac:dyDescent="0.2">
      <c r="A579" s="42"/>
    </row>
    <row r="580" spans="1:1" x14ac:dyDescent="0.2">
      <c r="A580" s="42"/>
    </row>
    <row r="581" spans="1:1" x14ac:dyDescent="0.2">
      <c r="A581" s="42"/>
    </row>
    <row r="582" spans="1:1" x14ac:dyDescent="0.2">
      <c r="A582" s="42"/>
    </row>
    <row r="583" spans="1:1" x14ac:dyDescent="0.2">
      <c r="A583" s="42"/>
    </row>
    <row r="584" spans="1:1" x14ac:dyDescent="0.2">
      <c r="A584" s="42"/>
    </row>
    <row r="585" spans="1:1" x14ac:dyDescent="0.2">
      <c r="A585" s="42"/>
    </row>
    <row r="586" spans="1:1" x14ac:dyDescent="0.2">
      <c r="A586" s="42"/>
    </row>
    <row r="587" spans="1:1" x14ac:dyDescent="0.2">
      <c r="A587" s="42"/>
    </row>
    <row r="588" spans="1:1" x14ac:dyDescent="0.2">
      <c r="A588" s="42"/>
    </row>
    <row r="589" spans="1:1" x14ac:dyDescent="0.2">
      <c r="A589" s="42"/>
    </row>
    <row r="590" spans="1:1" x14ac:dyDescent="0.2">
      <c r="A590" s="42"/>
    </row>
    <row r="591" spans="1:1" x14ac:dyDescent="0.2">
      <c r="A591" s="42"/>
    </row>
    <row r="592" spans="1:1" x14ac:dyDescent="0.2">
      <c r="A592" s="42"/>
    </row>
    <row r="593" spans="1:1" x14ac:dyDescent="0.2">
      <c r="A593" s="42"/>
    </row>
    <row r="594" spans="1:1" x14ac:dyDescent="0.2">
      <c r="A594" s="42"/>
    </row>
    <row r="595" spans="1:1" x14ac:dyDescent="0.2">
      <c r="A595" s="42"/>
    </row>
    <row r="596" spans="1:1" x14ac:dyDescent="0.2">
      <c r="A596" s="42"/>
    </row>
    <row r="597" spans="1:1" x14ac:dyDescent="0.2">
      <c r="A597" s="42"/>
    </row>
    <row r="598" spans="1:1" x14ac:dyDescent="0.2">
      <c r="A598" s="42"/>
    </row>
    <row r="599" spans="1:1" x14ac:dyDescent="0.2">
      <c r="A599" s="42"/>
    </row>
    <row r="600" spans="1:1" x14ac:dyDescent="0.2">
      <c r="A600" s="42"/>
    </row>
    <row r="601" spans="1:1" x14ac:dyDescent="0.2">
      <c r="A601" s="42"/>
    </row>
    <row r="602" spans="1:1" x14ac:dyDescent="0.2">
      <c r="A602" s="42"/>
    </row>
    <row r="603" spans="1:1" x14ac:dyDescent="0.2">
      <c r="A603" s="42"/>
    </row>
    <row r="604" spans="1:1" x14ac:dyDescent="0.2">
      <c r="A604" s="42"/>
    </row>
    <row r="605" spans="1:1" x14ac:dyDescent="0.2">
      <c r="A605" s="42"/>
    </row>
    <row r="606" spans="1:1" x14ac:dyDescent="0.2">
      <c r="A606" s="42"/>
    </row>
    <row r="607" spans="1:1" x14ac:dyDescent="0.2">
      <c r="A607" s="42"/>
    </row>
    <row r="608" spans="1:1" x14ac:dyDescent="0.2">
      <c r="A608" s="42"/>
    </row>
    <row r="609" spans="1:1" x14ac:dyDescent="0.2">
      <c r="A609" s="42"/>
    </row>
    <row r="610" spans="1:1" x14ac:dyDescent="0.2">
      <c r="A610" s="42"/>
    </row>
    <row r="611" spans="1:1" x14ac:dyDescent="0.2">
      <c r="A611" s="42"/>
    </row>
    <row r="612" spans="1:1" x14ac:dyDescent="0.2">
      <c r="A612" s="42"/>
    </row>
    <row r="613" spans="1:1" x14ac:dyDescent="0.2">
      <c r="A613" s="42"/>
    </row>
    <row r="614" spans="1:1" x14ac:dyDescent="0.2">
      <c r="A614" s="42"/>
    </row>
    <row r="615" spans="1:1" x14ac:dyDescent="0.2">
      <c r="A615" s="42"/>
    </row>
    <row r="616" spans="1:1" x14ac:dyDescent="0.2">
      <c r="A616" s="42"/>
    </row>
    <row r="617" spans="1:1" x14ac:dyDescent="0.2">
      <c r="A617" s="42"/>
    </row>
    <row r="618" spans="1:1" x14ac:dyDescent="0.2">
      <c r="A618" s="42"/>
    </row>
    <row r="619" spans="1:1" x14ac:dyDescent="0.2">
      <c r="A619" s="42"/>
    </row>
    <row r="620" spans="1:1" x14ac:dyDescent="0.2">
      <c r="A620" s="42"/>
    </row>
    <row r="621" spans="1:1" x14ac:dyDescent="0.2">
      <c r="A621" s="42"/>
    </row>
    <row r="622" spans="1:1" x14ac:dyDescent="0.2">
      <c r="A622" s="42"/>
    </row>
    <row r="623" spans="1:1" x14ac:dyDescent="0.2">
      <c r="A623" s="42"/>
    </row>
    <row r="624" spans="1:1" x14ac:dyDescent="0.2">
      <c r="A624" s="42"/>
    </row>
    <row r="625" spans="1:1" x14ac:dyDescent="0.2">
      <c r="A625" s="42"/>
    </row>
    <row r="626" spans="1:1" x14ac:dyDescent="0.2">
      <c r="A626" s="42"/>
    </row>
    <row r="627" spans="1:1" x14ac:dyDescent="0.2">
      <c r="A627" s="42"/>
    </row>
    <row r="628" spans="1:1" x14ac:dyDescent="0.2">
      <c r="A628" s="42"/>
    </row>
    <row r="629" spans="1:1" x14ac:dyDescent="0.2">
      <c r="A629" s="42"/>
    </row>
    <row r="630" spans="1:1" x14ac:dyDescent="0.2">
      <c r="A630" s="42"/>
    </row>
    <row r="631" spans="1:1" x14ac:dyDescent="0.2">
      <c r="A631" s="42"/>
    </row>
    <row r="632" spans="1:1" x14ac:dyDescent="0.2">
      <c r="A632" s="42"/>
    </row>
    <row r="633" spans="1:1" x14ac:dyDescent="0.2">
      <c r="A633" s="42"/>
    </row>
    <row r="634" spans="1:1" x14ac:dyDescent="0.2">
      <c r="A634" s="42"/>
    </row>
    <row r="635" spans="1:1" x14ac:dyDescent="0.2">
      <c r="A635" s="42"/>
    </row>
    <row r="636" spans="1:1" x14ac:dyDescent="0.2">
      <c r="A636" s="42"/>
    </row>
    <row r="637" spans="1:1" x14ac:dyDescent="0.2">
      <c r="A637" s="42"/>
    </row>
    <row r="638" spans="1:1" x14ac:dyDescent="0.2">
      <c r="A638" s="42"/>
    </row>
    <row r="639" spans="1:1" x14ac:dyDescent="0.2">
      <c r="A639" s="42"/>
    </row>
    <row r="640" spans="1:1" x14ac:dyDescent="0.2">
      <c r="A640" s="42"/>
    </row>
    <row r="641" spans="1:1" x14ac:dyDescent="0.2">
      <c r="A641" s="42"/>
    </row>
    <row r="642" spans="1:1" x14ac:dyDescent="0.2">
      <c r="A642" s="42"/>
    </row>
    <row r="643" spans="1:1" x14ac:dyDescent="0.2">
      <c r="A643" s="42"/>
    </row>
    <row r="644" spans="1:1" x14ac:dyDescent="0.2">
      <c r="A644" s="42"/>
    </row>
    <row r="645" spans="1:1" x14ac:dyDescent="0.2">
      <c r="A645" s="42"/>
    </row>
    <row r="646" spans="1:1" x14ac:dyDescent="0.2">
      <c r="A646" s="42"/>
    </row>
    <row r="647" spans="1:1" x14ac:dyDescent="0.2">
      <c r="A647" s="42"/>
    </row>
    <row r="648" spans="1:1" x14ac:dyDescent="0.2">
      <c r="A648" s="42"/>
    </row>
    <row r="649" spans="1:1" x14ac:dyDescent="0.2">
      <c r="A649" s="42"/>
    </row>
    <row r="650" spans="1:1" x14ac:dyDescent="0.2">
      <c r="A650" s="42"/>
    </row>
    <row r="651" spans="1:1" x14ac:dyDescent="0.2">
      <c r="A651" s="42"/>
    </row>
    <row r="652" spans="1:1" x14ac:dyDescent="0.2">
      <c r="A652" s="42"/>
    </row>
    <row r="653" spans="1:1" x14ac:dyDescent="0.2">
      <c r="A653" s="42"/>
    </row>
    <row r="654" spans="1:1" x14ac:dyDescent="0.2">
      <c r="A654" s="42"/>
    </row>
    <row r="655" spans="1:1" x14ac:dyDescent="0.2">
      <c r="A655" s="42"/>
    </row>
    <row r="656" spans="1:1" x14ac:dyDescent="0.2">
      <c r="A656" s="42"/>
    </row>
    <row r="657" spans="1:1" x14ac:dyDescent="0.2">
      <c r="A657" s="42"/>
    </row>
    <row r="658" spans="1:1" x14ac:dyDescent="0.2">
      <c r="A658" s="42"/>
    </row>
    <row r="659" spans="1:1" x14ac:dyDescent="0.2">
      <c r="A659" s="42"/>
    </row>
    <row r="660" spans="1:1" x14ac:dyDescent="0.2">
      <c r="A660" s="42"/>
    </row>
    <row r="661" spans="1:1" x14ac:dyDescent="0.2">
      <c r="A661" s="42"/>
    </row>
    <row r="662" spans="1:1" x14ac:dyDescent="0.2">
      <c r="A662" s="42"/>
    </row>
    <row r="663" spans="1:1" x14ac:dyDescent="0.2">
      <c r="A663" s="42"/>
    </row>
    <row r="664" spans="1:1" x14ac:dyDescent="0.2">
      <c r="A664" s="42"/>
    </row>
    <row r="665" spans="1:1" x14ac:dyDescent="0.2">
      <c r="A665" s="42"/>
    </row>
    <row r="666" spans="1:1" x14ac:dyDescent="0.2">
      <c r="A666" s="42"/>
    </row>
    <row r="667" spans="1:1" x14ac:dyDescent="0.2">
      <c r="A667" s="42"/>
    </row>
    <row r="668" spans="1:1" x14ac:dyDescent="0.2">
      <c r="A668" s="42"/>
    </row>
    <row r="669" spans="1:1" x14ac:dyDescent="0.2">
      <c r="A669" s="42"/>
    </row>
    <row r="670" spans="1:1" x14ac:dyDescent="0.2">
      <c r="A670" s="42"/>
    </row>
    <row r="671" spans="1:1" x14ac:dyDescent="0.2">
      <c r="A671" s="42"/>
    </row>
    <row r="672" spans="1:1" x14ac:dyDescent="0.2">
      <c r="A672" s="42"/>
    </row>
    <row r="673" spans="1:1" x14ac:dyDescent="0.2">
      <c r="A673" s="42"/>
    </row>
    <row r="674" spans="1:1" x14ac:dyDescent="0.2">
      <c r="A674" s="42"/>
    </row>
    <row r="675" spans="1:1" x14ac:dyDescent="0.2">
      <c r="A675" s="42"/>
    </row>
    <row r="676" spans="1:1" x14ac:dyDescent="0.2">
      <c r="A676" s="42"/>
    </row>
    <row r="677" spans="1:1" x14ac:dyDescent="0.2">
      <c r="A677" s="42"/>
    </row>
    <row r="678" spans="1:1" x14ac:dyDescent="0.2">
      <c r="A678" s="42"/>
    </row>
    <row r="679" spans="1:1" x14ac:dyDescent="0.2">
      <c r="A679" s="42"/>
    </row>
    <row r="680" spans="1:1" x14ac:dyDescent="0.2">
      <c r="A680" s="42"/>
    </row>
    <row r="681" spans="1:1" x14ac:dyDescent="0.2">
      <c r="A681" s="42"/>
    </row>
    <row r="682" spans="1:1" x14ac:dyDescent="0.2">
      <c r="A682" s="42"/>
    </row>
    <row r="683" spans="1:1" x14ac:dyDescent="0.2">
      <c r="A683" s="42"/>
    </row>
    <row r="684" spans="1:1" x14ac:dyDescent="0.2">
      <c r="A684" s="42"/>
    </row>
    <row r="685" spans="1:1" x14ac:dyDescent="0.2">
      <c r="A685" s="42"/>
    </row>
    <row r="686" spans="1:1" x14ac:dyDescent="0.2">
      <c r="A686" s="42"/>
    </row>
    <row r="687" spans="1:1" x14ac:dyDescent="0.2">
      <c r="A687" s="42"/>
    </row>
    <row r="688" spans="1:1" x14ac:dyDescent="0.2">
      <c r="A688" s="42"/>
    </row>
    <row r="689" spans="1:1" x14ac:dyDescent="0.2">
      <c r="A689" s="42"/>
    </row>
    <row r="690" spans="1:1" x14ac:dyDescent="0.2">
      <c r="A690" s="42"/>
    </row>
    <row r="691" spans="1:1" x14ac:dyDescent="0.2">
      <c r="A691" s="42"/>
    </row>
    <row r="692" spans="1:1" x14ac:dyDescent="0.2">
      <c r="A692" s="42"/>
    </row>
    <row r="693" spans="1:1" x14ac:dyDescent="0.2">
      <c r="A693" s="42"/>
    </row>
    <row r="694" spans="1:1" x14ac:dyDescent="0.2">
      <c r="A694" s="42"/>
    </row>
    <row r="695" spans="1:1" x14ac:dyDescent="0.2">
      <c r="A695" s="42"/>
    </row>
    <row r="696" spans="1:1" x14ac:dyDescent="0.2">
      <c r="A696" s="42"/>
    </row>
    <row r="697" spans="1:1" x14ac:dyDescent="0.2">
      <c r="A697" s="42"/>
    </row>
    <row r="698" spans="1:1" x14ac:dyDescent="0.2">
      <c r="A698" s="42"/>
    </row>
    <row r="699" spans="1:1" x14ac:dyDescent="0.2">
      <c r="A699" s="42"/>
    </row>
    <row r="700" spans="1:1" x14ac:dyDescent="0.2">
      <c r="A700" s="42"/>
    </row>
    <row r="701" spans="1:1" x14ac:dyDescent="0.2">
      <c r="A701" s="42"/>
    </row>
    <row r="702" spans="1:1" x14ac:dyDescent="0.2">
      <c r="A702" s="42"/>
    </row>
    <row r="703" spans="1:1" x14ac:dyDescent="0.2">
      <c r="A703" s="42"/>
    </row>
    <row r="704" spans="1:1" x14ac:dyDescent="0.2">
      <c r="A704" s="42"/>
    </row>
    <row r="705" spans="1:1" x14ac:dyDescent="0.2">
      <c r="A705" s="42"/>
    </row>
    <row r="706" spans="1:1" x14ac:dyDescent="0.2">
      <c r="A706" s="42"/>
    </row>
    <row r="707" spans="1:1" x14ac:dyDescent="0.2">
      <c r="A707" s="42"/>
    </row>
    <row r="708" spans="1:1" x14ac:dyDescent="0.2">
      <c r="A708" s="42"/>
    </row>
    <row r="709" spans="1:1" x14ac:dyDescent="0.2">
      <c r="A709" s="42"/>
    </row>
    <row r="710" spans="1:1" x14ac:dyDescent="0.2">
      <c r="A710" s="42"/>
    </row>
    <row r="711" spans="1:1" x14ac:dyDescent="0.2">
      <c r="A711" s="42"/>
    </row>
    <row r="712" spans="1:1" x14ac:dyDescent="0.2">
      <c r="A712" s="42"/>
    </row>
    <row r="713" spans="1:1" x14ac:dyDescent="0.2">
      <c r="A713" s="42"/>
    </row>
    <row r="714" spans="1:1" x14ac:dyDescent="0.2">
      <c r="A714" s="42"/>
    </row>
    <row r="715" spans="1:1" x14ac:dyDescent="0.2">
      <c r="A715" s="42"/>
    </row>
    <row r="716" spans="1:1" x14ac:dyDescent="0.2">
      <c r="A716" s="42"/>
    </row>
    <row r="717" spans="1:1" x14ac:dyDescent="0.2">
      <c r="A717" s="42"/>
    </row>
    <row r="718" spans="1:1" x14ac:dyDescent="0.2">
      <c r="A718" s="42"/>
    </row>
    <row r="719" spans="1:1" x14ac:dyDescent="0.2">
      <c r="A719" s="42"/>
    </row>
    <row r="720" spans="1:1" x14ac:dyDescent="0.2">
      <c r="A720" s="42"/>
    </row>
    <row r="721" spans="1:1" x14ac:dyDescent="0.2">
      <c r="A721" s="42"/>
    </row>
    <row r="722" spans="1:1" x14ac:dyDescent="0.2">
      <c r="A722" s="42"/>
    </row>
    <row r="723" spans="1:1" x14ac:dyDescent="0.2">
      <c r="A723" s="42"/>
    </row>
    <row r="724" spans="1:1" x14ac:dyDescent="0.2">
      <c r="A724" s="42"/>
    </row>
    <row r="725" spans="1:1" x14ac:dyDescent="0.2">
      <c r="A725" s="42"/>
    </row>
    <row r="726" spans="1:1" x14ac:dyDescent="0.2">
      <c r="A726" s="42"/>
    </row>
    <row r="727" spans="1:1" x14ac:dyDescent="0.2">
      <c r="A727" s="42"/>
    </row>
    <row r="728" spans="1:1" x14ac:dyDescent="0.2">
      <c r="A728" s="42"/>
    </row>
    <row r="729" spans="1:1" x14ac:dyDescent="0.2">
      <c r="A729" s="42"/>
    </row>
    <row r="730" spans="1:1" x14ac:dyDescent="0.2">
      <c r="A730" s="42"/>
    </row>
    <row r="731" spans="1:1" x14ac:dyDescent="0.2">
      <c r="A731" s="42"/>
    </row>
    <row r="732" spans="1:1" x14ac:dyDescent="0.2">
      <c r="A732" s="42"/>
    </row>
    <row r="733" spans="1:1" x14ac:dyDescent="0.2">
      <c r="A733" s="42"/>
    </row>
    <row r="734" spans="1:1" x14ac:dyDescent="0.2">
      <c r="A734" s="42"/>
    </row>
    <row r="735" spans="1:1" x14ac:dyDescent="0.2">
      <c r="A735" s="42"/>
    </row>
    <row r="736" spans="1:1" x14ac:dyDescent="0.2">
      <c r="A736" s="42"/>
    </row>
    <row r="737" spans="1:1" x14ac:dyDescent="0.2">
      <c r="A737" s="42"/>
    </row>
    <row r="738" spans="1:1" x14ac:dyDescent="0.2">
      <c r="A738" s="42"/>
    </row>
    <row r="739" spans="1:1" x14ac:dyDescent="0.2">
      <c r="A739" s="42"/>
    </row>
    <row r="740" spans="1:1" x14ac:dyDescent="0.2">
      <c r="A740" s="42"/>
    </row>
    <row r="741" spans="1:1" x14ac:dyDescent="0.2">
      <c r="A741" s="42"/>
    </row>
    <row r="742" spans="1:1" x14ac:dyDescent="0.2">
      <c r="A742" s="42"/>
    </row>
    <row r="743" spans="1:1" x14ac:dyDescent="0.2">
      <c r="A743" s="42"/>
    </row>
    <row r="744" spans="1:1" x14ac:dyDescent="0.2">
      <c r="A744" s="42"/>
    </row>
    <row r="745" spans="1:1" x14ac:dyDescent="0.2">
      <c r="A745" s="42"/>
    </row>
    <row r="746" spans="1:1" x14ac:dyDescent="0.2">
      <c r="A746" s="42"/>
    </row>
    <row r="747" spans="1:1" x14ac:dyDescent="0.2">
      <c r="A747" s="42"/>
    </row>
    <row r="748" spans="1:1" x14ac:dyDescent="0.2">
      <c r="A748" s="42"/>
    </row>
    <row r="749" spans="1:1" x14ac:dyDescent="0.2">
      <c r="A749" s="42"/>
    </row>
    <row r="750" spans="1:1" x14ac:dyDescent="0.2">
      <c r="A750" s="42"/>
    </row>
    <row r="751" spans="1:1" x14ac:dyDescent="0.2">
      <c r="A751" s="42"/>
    </row>
    <row r="752" spans="1:1" x14ac:dyDescent="0.2">
      <c r="A752" s="42"/>
    </row>
    <row r="753" spans="1:1" x14ac:dyDescent="0.2">
      <c r="A753" s="42"/>
    </row>
    <row r="754" spans="1:1" x14ac:dyDescent="0.2">
      <c r="A754" s="42"/>
    </row>
    <row r="755" spans="1:1" x14ac:dyDescent="0.2">
      <c r="A755" s="42"/>
    </row>
    <row r="756" spans="1:1" x14ac:dyDescent="0.2">
      <c r="A756" s="42"/>
    </row>
    <row r="757" spans="1:1" x14ac:dyDescent="0.2">
      <c r="A757" s="42"/>
    </row>
    <row r="758" spans="1:1" x14ac:dyDescent="0.2">
      <c r="A758" s="42"/>
    </row>
    <row r="759" spans="1:1" x14ac:dyDescent="0.2">
      <c r="A759" s="42"/>
    </row>
    <row r="760" spans="1:1" x14ac:dyDescent="0.2">
      <c r="A760" s="42"/>
    </row>
    <row r="761" spans="1:1" x14ac:dyDescent="0.2">
      <c r="A761" s="42"/>
    </row>
    <row r="762" spans="1:1" x14ac:dyDescent="0.2">
      <c r="A762" s="42"/>
    </row>
    <row r="763" spans="1:1" x14ac:dyDescent="0.2">
      <c r="A763" s="42"/>
    </row>
    <row r="764" spans="1:1" x14ac:dyDescent="0.2">
      <c r="A764" s="42"/>
    </row>
    <row r="765" spans="1:1" x14ac:dyDescent="0.2">
      <c r="A765" s="42"/>
    </row>
    <row r="766" spans="1:1" x14ac:dyDescent="0.2">
      <c r="A766" s="42"/>
    </row>
    <row r="767" spans="1:1" x14ac:dyDescent="0.2">
      <c r="A767" s="42"/>
    </row>
    <row r="768" spans="1:1" x14ac:dyDescent="0.2">
      <c r="A768" s="42"/>
    </row>
    <row r="769" spans="1:1" x14ac:dyDescent="0.2">
      <c r="A769" s="42"/>
    </row>
    <row r="770" spans="1:1" x14ac:dyDescent="0.2">
      <c r="A770" s="42"/>
    </row>
    <row r="771" spans="1:1" x14ac:dyDescent="0.2">
      <c r="A771" s="42"/>
    </row>
    <row r="772" spans="1:1" x14ac:dyDescent="0.2">
      <c r="A772" s="42"/>
    </row>
    <row r="773" spans="1:1" x14ac:dyDescent="0.2">
      <c r="A773" s="42"/>
    </row>
    <row r="774" spans="1:1" x14ac:dyDescent="0.2">
      <c r="A774" s="42"/>
    </row>
    <row r="775" spans="1:1" x14ac:dyDescent="0.2">
      <c r="A775" s="42"/>
    </row>
    <row r="776" spans="1:1" x14ac:dyDescent="0.2">
      <c r="A776" s="42"/>
    </row>
    <row r="777" spans="1:1" x14ac:dyDescent="0.2">
      <c r="A777" s="42"/>
    </row>
    <row r="778" spans="1:1" x14ac:dyDescent="0.2">
      <c r="A778" s="42"/>
    </row>
    <row r="779" spans="1:1" x14ac:dyDescent="0.2">
      <c r="A779" s="42"/>
    </row>
    <row r="780" spans="1:1" x14ac:dyDescent="0.2">
      <c r="A780" s="42"/>
    </row>
    <row r="781" spans="1:1" x14ac:dyDescent="0.2">
      <c r="A781" s="42"/>
    </row>
    <row r="782" spans="1:1" x14ac:dyDescent="0.2">
      <c r="A782" s="42"/>
    </row>
    <row r="783" spans="1:1" x14ac:dyDescent="0.2">
      <c r="A783" s="42"/>
    </row>
    <row r="784" spans="1:1" x14ac:dyDescent="0.2">
      <c r="A784" s="42"/>
    </row>
    <row r="785" spans="1:1" x14ac:dyDescent="0.2">
      <c r="A785" s="42"/>
    </row>
    <row r="786" spans="1:1" x14ac:dyDescent="0.2">
      <c r="A786" s="42"/>
    </row>
    <row r="787" spans="1:1" x14ac:dyDescent="0.2">
      <c r="A787" s="42"/>
    </row>
    <row r="788" spans="1:1" x14ac:dyDescent="0.2">
      <c r="A788" s="42"/>
    </row>
    <row r="789" spans="1:1" x14ac:dyDescent="0.2">
      <c r="A789" s="42"/>
    </row>
    <row r="790" spans="1:1" x14ac:dyDescent="0.2">
      <c r="A790" s="42"/>
    </row>
    <row r="791" spans="1:1" x14ac:dyDescent="0.2">
      <c r="A791" s="42"/>
    </row>
    <row r="792" spans="1:1" x14ac:dyDescent="0.2">
      <c r="A792" s="42"/>
    </row>
    <row r="793" spans="1:1" x14ac:dyDescent="0.2">
      <c r="A793" s="42"/>
    </row>
    <row r="794" spans="1:1" x14ac:dyDescent="0.2">
      <c r="A794" s="42"/>
    </row>
    <row r="795" spans="1:1" x14ac:dyDescent="0.2">
      <c r="A795" s="42"/>
    </row>
    <row r="796" spans="1:1" x14ac:dyDescent="0.2">
      <c r="A796" s="42"/>
    </row>
    <row r="797" spans="1:1" x14ac:dyDescent="0.2">
      <c r="A797" s="42"/>
    </row>
    <row r="798" spans="1:1" x14ac:dyDescent="0.2">
      <c r="A798" s="42"/>
    </row>
    <row r="799" spans="1:1" x14ac:dyDescent="0.2">
      <c r="A799" s="42"/>
    </row>
    <row r="800" spans="1:1" x14ac:dyDescent="0.2">
      <c r="A800" s="42"/>
    </row>
    <row r="801" spans="1:1" x14ac:dyDescent="0.2">
      <c r="A801" s="42"/>
    </row>
    <row r="802" spans="1:1" x14ac:dyDescent="0.2">
      <c r="A802" s="42"/>
    </row>
    <row r="803" spans="1:1" x14ac:dyDescent="0.2">
      <c r="A803" s="42"/>
    </row>
    <row r="804" spans="1:1" x14ac:dyDescent="0.2">
      <c r="A804" s="42"/>
    </row>
    <row r="805" spans="1:1" x14ac:dyDescent="0.2">
      <c r="A805" s="42"/>
    </row>
    <row r="806" spans="1:1" x14ac:dyDescent="0.2">
      <c r="A806" s="42"/>
    </row>
    <row r="807" spans="1:1" x14ac:dyDescent="0.2">
      <c r="A807" s="42"/>
    </row>
    <row r="808" spans="1:1" x14ac:dyDescent="0.2">
      <c r="A808" s="42"/>
    </row>
    <row r="809" spans="1:1" x14ac:dyDescent="0.2">
      <c r="A809" s="42"/>
    </row>
    <row r="810" spans="1:1" x14ac:dyDescent="0.2">
      <c r="A810" s="42"/>
    </row>
    <row r="811" spans="1:1" x14ac:dyDescent="0.2">
      <c r="A811" s="42"/>
    </row>
    <row r="812" spans="1:1" x14ac:dyDescent="0.2">
      <c r="A812" s="42"/>
    </row>
    <row r="813" spans="1:1" x14ac:dyDescent="0.2">
      <c r="A813" s="42"/>
    </row>
    <row r="814" spans="1:1" x14ac:dyDescent="0.2">
      <c r="A814" s="42"/>
    </row>
    <row r="815" spans="1:1" x14ac:dyDescent="0.2">
      <c r="A815" s="42"/>
    </row>
    <row r="816" spans="1:1" x14ac:dyDescent="0.2">
      <c r="A816" s="42"/>
    </row>
    <row r="817" spans="1:1" x14ac:dyDescent="0.2">
      <c r="A817" s="42"/>
    </row>
    <row r="818" spans="1:1" x14ac:dyDescent="0.2">
      <c r="A818" s="42"/>
    </row>
    <row r="819" spans="1:1" x14ac:dyDescent="0.2">
      <c r="A819" s="42"/>
    </row>
    <row r="820" spans="1:1" x14ac:dyDescent="0.2">
      <c r="A820" s="42"/>
    </row>
    <row r="821" spans="1:1" x14ac:dyDescent="0.2">
      <c r="A821" s="42"/>
    </row>
    <row r="822" spans="1:1" x14ac:dyDescent="0.2">
      <c r="A822" s="42"/>
    </row>
    <row r="823" spans="1:1" x14ac:dyDescent="0.2">
      <c r="A823" s="42"/>
    </row>
    <row r="824" spans="1:1" x14ac:dyDescent="0.2">
      <c r="A824" s="42"/>
    </row>
    <row r="825" spans="1:1" x14ac:dyDescent="0.2">
      <c r="A825" s="42"/>
    </row>
    <row r="826" spans="1:1" x14ac:dyDescent="0.2">
      <c r="A826" s="42"/>
    </row>
    <row r="827" spans="1:1" x14ac:dyDescent="0.2">
      <c r="A827" s="42"/>
    </row>
    <row r="828" spans="1:1" x14ac:dyDescent="0.2">
      <c r="A828" s="42"/>
    </row>
    <row r="829" spans="1:1" x14ac:dyDescent="0.2">
      <c r="A829" s="42"/>
    </row>
    <row r="830" spans="1:1" x14ac:dyDescent="0.2">
      <c r="A830" s="42"/>
    </row>
    <row r="831" spans="1:1" x14ac:dyDescent="0.2">
      <c r="A831" s="42"/>
    </row>
    <row r="832" spans="1:1" x14ac:dyDescent="0.2">
      <c r="A832" s="42"/>
    </row>
    <row r="833" spans="1:1" x14ac:dyDescent="0.2">
      <c r="A833" s="42"/>
    </row>
    <row r="834" spans="1:1" x14ac:dyDescent="0.2">
      <c r="A834" s="42"/>
    </row>
    <row r="835" spans="1:1" x14ac:dyDescent="0.2">
      <c r="A835" s="42"/>
    </row>
    <row r="836" spans="1:1" x14ac:dyDescent="0.2">
      <c r="A836" s="42"/>
    </row>
    <row r="837" spans="1:1" x14ac:dyDescent="0.2">
      <c r="A837" s="42"/>
    </row>
    <row r="838" spans="1:1" x14ac:dyDescent="0.2">
      <c r="A838" s="42"/>
    </row>
    <row r="839" spans="1:1" x14ac:dyDescent="0.2">
      <c r="A839" s="42"/>
    </row>
    <row r="840" spans="1:1" x14ac:dyDescent="0.2">
      <c r="A840" s="42"/>
    </row>
    <row r="841" spans="1:1" x14ac:dyDescent="0.2">
      <c r="A841" s="42"/>
    </row>
    <row r="842" spans="1:1" x14ac:dyDescent="0.2">
      <c r="A842" s="42"/>
    </row>
    <row r="843" spans="1:1" x14ac:dyDescent="0.2">
      <c r="A843" s="42"/>
    </row>
    <row r="844" spans="1:1" x14ac:dyDescent="0.2">
      <c r="A844" s="42"/>
    </row>
    <row r="845" spans="1:1" x14ac:dyDescent="0.2">
      <c r="A845" s="42"/>
    </row>
    <row r="846" spans="1:1" x14ac:dyDescent="0.2">
      <c r="A846" s="42"/>
    </row>
    <row r="847" spans="1:1" x14ac:dyDescent="0.2">
      <c r="A847" s="42"/>
    </row>
    <row r="848" spans="1:1" x14ac:dyDescent="0.2">
      <c r="A848" s="42"/>
    </row>
    <row r="849" spans="1:1" x14ac:dyDescent="0.2">
      <c r="A849" s="42"/>
    </row>
    <row r="850" spans="1:1" x14ac:dyDescent="0.2">
      <c r="A850" s="42"/>
    </row>
    <row r="851" spans="1:1" x14ac:dyDescent="0.2">
      <c r="A851" s="42"/>
    </row>
    <row r="852" spans="1:1" x14ac:dyDescent="0.2">
      <c r="A852" s="42"/>
    </row>
    <row r="853" spans="1:1" x14ac:dyDescent="0.2">
      <c r="A853" s="42"/>
    </row>
    <row r="854" spans="1:1" x14ac:dyDescent="0.2">
      <c r="A854" s="42"/>
    </row>
    <row r="855" spans="1:1" x14ac:dyDescent="0.2">
      <c r="A855" s="42"/>
    </row>
    <row r="856" spans="1:1" x14ac:dyDescent="0.2">
      <c r="A856" s="42"/>
    </row>
    <row r="857" spans="1:1" x14ac:dyDescent="0.2">
      <c r="A857" s="42"/>
    </row>
    <row r="858" spans="1:1" x14ac:dyDescent="0.2">
      <c r="A858" s="42"/>
    </row>
    <row r="859" spans="1:1" x14ac:dyDescent="0.2">
      <c r="A859" s="42"/>
    </row>
    <row r="860" spans="1:1" x14ac:dyDescent="0.2">
      <c r="A860" s="42"/>
    </row>
    <row r="861" spans="1:1" x14ac:dyDescent="0.2">
      <c r="A861" s="42"/>
    </row>
    <row r="862" spans="1:1" x14ac:dyDescent="0.2">
      <c r="A862" s="42"/>
    </row>
    <row r="863" spans="1:1" x14ac:dyDescent="0.2">
      <c r="A863" s="42"/>
    </row>
    <row r="864" spans="1:1" x14ac:dyDescent="0.2">
      <c r="A864" s="42"/>
    </row>
    <row r="865" spans="1:1" x14ac:dyDescent="0.2">
      <c r="A865" s="42"/>
    </row>
    <row r="866" spans="1:1" x14ac:dyDescent="0.2">
      <c r="A866" s="42"/>
    </row>
    <row r="867" spans="1:1" x14ac:dyDescent="0.2">
      <c r="A867" s="42"/>
    </row>
    <row r="868" spans="1:1" x14ac:dyDescent="0.2">
      <c r="A868" s="42"/>
    </row>
    <row r="869" spans="1:1" x14ac:dyDescent="0.2">
      <c r="A869" s="42"/>
    </row>
    <row r="870" spans="1:1" x14ac:dyDescent="0.2">
      <c r="A870" s="42"/>
    </row>
    <row r="871" spans="1:1" x14ac:dyDescent="0.2">
      <c r="A871" s="42"/>
    </row>
    <row r="872" spans="1:1" x14ac:dyDescent="0.2">
      <c r="A872" s="42"/>
    </row>
    <row r="873" spans="1:1" x14ac:dyDescent="0.2">
      <c r="A873" s="42"/>
    </row>
    <row r="874" spans="1:1" x14ac:dyDescent="0.2">
      <c r="A874" s="42"/>
    </row>
    <row r="875" spans="1:1" x14ac:dyDescent="0.2">
      <c r="A875" s="42"/>
    </row>
    <row r="876" spans="1:1" x14ac:dyDescent="0.2">
      <c r="A876" s="42"/>
    </row>
    <row r="877" spans="1:1" x14ac:dyDescent="0.2">
      <c r="A877" s="42"/>
    </row>
    <row r="878" spans="1:1" x14ac:dyDescent="0.2">
      <c r="A878" s="42"/>
    </row>
    <row r="879" spans="1:1" x14ac:dyDescent="0.2">
      <c r="A879" s="42"/>
    </row>
    <row r="880" spans="1:1" x14ac:dyDescent="0.2">
      <c r="A880" s="42"/>
    </row>
    <row r="881" spans="1:1" x14ac:dyDescent="0.2">
      <c r="A881" s="42"/>
    </row>
    <row r="882" spans="1:1" x14ac:dyDescent="0.2">
      <c r="A882" s="42"/>
    </row>
    <row r="883" spans="1:1" x14ac:dyDescent="0.2">
      <c r="A883" s="42"/>
    </row>
    <row r="884" spans="1:1" x14ac:dyDescent="0.2">
      <c r="A884" s="42"/>
    </row>
    <row r="885" spans="1:1" x14ac:dyDescent="0.2">
      <c r="A885" s="42"/>
    </row>
    <row r="886" spans="1:1" x14ac:dyDescent="0.2">
      <c r="A886" s="42"/>
    </row>
    <row r="887" spans="1:1" x14ac:dyDescent="0.2">
      <c r="A887" s="42"/>
    </row>
    <row r="888" spans="1:1" x14ac:dyDescent="0.2">
      <c r="A888" s="42"/>
    </row>
    <row r="889" spans="1:1" x14ac:dyDescent="0.2">
      <c r="A889" s="42"/>
    </row>
    <row r="890" spans="1:1" x14ac:dyDescent="0.2">
      <c r="A890" s="42"/>
    </row>
    <row r="891" spans="1:1" x14ac:dyDescent="0.2">
      <c r="A891" s="42"/>
    </row>
    <row r="892" spans="1:1" x14ac:dyDescent="0.2">
      <c r="A892" s="42"/>
    </row>
    <row r="893" spans="1:1" x14ac:dyDescent="0.2">
      <c r="A893" s="42"/>
    </row>
    <row r="894" spans="1:1" x14ac:dyDescent="0.2">
      <c r="A894" s="42"/>
    </row>
    <row r="895" spans="1:1" x14ac:dyDescent="0.2">
      <c r="A895" s="42"/>
    </row>
    <row r="896" spans="1:1" x14ac:dyDescent="0.2">
      <c r="A896" s="42"/>
    </row>
    <row r="897" spans="1:1" x14ac:dyDescent="0.2">
      <c r="A897" s="42"/>
    </row>
    <row r="898" spans="1:1" x14ac:dyDescent="0.2">
      <c r="A898" s="42"/>
    </row>
    <row r="899" spans="1:1" x14ac:dyDescent="0.2">
      <c r="A899" s="42"/>
    </row>
    <row r="900" spans="1:1" x14ac:dyDescent="0.2">
      <c r="A900" s="42"/>
    </row>
    <row r="901" spans="1:1" x14ac:dyDescent="0.2">
      <c r="A901" s="42"/>
    </row>
    <row r="902" spans="1:1" x14ac:dyDescent="0.2">
      <c r="A902" s="42"/>
    </row>
    <row r="903" spans="1:1" x14ac:dyDescent="0.2">
      <c r="A903" s="42"/>
    </row>
    <row r="904" spans="1:1" x14ac:dyDescent="0.2">
      <c r="A904" s="42"/>
    </row>
    <row r="905" spans="1:1" x14ac:dyDescent="0.2">
      <c r="A905" s="42"/>
    </row>
    <row r="906" spans="1:1" x14ac:dyDescent="0.2">
      <c r="A906" s="42"/>
    </row>
    <row r="907" spans="1:1" x14ac:dyDescent="0.2">
      <c r="A907" s="42"/>
    </row>
    <row r="908" spans="1:1" x14ac:dyDescent="0.2">
      <c r="A908" s="42"/>
    </row>
    <row r="909" spans="1:1" x14ac:dyDescent="0.2">
      <c r="A909" s="42"/>
    </row>
    <row r="910" spans="1:1" x14ac:dyDescent="0.2">
      <c r="A910" s="42"/>
    </row>
    <row r="911" spans="1:1" x14ac:dyDescent="0.2">
      <c r="A911" s="42"/>
    </row>
    <row r="912" spans="1:1" x14ac:dyDescent="0.2">
      <c r="A912" s="42"/>
    </row>
    <row r="913" spans="1:1" x14ac:dyDescent="0.2">
      <c r="A913" s="42"/>
    </row>
    <row r="914" spans="1:1" x14ac:dyDescent="0.2">
      <c r="A914" s="42"/>
    </row>
    <row r="915" spans="1:1" x14ac:dyDescent="0.2">
      <c r="A915" s="42"/>
    </row>
    <row r="916" spans="1:1" x14ac:dyDescent="0.2">
      <c r="A916" s="42"/>
    </row>
    <row r="917" spans="1:1" x14ac:dyDescent="0.2">
      <c r="A917" s="42"/>
    </row>
    <row r="918" spans="1:1" x14ac:dyDescent="0.2">
      <c r="A918" s="42"/>
    </row>
    <row r="919" spans="1:1" x14ac:dyDescent="0.2">
      <c r="A919" s="42"/>
    </row>
    <row r="920" spans="1:1" x14ac:dyDescent="0.2">
      <c r="A920" s="42"/>
    </row>
    <row r="921" spans="1:1" x14ac:dyDescent="0.2">
      <c r="A921" s="42"/>
    </row>
    <row r="922" spans="1:1" x14ac:dyDescent="0.2">
      <c r="A922" s="42"/>
    </row>
    <row r="923" spans="1:1" x14ac:dyDescent="0.2">
      <c r="A923" s="42"/>
    </row>
    <row r="924" spans="1:1" x14ac:dyDescent="0.2">
      <c r="A924" s="42"/>
    </row>
    <row r="925" spans="1:1" x14ac:dyDescent="0.2">
      <c r="A925" s="42"/>
    </row>
    <row r="926" spans="1:1" x14ac:dyDescent="0.2">
      <c r="A926" s="42"/>
    </row>
    <row r="927" spans="1:1" x14ac:dyDescent="0.2">
      <c r="A927" s="42"/>
    </row>
    <row r="928" spans="1:1" x14ac:dyDescent="0.2">
      <c r="A928" s="42"/>
    </row>
    <row r="929" spans="1:1" x14ac:dyDescent="0.2">
      <c r="A929" s="42"/>
    </row>
    <row r="930" spans="1:1" x14ac:dyDescent="0.2">
      <c r="A930" s="42"/>
    </row>
    <row r="931" spans="1:1" x14ac:dyDescent="0.2">
      <c r="A931" s="42"/>
    </row>
    <row r="932" spans="1:1" x14ac:dyDescent="0.2">
      <c r="A932" s="42"/>
    </row>
    <row r="933" spans="1:1" x14ac:dyDescent="0.2">
      <c r="A933" s="42"/>
    </row>
    <row r="934" spans="1:1" x14ac:dyDescent="0.2">
      <c r="A934" s="42"/>
    </row>
    <row r="935" spans="1:1" x14ac:dyDescent="0.2">
      <c r="A935" s="42"/>
    </row>
    <row r="936" spans="1:1" x14ac:dyDescent="0.2">
      <c r="A936" s="42"/>
    </row>
    <row r="937" spans="1:1" x14ac:dyDescent="0.2">
      <c r="A937" s="42"/>
    </row>
    <row r="938" spans="1:1" x14ac:dyDescent="0.2">
      <c r="A938" s="42"/>
    </row>
    <row r="939" spans="1:1" x14ac:dyDescent="0.2">
      <c r="A939" s="42"/>
    </row>
    <row r="940" spans="1:1" x14ac:dyDescent="0.2">
      <c r="A940" s="42"/>
    </row>
    <row r="941" spans="1:1" x14ac:dyDescent="0.2">
      <c r="A941" s="42"/>
    </row>
    <row r="942" spans="1:1" x14ac:dyDescent="0.2">
      <c r="A942" s="42"/>
    </row>
    <row r="943" spans="1:1" x14ac:dyDescent="0.2">
      <c r="A943" s="42"/>
    </row>
    <row r="944" spans="1:1" x14ac:dyDescent="0.2">
      <c r="A944" s="42"/>
    </row>
    <row r="945" spans="1:1" x14ac:dyDescent="0.2">
      <c r="A945" s="42"/>
    </row>
    <row r="946" spans="1:1" x14ac:dyDescent="0.2">
      <c r="A946" s="42"/>
    </row>
    <row r="947" spans="1:1" x14ac:dyDescent="0.2">
      <c r="A947" s="42"/>
    </row>
    <row r="948" spans="1:1" x14ac:dyDescent="0.2">
      <c r="A948" s="42"/>
    </row>
    <row r="949" spans="1:1" x14ac:dyDescent="0.2">
      <c r="A949" s="42"/>
    </row>
    <row r="950" spans="1:1" x14ac:dyDescent="0.2">
      <c r="A950" s="42"/>
    </row>
    <row r="951" spans="1:1" x14ac:dyDescent="0.2">
      <c r="A951" s="42"/>
    </row>
    <row r="952" spans="1:1" x14ac:dyDescent="0.2">
      <c r="A952" s="42"/>
    </row>
    <row r="953" spans="1:1" x14ac:dyDescent="0.2">
      <c r="A953" s="42"/>
    </row>
    <row r="954" spans="1:1" x14ac:dyDescent="0.2">
      <c r="A954" s="42"/>
    </row>
    <row r="955" spans="1:1" x14ac:dyDescent="0.2">
      <c r="A955" s="42"/>
    </row>
    <row r="956" spans="1:1" x14ac:dyDescent="0.2">
      <c r="A956" s="42"/>
    </row>
    <row r="957" spans="1:1" x14ac:dyDescent="0.2">
      <c r="A957" s="42"/>
    </row>
    <row r="958" spans="1:1" x14ac:dyDescent="0.2">
      <c r="A958" s="42"/>
    </row>
    <row r="959" spans="1:1" x14ac:dyDescent="0.2">
      <c r="A959" s="42"/>
    </row>
    <row r="960" spans="1:1" x14ac:dyDescent="0.2">
      <c r="A960" s="42"/>
    </row>
    <row r="961" spans="1:1" x14ac:dyDescent="0.2">
      <c r="A961" s="42"/>
    </row>
    <row r="962" spans="1:1" x14ac:dyDescent="0.2">
      <c r="A962" s="42"/>
    </row>
    <row r="963" spans="1:1" x14ac:dyDescent="0.2">
      <c r="A963" s="42"/>
    </row>
    <row r="964" spans="1:1" x14ac:dyDescent="0.2">
      <c r="A964" s="42"/>
    </row>
    <row r="965" spans="1:1" x14ac:dyDescent="0.2">
      <c r="A965" s="42"/>
    </row>
    <row r="966" spans="1:1" x14ac:dyDescent="0.2">
      <c r="A966" s="42"/>
    </row>
    <row r="967" spans="1:1" x14ac:dyDescent="0.2">
      <c r="A967" s="42"/>
    </row>
    <row r="968" spans="1:1" x14ac:dyDescent="0.2">
      <c r="A968" s="42"/>
    </row>
    <row r="969" spans="1:1" x14ac:dyDescent="0.2">
      <c r="A969" s="42"/>
    </row>
    <row r="970" spans="1:1" x14ac:dyDescent="0.2">
      <c r="A970" s="42"/>
    </row>
    <row r="971" spans="1:1" x14ac:dyDescent="0.2">
      <c r="A971" s="42"/>
    </row>
    <row r="972" spans="1:1" x14ac:dyDescent="0.2">
      <c r="A972" s="42"/>
    </row>
    <row r="973" spans="1:1" x14ac:dyDescent="0.2">
      <c r="A973" s="42"/>
    </row>
    <row r="974" spans="1:1" x14ac:dyDescent="0.2">
      <c r="A974" s="42"/>
    </row>
    <row r="975" spans="1:1" x14ac:dyDescent="0.2">
      <c r="A975" s="42"/>
    </row>
    <row r="976" spans="1:1" x14ac:dyDescent="0.2">
      <c r="A976" s="42"/>
    </row>
    <row r="977" spans="1:1" x14ac:dyDescent="0.2">
      <c r="A977" s="42"/>
    </row>
    <row r="978" spans="1:1" x14ac:dyDescent="0.2">
      <c r="A978" s="42"/>
    </row>
    <row r="979" spans="1:1" x14ac:dyDescent="0.2">
      <c r="A979" s="42"/>
    </row>
    <row r="980" spans="1:1" x14ac:dyDescent="0.2">
      <c r="A980" s="42"/>
    </row>
    <row r="981" spans="1:1" x14ac:dyDescent="0.2">
      <c r="A981" s="42"/>
    </row>
    <row r="982" spans="1:1" x14ac:dyDescent="0.2">
      <c r="A982" s="42"/>
    </row>
    <row r="983" spans="1:1" x14ac:dyDescent="0.2">
      <c r="A983" s="42"/>
    </row>
    <row r="984" spans="1:1" x14ac:dyDescent="0.2">
      <c r="A984" s="42"/>
    </row>
    <row r="985" spans="1:1" x14ac:dyDescent="0.2">
      <c r="A985" s="42"/>
    </row>
    <row r="986" spans="1:1" x14ac:dyDescent="0.2">
      <c r="A986" s="42"/>
    </row>
    <row r="987" spans="1:1" x14ac:dyDescent="0.2">
      <c r="A987" s="42"/>
    </row>
    <row r="988" spans="1:1" x14ac:dyDescent="0.2">
      <c r="A988" s="42"/>
    </row>
    <row r="989" spans="1:1" x14ac:dyDescent="0.2">
      <c r="A989" s="42"/>
    </row>
    <row r="990" spans="1:1" x14ac:dyDescent="0.2">
      <c r="A990" s="42"/>
    </row>
    <row r="991" spans="1:1" x14ac:dyDescent="0.2">
      <c r="A991" s="42"/>
    </row>
    <row r="992" spans="1:1" x14ac:dyDescent="0.2">
      <c r="A992" s="42"/>
    </row>
    <row r="993" spans="1:1" x14ac:dyDescent="0.2">
      <c r="A993" s="42"/>
    </row>
    <row r="994" spans="1:1" x14ac:dyDescent="0.2">
      <c r="A994" s="42"/>
    </row>
    <row r="995" spans="1:1" x14ac:dyDescent="0.2">
      <c r="A995" s="42"/>
    </row>
    <row r="996" spans="1:1" x14ac:dyDescent="0.2">
      <c r="A996" s="42"/>
    </row>
    <row r="997" spans="1:1" x14ac:dyDescent="0.2">
      <c r="A997" s="42"/>
    </row>
    <row r="998" spans="1:1" x14ac:dyDescent="0.2">
      <c r="A998" s="42"/>
    </row>
    <row r="999" spans="1:1" x14ac:dyDescent="0.2">
      <c r="A999" s="42"/>
    </row>
    <row r="1000" spans="1:1" x14ac:dyDescent="0.2">
      <c r="A1000" s="42"/>
    </row>
    <row r="1001" spans="1:1" x14ac:dyDescent="0.2">
      <c r="A1001" s="42"/>
    </row>
    <row r="1002" spans="1:1" x14ac:dyDescent="0.2">
      <c r="A1002" s="42"/>
    </row>
    <row r="1003" spans="1:1" x14ac:dyDescent="0.2">
      <c r="A1003" s="42"/>
    </row>
    <row r="1004" spans="1:1" x14ac:dyDescent="0.2">
      <c r="A1004" s="42"/>
    </row>
    <row r="1005" spans="1:1" x14ac:dyDescent="0.2">
      <c r="A1005" s="42"/>
    </row>
    <row r="1006" spans="1:1" x14ac:dyDescent="0.2">
      <c r="A1006" s="42"/>
    </row>
    <row r="1007" spans="1:1" x14ac:dyDescent="0.2">
      <c r="A1007" s="42"/>
    </row>
    <row r="1008" spans="1:1" x14ac:dyDescent="0.2">
      <c r="A1008" s="42"/>
    </row>
    <row r="1009" spans="1:1" x14ac:dyDescent="0.2">
      <c r="A1009" s="42"/>
    </row>
    <row r="1010" spans="1:1" x14ac:dyDescent="0.2">
      <c r="A1010" s="42"/>
    </row>
    <row r="1011" spans="1:1" x14ac:dyDescent="0.2">
      <c r="A1011" s="42"/>
    </row>
    <row r="1012" spans="1:1" x14ac:dyDescent="0.2">
      <c r="A1012" s="42"/>
    </row>
    <row r="1013" spans="1:1" x14ac:dyDescent="0.2">
      <c r="A1013" s="42"/>
    </row>
    <row r="1014" spans="1:1" x14ac:dyDescent="0.2">
      <c r="A1014" s="42"/>
    </row>
    <row r="1015" spans="1:1" x14ac:dyDescent="0.2">
      <c r="A1015" s="42"/>
    </row>
    <row r="1016" spans="1:1" x14ac:dyDescent="0.2">
      <c r="A1016" s="42"/>
    </row>
    <row r="1017" spans="1:1" x14ac:dyDescent="0.2">
      <c r="A1017" s="42"/>
    </row>
    <row r="1018" spans="1:1" x14ac:dyDescent="0.2">
      <c r="A1018" s="42"/>
    </row>
    <row r="1019" spans="1:1" x14ac:dyDescent="0.2">
      <c r="A1019" s="42"/>
    </row>
    <row r="1020" spans="1:1" x14ac:dyDescent="0.2">
      <c r="A1020" s="42"/>
    </row>
    <row r="1021" spans="1:1" x14ac:dyDescent="0.2">
      <c r="A1021" s="42"/>
    </row>
    <row r="1022" spans="1:1" x14ac:dyDescent="0.2">
      <c r="A1022" s="42"/>
    </row>
    <row r="1023" spans="1:1" x14ac:dyDescent="0.2">
      <c r="A1023" s="42"/>
    </row>
    <row r="1024" spans="1:1" x14ac:dyDescent="0.2">
      <c r="A1024" s="42"/>
    </row>
    <row r="1025" spans="1:1" x14ac:dyDescent="0.2">
      <c r="A1025" s="42"/>
    </row>
    <row r="1026" spans="1:1" x14ac:dyDescent="0.2">
      <c r="A1026" s="42"/>
    </row>
    <row r="1027" spans="1:1" x14ac:dyDescent="0.2">
      <c r="A1027" s="42"/>
    </row>
    <row r="1028" spans="1:1" x14ac:dyDescent="0.2">
      <c r="A1028" s="42"/>
    </row>
    <row r="1029" spans="1:1" x14ac:dyDescent="0.2">
      <c r="A1029" s="42"/>
    </row>
    <row r="1030" spans="1:1" x14ac:dyDescent="0.2">
      <c r="A1030" s="42"/>
    </row>
    <row r="1031" spans="1:1" x14ac:dyDescent="0.2">
      <c r="A1031" s="42"/>
    </row>
    <row r="1032" spans="1:1" x14ac:dyDescent="0.2">
      <c r="A1032" s="42"/>
    </row>
    <row r="1033" spans="1:1" x14ac:dyDescent="0.2">
      <c r="A1033" s="42"/>
    </row>
    <row r="1034" spans="1:1" x14ac:dyDescent="0.2">
      <c r="A1034" s="42"/>
    </row>
    <row r="1035" spans="1:1" x14ac:dyDescent="0.2">
      <c r="A1035" s="42"/>
    </row>
    <row r="1036" spans="1:1" x14ac:dyDescent="0.2">
      <c r="A1036" s="42"/>
    </row>
    <row r="1037" spans="1:1" x14ac:dyDescent="0.2">
      <c r="A1037" s="42"/>
    </row>
    <row r="1038" spans="1:1" x14ac:dyDescent="0.2">
      <c r="A1038" s="42"/>
    </row>
    <row r="1039" spans="1:1" x14ac:dyDescent="0.2">
      <c r="A1039" s="42"/>
    </row>
    <row r="1040" spans="1:1" x14ac:dyDescent="0.2">
      <c r="A1040" s="42"/>
    </row>
    <row r="1041" spans="1:1" x14ac:dyDescent="0.2">
      <c r="A1041" s="42"/>
    </row>
    <row r="1042" spans="1:1" x14ac:dyDescent="0.2">
      <c r="A1042" s="42"/>
    </row>
    <row r="1043" spans="1:1" x14ac:dyDescent="0.2">
      <c r="A1043" s="42"/>
    </row>
    <row r="1044" spans="1:1" x14ac:dyDescent="0.2">
      <c r="A1044" s="42"/>
    </row>
    <row r="1045" spans="1:1" x14ac:dyDescent="0.2">
      <c r="A1045" s="42"/>
    </row>
    <row r="1046" spans="1:1" x14ac:dyDescent="0.2">
      <c r="A1046" s="42"/>
    </row>
    <row r="1047" spans="1:1" x14ac:dyDescent="0.2">
      <c r="A1047" s="42"/>
    </row>
    <row r="1048" spans="1:1" x14ac:dyDescent="0.2">
      <c r="A1048" s="42"/>
    </row>
    <row r="1049" spans="1:1" x14ac:dyDescent="0.2">
      <c r="A1049" s="42"/>
    </row>
    <row r="1050" spans="1:1" x14ac:dyDescent="0.2">
      <c r="A1050" s="42"/>
    </row>
    <row r="1051" spans="1:1" x14ac:dyDescent="0.2">
      <c r="A1051" s="42"/>
    </row>
    <row r="1052" spans="1:1" x14ac:dyDescent="0.2">
      <c r="A1052" s="42"/>
    </row>
    <row r="1053" spans="1:1" x14ac:dyDescent="0.2">
      <c r="A1053" s="42"/>
    </row>
    <row r="1054" spans="1:1" x14ac:dyDescent="0.2">
      <c r="A1054" s="42"/>
    </row>
    <row r="1055" spans="1:1" x14ac:dyDescent="0.2">
      <c r="A1055" s="42"/>
    </row>
    <row r="1056" spans="1:1" x14ac:dyDescent="0.2">
      <c r="A1056" s="42"/>
    </row>
    <row r="1057" spans="1:1" x14ac:dyDescent="0.2">
      <c r="A1057" s="42"/>
    </row>
    <row r="1058" spans="1:1" x14ac:dyDescent="0.2">
      <c r="A1058" s="42"/>
    </row>
    <row r="1059" spans="1:1" x14ac:dyDescent="0.2">
      <c r="A1059" s="42"/>
    </row>
    <row r="1060" spans="1:1" x14ac:dyDescent="0.2">
      <c r="A1060" s="42"/>
    </row>
    <row r="1061" spans="1:1" x14ac:dyDescent="0.2">
      <c r="A1061" s="42"/>
    </row>
    <row r="1062" spans="1:1" x14ac:dyDescent="0.2">
      <c r="A1062" s="42"/>
    </row>
    <row r="1063" spans="1:1" x14ac:dyDescent="0.2">
      <c r="A1063" s="42"/>
    </row>
    <row r="1064" spans="1:1" x14ac:dyDescent="0.2">
      <c r="A1064" s="42"/>
    </row>
    <row r="1065" spans="1:1" x14ac:dyDescent="0.2">
      <c r="A1065" s="42"/>
    </row>
    <row r="1066" spans="1:1" x14ac:dyDescent="0.2">
      <c r="A1066" s="42"/>
    </row>
    <row r="1067" spans="1:1" x14ac:dyDescent="0.2">
      <c r="A1067" s="42"/>
    </row>
    <row r="1068" spans="1:1" x14ac:dyDescent="0.2">
      <c r="A1068" s="42"/>
    </row>
    <row r="1069" spans="1:1" x14ac:dyDescent="0.2">
      <c r="A1069" s="42"/>
    </row>
    <row r="1070" spans="1:1" x14ac:dyDescent="0.2">
      <c r="A1070" s="42"/>
    </row>
    <row r="1071" spans="1:1" x14ac:dyDescent="0.2">
      <c r="A1071" s="42"/>
    </row>
    <row r="1072" spans="1:1" x14ac:dyDescent="0.2">
      <c r="A1072" s="42"/>
    </row>
    <row r="1073" spans="1:1" x14ac:dyDescent="0.2">
      <c r="A1073" s="42"/>
    </row>
    <row r="1074" spans="1:1" x14ac:dyDescent="0.2">
      <c r="A1074" s="42"/>
    </row>
    <row r="1075" spans="1:1" x14ac:dyDescent="0.2">
      <c r="A1075" s="42"/>
    </row>
    <row r="1076" spans="1:1" x14ac:dyDescent="0.2">
      <c r="A1076" s="42"/>
    </row>
    <row r="1077" spans="1:1" x14ac:dyDescent="0.2">
      <c r="A1077" s="42"/>
    </row>
    <row r="1078" spans="1:1" x14ac:dyDescent="0.2">
      <c r="A1078" s="42"/>
    </row>
    <row r="1079" spans="1:1" x14ac:dyDescent="0.2">
      <c r="A1079" s="42"/>
    </row>
    <row r="1080" spans="1:1" x14ac:dyDescent="0.2">
      <c r="A1080" s="42"/>
    </row>
    <row r="1081" spans="1:1" x14ac:dyDescent="0.2">
      <c r="A1081" s="42"/>
    </row>
    <row r="1082" spans="1:1" x14ac:dyDescent="0.2">
      <c r="A1082" s="42"/>
    </row>
    <row r="1083" spans="1:1" x14ac:dyDescent="0.2">
      <c r="A1083" s="42"/>
    </row>
    <row r="1084" spans="1:1" x14ac:dyDescent="0.2">
      <c r="A1084" s="42"/>
    </row>
    <row r="1085" spans="1:1" x14ac:dyDescent="0.2">
      <c r="A1085" s="42"/>
    </row>
    <row r="1086" spans="1:1" x14ac:dyDescent="0.2">
      <c r="A1086" s="42"/>
    </row>
    <row r="1087" spans="1:1" x14ac:dyDescent="0.2">
      <c r="A1087" s="42"/>
    </row>
    <row r="1088" spans="1:1" x14ac:dyDescent="0.2">
      <c r="A1088" s="42"/>
    </row>
    <row r="1089" spans="1:1" x14ac:dyDescent="0.2">
      <c r="A1089" s="42"/>
    </row>
    <row r="1090" spans="1:1" x14ac:dyDescent="0.2">
      <c r="A1090" s="42"/>
    </row>
    <row r="1091" spans="1:1" x14ac:dyDescent="0.2">
      <c r="A1091" s="42"/>
    </row>
    <row r="1092" spans="1:1" x14ac:dyDescent="0.2">
      <c r="A1092" s="42"/>
    </row>
    <row r="1093" spans="1:1" x14ac:dyDescent="0.2">
      <c r="A1093" s="42"/>
    </row>
    <row r="1094" spans="1:1" x14ac:dyDescent="0.2">
      <c r="A1094" s="42"/>
    </row>
    <row r="1095" spans="1:1" x14ac:dyDescent="0.2">
      <c r="A1095" s="42"/>
    </row>
    <row r="1096" spans="1:1" x14ac:dyDescent="0.2">
      <c r="A1096" s="42"/>
    </row>
    <row r="1097" spans="1:1" x14ac:dyDescent="0.2">
      <c r="A1097" s="42"/>
    </row>
    <row r="1098" spans="1:1" x14ac:dyDescent="0.2">
      <c r="A1098" s="42"/>
    </row>
    <row r="1099" spans="1:1" x14ac:dyDescent="0.2">
      <c r="A1099" s="42"/>
    </row>
    <row r="1100" spans="1:1" x14ac:dyDescent="0.2">
      <c r="A1100" s="42"/>
    </row>
    <row r="1101" spans="1:1" x14ac:dyDescent="0.2">
      <c r="A1101" s="42"/>
    </row>
    <row r="1102" spans="1:1" x14ac:dyDescent="0.2">
      <c r="A1102" s="42"/>
    </row>
    <row r="1103" spans="1:1" x14ac:dyDescent="0.2">
      <c r="A1103" s="42"/>
    </row>
    <row r="1104" spans="1:1" x14ac:dyDescent="0.2">
      <c r="A1104" s="42"/>
    </row>
    <row r="1105" spans="1:1" x14ac:dyDescent="0.2">
      <c r="A1105" s="42"/>
    </row>
    <row r="1106" spans="1:1" x14ac:dyDescent="0.2">
      <c r="A1106" s="42"/>
    </row>
    <row r="1107" spans="1:1" x14ac:dyDescent="0.2">
      <c r="A1107" s="42"/>
    </row>
    <row r="1108" spans="1:1" x14ac:dyDescent="0.2">
      <c r="A1108" s="42"/>
    </row>
    <row r="1109" spans="1:1" x14ac:dyDescent="0.2">
      <c r="A1109" s="42"/>
    </row>
    <row r="1110" spans="1:1" x14ac:dyDescent="0.2">
      <c r="A1110" s="42"/>
    </row>
    <row r="1111" spans="1:1" x14ac:dyDescent="0.2">
      <c r="A1111" s="42"/>
    </row>
    <row r="1112" spans="1:1" x14ac:dyDescent="0.2">
      <c r="A1112" s="42"/>
    </row>
    <row r="1113" spans="1:1" x14ac:dyDescent="0.2">
      <c r="A1113" s="42"/>
    </row>
    <row r="1114" spans="1:1" x14ac:dyDescent="0.2">
      <c r="A1114" s="42"/>
    </row>
    <row r="1115" spans="1:1" x14ac:dyDescent="0.2">
      <c r="A1115" s="42"/>
    </row>
    <row r="1116" spans="1:1" x14ac:dyDescent="0.2">
      <c r="A1116" s="42"/>
    </row>
    <row r="1117" spans="1:1" x14ac:dyDescent="0.2">
      <c r="A1117" s="42"/>
    </row>
    <row r="1118" spans="1:1" x14ac:dyDescent="0.2">
      <c r="A1118" s="42"/>
    </row>
    <row r="1119" spans="1:1" x14ac:dyDescent="0.2">
      <c r="A1119" s="42"/>
    </row>
    <row r="1120" spans="1:1" x14ac:dyDescent="0.2">
      <c r="A1120" s="42"/>
    </row>
    <row r="1121" spans="1:1" x14ac:dyDescent="0.2">
      <c r="A1121" s="42"/>
    </row>
    <row r="1122" spans="1:1" x14ac:dyDescent="0.2">
      <c r="A1122" s="42"/>
    </row>
    <row r="1123" spans="1:1" x14ac:dyDescent="0.2">
      <c r="A1123" s="42"/>
    </row>
    <row r="1124" spans="1:1" x14ac:dyDescent="0.2">
      <c r="A1124" s="42"/>
    </row>
    <row r="1125" spans="1:1" x14ac:dyDescent="0.2">
      <c r="A1125" s="42"/>
    </row>
    <row r="1126" spans="1:1" x14ac:dyDescent="0.2">
      <c r="A1126" s="42"/>
    </row>
    <row r="1127" spans="1:1" x14ac:dyDescent="0.2">
      <c r="A1127" s="42"/>
    </row>
    <row r="1128" spans="1:1" x14ac:dyDescent="0.2">
      <c r="A1128" s="42"/>
    </row>
    <row r="1129" spans="1:1" x14ac:dyDescent="0.2">
      <c r="A1129" s="42"/>
    </row>
    <row r="1130" spans="1:1" x14ac:dyDescent="0.2">
      <c r="A1130" s="42"/>
    </row>
    <row r="1131" spans="1:1" x14ac:dyDescent="0.2">
      <c r="A1131" s="42"/>
    </row>
    <row r="1132" spans="1:1" x14ac:dyDescent="0.2">
      <c r="A1132" s="42"/>
    </row>
    <row r="1133" spans="1:1" x14ac:dyDescent="0.2">
      <c r="A1133" s="42"/>
    </row>
    <row r="1134" spans="1:1" x14ac:dyDescent="0.2">
      <c r="A1134" s="42"/>
    </row>
    <row r="1135" spans="1:1" x14ac:dyDescent="0.2">
      <c r="A1135" s="42"/>
    </row>
    <row r="1136" spans="1:1" x14ac:dyDescent="0.2">
      <c r="A1136" s="42"/>
    </row>
    <row r="1137" spans="1:1" x14ac:dyDescent="0.2">
      <c r="A1137" s="42"/>
    </row>
    <row r="1138" spans="1:1" x14ac:dyDescent="0.2">
      <c r="A1138" s="42"/>
    </row>
    <row r="1139" spans="1:1" x14ac:dyDescent="0.2">
      <c r="A1139" s="42"/>
    </row>
    <row r="1140" spans="1:1" x14ac:dyDescent="0.2">
      <c r="A1140" s="42"/>
    </row>
    <row r="1141" spans="1:1" x14ac:dyDescent="0.2">
      <c r="A1141" s="42"/>
    </row>
    <row r="1142" spans="1:1" x14ac:dyDescent="0.2">
      <c r="A1142" s="42"/>
    </row>
    <row r="1143" spans="1:1" x14ac:dyDescent="0.2">
      <c r="A1143" s="42"/>
    </row>
    <row r="1144" spans="1:1" x14ac:dyDescent="0.2">
      <c r="A1144" s="42"/>
    </row>
    <row r="1145" spans="1:1" x14ac:dyDescent="0.2">
      <c r="A1145" s="42"/>
    </row>
    <row r="1146" spans="1:1" x14ac:dyDescent="0.2">
      <c r="A1146" s="42"/>
    </row>
    <row r="1147" spans="1:1" x14ac:dyDescent="0.2">
      <c r="A1147" s="42"/>
    </row>
    <row r="1148" spans="1:1" x14ac:dyDescent="0.2">
      <c r="A1148" s="42"/>
    </row>
    <row r="1149" spans="1:1" x14ac:dyDescent="0.2">
      <c r="A1149" s="42"/>
    </row>
    <row r="1150" spans="1:1" x14ac:dyDescent="0.2">
      <c r="A1150" s="42"/>
    </row>
    <row r="1151" spans="1:1" x14ac:dyDescent="0.2">
      <c r="A1151" s="42"/>
    </row>
    <row r="1152" spans="1:1" x14ac:dyDescent="0.2">
      <c r="A1152" s="42"/>
    </row>
    <row r="1153" spans="1:1" x14ac:dyDescent="0.2">
      <c r="A1153" s="42"/>
    </row>
    <row r="1154" spans="1:1" x14ac:dyDescent="0.2">
      <c r="A1154" s="42"/>
    </row>
    <row r="1155" spans="1:1" x14ac:dyDescent="0.2">
      <c r="A1155" s="42"/>
    </row>
    <row r="1156" spans="1:1" x14ac:dyDescent="0.2">
      <c r="A1156" s="42"/>
    </row>
    <row r="1157" spans="1:1" x14ac:dyDescent="0.2">
      <c r="A1157" s="42"/>
    </row>
    <row r="1158" spans="1:1" x14ac:dyDescent="0.2">
      <c r="A1158" s="42"/>
    </row>
    <row r="1159" spans="1:1" x14ac:dyDescent="0.2">
      <c r="A1159" s="42"/>
    </row>
    <row r="1160" spans="1:1" x14ac:dyDescent="0.2">
      <c r="A1160" s="42"/>
    </row>
    <row r="1161" spans="1:1" x14ac:dyDescent="0.2">
      <c r="A1161" s="42"/>
    </row>
    <row r="1162" spans="1:1" x14ac:dyDescent="0.2">
      <c r="A1162" s="42"/>
    </row>
    <row r="1163" spans="1:1" x14ac:dyDescent="0.2">
      <c r="A1163" s="42"/>
    </row>
    <row r="1164" spans="1:1" x14ac:dyDescent="0.2">
      <c r="A1164" s="42"/>
    </row>
    <row r="1165" spans="1:1" x14ac:dyDescent="0.2">
      <c r="A1165" s="42"/>
    </row>
    <row r="1166" spans="1:1" x14ac:dyDescent="0.2">
      <c r="A1166" s="42"/>
    </row>
    <row r="1167" spans="1:1" x14ac:dyDescent="0.2">
      <c r="A1167" s="42"/>
    </row>
    <row r="1168" spans="1:1" x14ac:dyDescent="0.2">
      <c r="A1168" s="42"/>
    </row>
    <row r="1169" spans="1:1" x14ac:dyDescent="0.2">
      <c r="A1169" s="42"/>
    </row>
    <row r="1170" spans="1:1" x14ac:dyDescent="0.2">
      <c r="A1170" s="42"/>
    </row>
    <row r="1171" spans="1:1" x14ac:dyDescent="0.2">
      <c r="A1171" s="42"/>
    </row>
    <row r="1172" spans="1:1" x14ac:dyDescent="0.2">
      <c r="A1172" s="42"/>
    </row>
    <row r="1173" spans="1:1" x14ac:dyDescent="0.2">
      <c r="A1173" s="42"/>
    </row>
    <row r="1174" spans="1:1" x14ac:dyDescent="0.2">
      <c r="A1174" s="42"/>
    </row>
    <row r="1175" spans="1:1" x14ac:dyDescent="0.2">
      <c r="A1175" s="42"/>
    </row>
    <row r="1176" spans="1:1" x14ac:dyDescent="0.2">
      <c r="A1176" s="42"/>
    </row>
    <row r="1177" spans="1:1" x14ac:dyDescent="0.2">
      <c r="A1177" s="42"/>
    </row>
    <row r="1178" spans="1:1" x14ac:dyDescent="0.2">
      <c r="A1178" s="42"/>
    </row>
    <row r="1179" spans="1:1" x14ac:dyDescent="0.2">
      <c r="A1179" s="42"/>
    </row>
    <row r="1180" spans="1:1" x14ac:dyDescent="0.2">
      <c r="A1180" s="42"/>
    </row>
    <row r="1181" spans="1:1" x14ac:dyDescent="0.2">
      <c r="A1181" s="42"/>
    </row>
    <row r="1182" spans="1:1" x14ac:dyDescent="0.2">
      <c r="A1182" s="42"/>
    </row>
    <row r="1183" spans="1:1" x14ac:dyDescent="0.2">
      <c r="A1183" s="42"/>
    </row>
    <row r="1184" spans="1:1" x14ac:dyDescent="0.2">
      <c r="A1184" s="42"/>
    </row>
    <row r="1185" spans="1:1" x14ac:dyDescent="0.2">
      <c r="A1185" s="42"/>
    </row>
    <row r="1186" spans="1:1" x14ac:dyDescent="0.2">
      <c r="A1186" s="42"/>
    </row>
    <row r="1187" spans="1:1" x14ac:dyDescent="0.2">
      <c r="A1187" s="42"/>
    </row>
    <row r="1188" spans="1:1" x14ac:dyDescent="0.2">
      <c r="A1188" s="42"/>
    </row>
    <row r="1189" spans="1:1" x14ac:dyDescent="0.2">
      <c r="A1189" s="42"/>
    </row>
    <row r="1190" spans="1:1" x14ac:dyDescent="0.2">
      <c r="A1190" s="42"/>
    </row>
    <row r="1191" spans="1:1" x14ac:dyDescent="0.2">
      <c r="A1191" s="42"/>
    </row>
    <row r="1192" spans="1:1" x14ac:dyDescent="0.2">
      <c r="A1192" s="42"/>
    </row>
    <row r="1193" spans="1:1" x14ac:dyDescent="0.2">
      <c r="A1193" s="42"/>
    </row>
    <row r="1194" spans="1:1" x14ac:dyDescent="0.2">
      <c r="A1194" s="42"/>
    </row>
    <row r="1195" spans="1:1" x14ac:dyDescent="0.2">
      <c r="A1195" s="42"/>
    </row>
    <row r="1196" spans="1:1" x14ac:dyDescent="0.2">
      <c r="A1196" s="42"/>
    </row>
    <row r="1197" spans="1:1" x14ac:dyDescent="0.2">
      <c r="A1197" s="42"/>
    </row>
    <row r="1198" spans="1:1" x14ac:dyDescent="0.2">
      <c r="A1198" s="42"/>
    </row>
    <row r="1199" spans="1:1" x14ac:dyDescent="0.2">
      <c r="A1199" s="42"/>
    </row>
    <row r="1200" spans="1:1" x14ac:dyDescent="0.2">
      <c r="A1200" s="42"/>
    </row>
    <row r="1201" spans="1:1" x14ac:dyDescent="0.2">
      <c r="A1201" s="42"/>
    </row>
    <row r="1202" spans="1:1" x14ac:dyDescent="0.2">
      <c r="A1202" s="42"/>
    </row>
    <row r="1203" spans="1:1" x14ac:dyDescent="0.2">
      <c r="A1203" s="42"/>
    </row>
    <row r="1204" spans="1:1" x14ac:dyDescent="0.2">
      <c r="A1204" s="42"/>
    </row>
    <row r="1205" spans="1:1" x14ac:dyDescent="0.2">
      <c r="A1205" s="42"/>
    </row>
    <row r="1206" spans="1:1" x14ac:dyDescent="0.2">
      <c r="A1206" s="42"/>
    </row>
    <row r="1207" spans="1:1" x14ac:dyDescent="0.2">
      <c r="A1207" s="42"/>
    </row>
    <row r="1208" spans="1:1" x14ac:dyDescent="0.2">
      <c r="A1208" s="42"/>
    </row>
    <row r="1209" spans="1:1" x14ac:dyDescent="0.2">
      <c r="A1209" s="42"/>
    </row>
    <row r="1210" spans="1:1" x14ac:dyDescent="0.2">
      <c r="A1210" s="42"/>
    </row>
    <row r="1211" spans="1:1" x14ac:dyDescent="0.2">
      <c r="A1211" s="42"/>
    </row>
    <row r="1212" spans="1:1" x14ac:dyDescent="0.2">
      <c r="A1212" s="42"/>
    </row>
    <row r="1213" spans="1:1" x14ac:dyDescent="0.2">
      <c r="A1213" s="42"/>
    </row>
    <row r="1214" spans="1:1" x14ac:dyDescent="0.2">
      <c r="A1214" s="42"/>
    </row>
    <row r="1215" spans="1:1" x14ac:dyDescent="0.2">
      <c r="A1215" s="42"/>
    </row>
    <row r="1216" spans="1:1" x14ac:dyDescent="0.2">
      <c r="A1216" s="42"/>
    </row>
    <row r="1217" spans="1:1" x14ac:dyDescent="0.2">
      <c r="A1217" s="42"/>
    </row>
    <row r="1218" spans="1:1" x14ac:dyDescent="0.2">
      <c r="A1218" s="42"/>
    </row>
    <row r="1219" spans="1:1" x14ac:dyDescent="0.2">
      <c r="A1219" s="42"/>
    </row>
    <row r="1220" spans="1:1" x14ac:dyDescent="0.2">
      <c r="A1220" s="42"/>
    </row>
    <row r="1221" spans="1:1" x14ac:dyDescent="0.2">
      <c r="A1221" s="42"/>
    </row>
    <row r="1222" spans="1:1" x14ac:dyDescent="0.2">
      <c r="A1222" s="42"/>
    </row>
    <row r="1223" spans="1:1" x14ac:dyDescent="0.2">
      <c r="A1223" s="42"/>
    </row>
    <row r="1224" spans="1:1" x14ac:dyDescent="0.2">
      <c r="A1224" s="42"/>
    </row>
    <row r="1225" spans="1:1" x14ac:dyDescent="0.2">
      <c r="A1225" s="42"/>
    </row>
    <row r="1226" spans="1:1" x14ac:dyDescent="0.2">
      <c r="A1226" s="42"/>
    </row>
    <row r="1227" spans="1:1" x14ac:dyDescent="0.2">
      <c r="A1227" s="42"/>
    </row>
    <row r="1228" spans="1:1" x14ac:dyDescent="0.2">
      <c r="A1228" s="42"/>
    </row>
    <row r="1229" spans="1:1" x14ac:dyDescent="0.2">
      <c r="A1229" s="42"/>
    </row>
    <row r="1230" spans="1:1" x14ac:dyDescent="0.2">
      <c r="A1230" s="42"/>
    </row>
    <row r="1231" spans="1:1" x14ac:dyDescent="0.2">
      <c r="A1231" s="42"/>
    </row>
    <row r="1232" spans="1:1" x14ac:dyDescent="0.2">
      <c r="A1232" s="42"/>
    </row>
    <row r="1233" spans="1:1" x14ac:dyDescent="0.2">
      <c r="A1233" s="42"/>
    </row>
    <row r="1234" spans="1:1" x14ac:dyDescent="0.2">
      <c r="A1234" s="42"/>
    </row>
    <row r="1235" spans="1:1" x14ac:dyDescent="0.2">
      <c r="A1235" s="42"/>
    </row>
    <row r="1236" spans="1:1" x14ac:dyDescent="0.2">
      <c r="A1236" s="42"/>
    </row>
    <row r="1237" spans="1:1" x14ac:dyDescent="0.2">
      <c r="A1237" s="42"/>
    </row>
    <row r="1238" spans="1:1" x14ac:dyDescent="0.2">
      <c r="A1238" s="42"/>
    </row>
    <row r="1239" spans="1:1" x14ac:dyDescent="0.2">
      <c r="A1239" s="42"/>
    </row>
    <row r="1240" spans="1:1" x14ac:dyDescent="0.2">
      <c r="A1240" s="42"/>
    </row>
    <row r="1241" spans="1:1" x14ac:dyDescent="0.2">
      <c r="A1241" s="42"/>
    </row>
    <row r="1242" spans="1:1" x14ac:dyDescent="0.2">
      <c r="A1242" s="42"/>
    </row>
    <row r="1243" spans="1:1" x14ac:dyDescent="0.2">
      <c r="A1243" s="42"/>
    </row>
    <row r="1244" spans="1:1" x14ac:dyDescent="0.2">
      <c r="A1244" s="42"/>
    </row>
    <row r="1245" spans="1:1" x14ac:dyDescent="0.2">
      <c r="A1245" s="42"/>
    </row>
    <row r="1246" spans="1:1" x14ac:dyDescent="0.2">
      <c r="A1246" s="42"/>
    </row>
    <row r="1247" spans="1:1" x14ac:dyDescent="0.2">
      <c r="A1247" s="42"/>
    </row>
    <row r="1248" spans="1:1" x14ac:dyDescent="0.2">
      <c r="A1248" s="42"/>
    </row>
    <row r="1249" spans="1:1" x14ac:dyDescent="0.2">
      <c r="A1249" s="42"/>
    </row>
    <row r="1250" spans="1:1" x14ac:dyDescent="0.2">
      <c r="A1250" s="42"/>
    </row>
    <row r="1251" spans="1:1" x14ac:dyDescent="0.2">
      <c r="A1251" s="42"/>
    </row>
    <row r="1252" spans="1:1" x14ac:dyDescent="0.2">
      <c r="A1252" s="42"/>
    </row>
    <row r="1253" spans="1:1" x14ac:dyDescent="0.2">
      <c r="A1253" s="42"/>
    </row>
    <row r="1254" spans="1:1" x14ac:dyDescent="0.2">
      <c r="A1254" s="42"/>
    </row>
    <row r="1255" spans="1:1" x14ac:dyDescent="0.2">
      <c r="A1255" s="42"/>
    </row>
    <row r="1256" spans="1:1" x14ac:dyDescent="0.2">
      <c r="A1256" s="42"/>
    </row>
    <row r="1257" spans="1:1" x14ac:dyDescent="0.2">
      <c r="A1257" s="42"/>
    </row>
    <row r="1258" spans="1:1" x14ac:dyDescent="0.2">
      <c r="A1258" s="42"/>
    </row>
    <row r="1259" spans="1:1" x14ac:dyDescent="0.2">
      <c r="A1259" s="42"/>
    </row>
    <row r="1260" spans="1:1" x14ac:dyDescent="0.2">
      <c r="A1260" s="42"/>
    </row>
    <row r="1261" spans="1:1" x14ac:dyDescent="0.2">
      <c r="A1261" s="42"/>
    </row>
    <row r="1262" spans="1:1" x14ac:dyDescent="0.2">
      <c r="A1262" s="42"/>
    </row>
    <row r="1263" spans="1:1" x14ac:dyDescent="0.2">
      <c r="A1263" s="42"/>
    </row>
    <row r="1264" spans="1:1" x14ac:dyDescent="0.2">
      <c r="A1264" s="42"/>
    </row>
    <row r="1265" spans="1:1" x14ac:dyDescent="0.2">
      <c r="A1265" s="42"/>
    </row>
    <row r="1266" spans="1:1" x14ac:dyDescent="0.2">
      <c r="A1266" s="42"/>
    </row>
    <row r="1267" spans="1:1" x14ac:dyDescent="0.2">
      <c r="A1267" s="42"/>
    </row>
    <row r="1268" spans="1:1" x14ac:dyDescent="0.2">
      <c r="A1268" s="42"/>
    </row>
    <row r="1269" spans="1:1" x14ac:dyDescent="0.2">
      <c r="A1269" s="42"/>
    </row>
    <row r="1270" spans="1:1" x14ac:dyDescent="0.2">
      <c r="A1270" s="42"/>
    </row>
    <row r="1271" spans="1:1" x14ac:dyDescent="0.2">
      <c r="A1271" s="42"/>
    </row>
    <row r="1272" spans="1:1" x14ac:dyDescent="0.2">
      <c r="A1272" s="42"/>
    </row>
    <row r="1273" spans="1:1" x14ac:dyDescent="0.2">
      <c r="A1273" s="42"/>
    </row>
    <row r="1274" spans="1:1" x14ac:dyDescent="0.2">
      <c r="A1274" s="42"/>
    </row>
    <row r="1275" spans="1:1" x14ac:dyDescent="0.2">
      <c r="A1275" s="42"/>
    </row>
    <row r="1276" spans="1:1" x14ac:dyDescent="0.2">
      <c r="A1276" s="42"/>
    </row>
    <row r="1277" spans="1:1" x14ac:dyDescent="0.2">
      <c r="A1277" s="42"/>
    </row>
    <row r="1278" spans="1:1" x14ac:dyDescent="0.2">
      <c r="A1278" s="42"/>
    </row>
    <row r="1279" spans="1:1" x14ac:dyDescent="0.2">
      <c r="A1279" s="42"/>
    </row>
    <row r="1280" spans="1:1" x14ac:dyDescent="0.2">
      <c r="A1280" s="42"/>
    </row>
    <row r="1281" spans="1:1" x14ac:dyDescent="0.2">
      <c r="A1281" s="42"/>
    </row>
    <row r="1282" spans="1:1" x14ac:dyDescent="0.2">
      <c r="A1282" s="42"/>
    </row>
    <row r="1283" spans="1:1" x14ac:dyDescent="0.2">
      <c r="A1283" s="42"/>
    </row>
    <row r="1284" spans="1:1" x14ac:dyDescent="0.2">
      <c r="A1284" s="42"/>
    </row>
    <row r="1285" spans="1:1" x14ac:dyDescent="0.2">
      <c r="A1285" s="42"/>
    </row>
    <row r="1286" spans="1:1" x14ac:dyDescent="0.2">
      <c r="A1286" s="42"/>
    </row>
    <row r="1287" spans="1:1" x14ac:dyDescent="0.2">
      <c r="A1287" s="42"/>
    </row>
    <row r="1288" spans="1:1" x14ac:dyDescent="0.2">
      <c r="A1288" s="42"/>
    </row>
    <row r="1289" spans="1:1" x14ac:dyDescent="0.2">
      <c r="A1289" s="42"/>
    </row>
    <row r="1290" spans="1:1" x14ac:dyDescent="0.2">
      <c r="A1290" s="42"/>
    </row>
    <row r="1291" spans="1:1" x14ac:dyDescent="0.2">
      <c r="A1291" s="42"/>
    </row>
    <row r="1292" spans="1:1" x14ac:dyDescent="0.2">
      <c r="A1292" s="42"/>
    </row>
    <row r="1293" spans="1:1" x14ac:dyDescent="0.2">
      <c r="A1293" s="42"/>
    </row>
    <row r="1294" spans="1:1" x14ac:dyDescent="0.2">
      <c r="A1294" s="42"/>
    </row>
    <row r="1295" spans="1:1" x14ac:dyDescent="0.2">
      <c r="A1295" s="42"/>
    </row>
    <row r="1296" spans="1:1" x14ac:dyDescent="0.2">
      <c r="A1296" s="42"/>
    </row>
    <row r="1297" spans="1:1" x14ac:dyDescent="0.2">
      <c r="A1297" s="42"/>
    </row>
    <row r="1298" spans="1:1" x14ac:dyDescent="0.2">
      <c r="A1298" s="42"/>
    </row>
    <row r="1299" spans="1:1" x14ac:dyDescent="0.2">
      <c r="A1299" s="42"/>
    </row>
    <row r="1300" spans="1:1" x14ac:dyDescent="0.2">
      <c r="A1300" s="42"/>
    </row>
    <row r="1301" spans="1:1" x14ac:dyDescent="0.2">
      <c r="A1301" s="42"/>
    </row>
    <row r="1302" spans="1:1" x14ac:dyDescent="0.2">
      <c r="A1302" s="42"/>
    </row>
    <row r="1303" spans="1:1" x14ac:dyDescent="0.2">
      <c r="A1303" s="42"/>
    </row>
    <row r="1304" spans="1:1" x14ac:dyDescent="0.2">
      <c r="A1304" s="42"/>
    </row>
    <row r="1305" spans="1:1" x14ac:dyDescent="0.2">
      <c r="A1305" s="42"/>
    </row>
    <row r="1306" spans="1:1" x14ac:dyDescent="0.2">
      <c r="A1306" s="42"/>
    </row>
    <row r="1307" spans="1:1" x14ac:dyDescent="0.2">
      <c r="A1307" s="42"/>
    </row>
    <row r="1308" spans="1:1" x14ac:dyDescent="0.2">
      <c r="A1308" s="42"/>
    </row>
    <row r="1309" spans="1:1" x14ac:dyDescent="0.2">
      <c r="A1309" s="42"/>
    </row>
    <row r="1310" spans="1:1" x14ac:dyDescent="0.2">
      <c r="A1310" s="42"/>
    </row>
    <row r="1311" spans="1:1" x14ac:dyDescent="0.2">
      <c r="A1311" s="42"/>
    </row>
    <row r="1312" spans="1:1" x14ac:dyDescent="0.2">
      <c r="A1312" s="42"/>
    </row>
    <row r="1313" spans="1:1" x14ac:dyDescent="0.2">
      <c r="A1313" s="42"/>
    </row>
    <row r="1314" spans="1:1" x14ac:dyDescent="0.2">
      <c r="A1314" s="42"/>
    </row>
    <row r="1315" spans="1:1" x14ac:dyDescent="0.2">
      <c r="A1315" s="42"/>
    </row>
    <row r="1316" spans="1:1" x14ac:dyDescent="0.2">
      <c r="A1316" s="42"/>
    </row>
    <row r="1317" spans="1:1" x14ac:dyDescent="0.2">
      <c r="A1317" s="42"/>
    </row>
    <row r="1318" spans="1:1" x14ac:dyDescent="0.2">
      <c r="A1318" s="42"/>
    </row>
    <row r="1319" spans="1:1" x14ac:dyDescent="0.2">
      <c r="A1319" s="42"/>
    </row>
    <row r="1320" spans="1:1" x14ac:dyDescent="0.2">
      <c r="A1320" s="42"/>
    </row>
    <row r="1321" spans="1:1" x14ac:dyDescent="0.2">
      <c r="A1321" s="42"/>
    </row>
    <row r="1322" spans="1:1" x14ac:dyDescent="0.2">
      <c r="A1322" s="42"/>
    </row>
    <row r="1323" spans="1:1" x14ac:dyDescent="0.2">
      <c r="A1323" s="42"/>
    </row>
    <row r="1324" spans="1:1" x14ac:dyDescent="0.2">
      <c r="A1324" s="42"/>
    </row>
    <row r="1325" spans="1:1" x14ac:dyDescent="0.2">
      <c r="A1325" s="42"/>
    </row>
    <row r="1326" spans="1:1" x14ac:dyDescent="0.2">
      <c r="A1326" s="42"/>
    </row>
    <row r="1327" spans="1:1" x14ac:dyDescent="0.2">
      <c r="A1327" s="42"/>
    </row>
    <row r="1328" spans="1:1" x14ac:dyDescent="0.2">
      <c r="A1328" s="42"/>
    </row>
    <row r="1329" spans="1:1" x14ac:dyDescent="0.2">
      <c r="A1329" s="42"/>
    </row>
    <row r="1330" spans="1:1" x14ac:dyDescent="0.2">
      <c r="A1330" s="42"/>
    </row>
    <row r="1331" spans="1:1" x14ac:dyDescent="0.2">
      <c r="A1331" s="42"/>
    </row>
    <row r="1332" spans="1:1" x14ac:dyDescent="0.2">
      <c r="A1332" s="42"/>
    </row>
    <row r="1333" spans="1:1" x14ac:dyDescent="0.2">
      <c r="A1333" s="42"/>
    </row>
    <row r="1334" spans="1:1" x14ac:dyDescent="0.2">
      <c r="A1334" s="42"/>
    </row>
    <row r="1335" spans="1:1" x14ac:dyDescent="0.2">
      <c r="A1335" s="42"/>
    </row>
    <row r="1336" spans="1:1" x14ac:dyDescent="0.2">
      <c r="A1336" s="42"/>
    </row>
    <row r="1337" spans="1:1" x14ac:dyDescent="0.2">
      <c r="A1337" s="42"/>
    </row>
    <row r="1338" spans="1:1" x14ac:dyDescent="0.2">
      <c r="A1338" s="42"/>
    </row>
    <row r="1339" spans="1:1" x14ac:dyDescent="0.2">
      <c r="A1339" s="42"/>
    </row>
    <row r="1340" spans="1:1" x14ac:dyDescent="0.2">
      <c r="A1340" s="42"/>
    </row>
    <row r="1341" spans="1:1" x14ac:dyDescent="0.2">
      <c r="A1341" s="42"/>
    </row>
    <row r="1342" spans="1:1" x14ac:dyDescent="0.2">
      <c r="A1342" s="42"/>
    </row>
    <row r="1343" spans="1:1" x14ac:dyDescent="0.2">
      <c r="A1343" s="42"/>
    </row>
    <row r="1344" spans="1:1" x14ac:dyDescent="0.2">
      <c r="A1344" s="42"/>
    </row>
    <row r="1345" spans="1:1" x14ac:dyDescent="0.2">
      <c r="A1345" s="42"/>
    </row>
    <row r="1346" spans="1:1" x14ac:dyDescent="0.2">
      <c r="A1346" s="42"/>
    </row>
    <row r="1347" spans="1:1" x14ac:dyDescent="0.2">
      <c r="A1347" s="42"/>
    </row>
    <row r="1348" spans="1:1" x14ac:dyDescent="0.2">
      <c r="A1348" s="42"/>
    </row>
    <row r="1349" spans="1:1" x14ac:dyDescent="0.2">
      <c r="A1349" s="42"/>
    </row>
    <row r="1350" spans="1:1" x14ac:dyDescent="0.2">
      <c r="A1350" s="42"/>
    </row>
    <row r="1351" spans="1:1" x14ac:dyDescent="0.2">
      <c r="A1351" s="42"/>
    </row>
    <row r="1352" spans="1:1" x14ac:dyDescent="0.2">
      <c r="A1352" s="42"/>
    </row>
    <row r="1353" spans="1:1" x14ac:dyDescent="0.2">
      <c r="A1353" s="42"/>
    </row>
    <row r="1354" spans="1:1" x14ac:dyDescent="0.2">
      <c r="A1354" s="42"/>
    </row>
    <row r="1355" spans="1:1" x14ac:dyDescent="0.2">
      <c r="A1355" s="42"/>
    </row>
    <row r="1356" spans="1:1" x14ac:dyDescent="0.2">
      <c r="A1356" s="42"/>
    </row>
    <row r="1357" spans="1:1" x14ac:dyDescent="0.2">
      <c r="A1357" s="42"/>
    </row>
    <row r="1358" spans="1:1" x14ac:dyDescent="0.2">
      <c r="A1358" s="42"/>
    </row>
    <row r="1359" spans="1:1" x14ac:dyDescent="0.2">
      <c r="A1359" s="42"/>
    </row>
    <row r="1360" spans="1:1" x14ac:dyDescent="0.2">
      <c r="A1360" s="42"/>
    </row>
    <row r="1361" spans="1:1" x14ac:dyDescent="0.2">
      <c r="A1361" s="42"/>
    </row>
    <row r="1362" spans="1:1" x14ac:dyDescent="0.2">
      <c r="A1362" s="42"/>
    </row>
    <row r="1363" spans="1:1" x14ac:dyDescent="0.2">
      <c r="A1363" s="42"/>
    </row>
    <row r="1364" spans="1:1" x14ac:dyDescent="0.2">
      <c r="A1364" s="42"/>
    </row>
    <row r="1365" spans="1:1" x14ac:dyDescent="0.2">
      <c r="A1365" s="42"/>
    </row>
    <row r="1366" spans="1:1" x14ac:dyDescent="0.2">
      <c r="A1366" s="42"/>
    </row>
    <row r="1367" spans="1:1" x14ac:dyDescent="0.2">
      <c r="A1367" s="42"/>
    </row>
    <row r="1368" spans="1:1" x14ac:dyDescent="0.2">
      <c r="A1368" s="42"/>
    </row>
    <row r="1369" spans="1:1" x14ac:dyDescent="0.2">
      <c r="A1369" s="42"/>
    </row>
    <row r="1370" spans="1:1" x14ac:dyDescent="0.2">
      <c r="A1370" s="42"/>
    </row>
    <row r="1371" spans="1:1" x14ac:dyDescent="0.2">
      <c r="A1371" s="42"/>
    </row>
    <row r="1372" spans="1:1" x14ac:dyDescent="0.2">
      <c r="A1372" s="42"/>
    </row>
    <row r="1373" spans="1:1" x14ac:dyDescent="0.2">
      <c r="A1373" s="42"/>
    </row>
    <row r="1374" spans="1:1" x14ac:dyDescent="0.2">
      <c r="A1374" s="42"/>
    </row>
    <row r="1375" spans="1:1" x14ac:dyDescent="0.2">
      <c r="A1375" s="42"/>
    </row>
    <row r="1376" spans="1:1" x14ac:dyDescent="0.2">
      <c r="A1376" s="42"/>
    </row>
    <row r="1377" spans="1:1" x14ac:dyDescent="0.2">
      <c r="A1377" s="42"/>
    </row>
    <row r="1378" spans="1:1" x14ac:dyDescent="0.2">
      <c r="A1378" s="42"/>
    </row>
    <row r="1379" spans="1:1" x14ac:dyDescent="0.2">
      <c r="A1379" s="42"/>
    </row>
    <row r="1380" spans="1:1" x14ac:dyDescent="0.2">
      <c r="A1380" s="42"/>
    </row>
    <row r="1381" spans="1:1" x14ac:dyDescent="0.2">
      <c r="A1381" s="42"/>
    </row>
    <row r="1382" spans="1:1" x14ac:dyDescent="0.2">
      <c r="A1382" s="42"/>
    </row>
    <row r="1383" spans="1:1" x14ac:dyDescent="0.2">
      <c r="A1383" s="42"/>
    </row>
    <row r="1384" spans="1:1" x14ac:dyDescent="0.2">
      <c r="A1384" s="42"/>
    </row>
    <row r="1385" spans="1:1" x14ac:dyDescent="0.2">
      <c r="A1385" s="42"/>
    </row>
    <row r="1386" spans="1:1" x14ac:dyDescent="0.2">
      <c r="A1386" s="42"/>
    </row>
    <row r="1387" spans="1:1" x14ac:dyDescent="0.2">
      <c r="A1387" s="42"/>
    </row>
    <row r="1388" spans="1:1" x14ac:dyDescent="0.2">
      <c r="A1388" s="42"/>
    </row>
    <row r="1389" spans="1:1" x14ac:dyDescent="0.2">
      <c r="A1389" s="42"/>
    </row>
    <row r="1390" spans="1:1" x14ac:dyDescent="0.2">
      <c r="A1390" s="42"/>
    </row>
    <row r="1391" spans="1:1" x14ac:dyDescent="0.2">
      <c r="A1391" s="42"/>
    </row>
    <row r="1392" spans="1:1" x14ac:dyDescent="0.2">
      <c r="A1392" s="42"/>
    </row>
    <row r="1393" spans="1:1" x14ac:dyDescent="0.2">
      <c r="A1393" s="42"/>
    </row>
    <row r="1394" spans="1:1" x14ac:dyDescent="0.2">
      <c r="A1394" s="42"/>
    </row>
    <row r="1395" spans="1:1" x14ac:dyDescent="0.2">
      <c r="A1395" s="42"/>
    </row>
    <row r="1396" spans="1:1" x14ac:dyDescent="0.2">
      <c r="A1396" s="42"/>
    </row>
    <row r="1397" spans="1:1" x14ac:dyDescent="0.2">
      <c r="A1397" s="42"/>
    </row>
    <row r="1398" spans="1:1" x14ac:dyDescent="0.2">
      <c r="A1398" s="42"/>
    </row>
    <row r="1399" spans="1:1" x14ac:dyDescent="0.2">
      <c r="A1399" s="42"/>
    </row>
    <row r="1400" spans="1:1" x14ac:dyDescent="0.2">
      <c r="A1400" s="42"/>
    </row>
    <row r="1401" spans="1:1" x14ac:dyDescent="0.2">
      <c r="A1401" s="42"/>
    </row>
    <row r="1402" spans="1:1" x14ac:dyDescent="0.2">
      <c r="A1402" s="42"/>
    </row>
    <row r="1403" spans="1:1" x14ac:dyDescent="0.2">
      <c r="A1403" s="42"/>
    </row>
    <row r="1404" spans="1:1" x14ac:dyDescent="0.2">
      <c r="A1404" s="42"/>
    </row>
    <row r="1405" spans="1:1" x14ac:dyDescent="0.2">
      <c r="A1405" s="42"/>
    </row>
    <row r="1406" spans="1:1" x14ac:dyDescent="0.2">
      <c r="A1406" s="42"/>
    </row>
    <row r="1407" spans="1:1" x14ac:dyDescent="0.2">
      <c r="A1407" s="42"/>
    </row>
    <row r="1408" spans="1:1" x14ac:dyDescent="0.2">
      <c r="A1408" s="42"/>
    </row>
    <row r="1409" spans="1:1" x14ac:dyDescent="0.2">
      <c r="A1409" s="42"/>
    </row>
    <row r="1410" spans="1:1" x14ac:dyDescent="0.2">
      <c r="A1410" s="42"/>
    </row>
    <row r="1411" spans="1:1" x14ac:dyDescent="0.2">
      <c r="A1411" s="42"/>
    </row>
    <row r="1412" spans="1:1" x14ac:dyDescent="0.2">
      <c r="A1412" s="42"/>
    </row>
    <row r="1413" spans="1:1" x14ac:dyDescent="0.2">
      <c r="A1413" s="42"/>
    </row>
    <row r="1414" spans="1:1" x14ac:dyDescent="0.2">
      <c r="A1414" s="42"/>
    </row>
    <row r="1415" spans="1:1" x14ac:dyDescent="0.2">
      <c r="A1415" s="42"/>
    </row>
    <row r="1416" spans="1:1" x14ac:dyDescent="0.2">
      <c r="A1416" s="42"/>
    </row>
    <row r="1417" spans="1:1" x14ac:dyDescent="0.2">
      <c r="A1417" s="42"/>
    </row>
    <row r="1418" spans="1:1" x14ac:dyDescent="0.2">
      <c r="A1418" s="42"/>
    </row>
    <row r="1419" spans="1:1" x14ac:dyDescent="0.2">
      <c r="A1419" s="42"/>
    </row>
    <row r="1420" spans="1:1" x14ac:dyDescent="0.2">
      <c r="A1420" s="42"/>
    </row>
    <row r="1421" spans="1:1" x14ac:dyDescent="0.2">
      <c r="A1421" s="42"/>
    </row>
    <row r="1422" spans="1:1" x14ac:dyDescent="0.2">
      <c r="A1422" s="42"/>
    </row>
    <row r="1423" spans="1:1" x14ac:dyDescent="0.2">
      <c r="A1423" s="42"/>
    </row>
    <row r="1424" spans="1:1" x14ac:dyDescent="0.2">
      <c r="A1424" s="42"/>
    </row>
    <row r="1425" spans="1:1" x14ac:dyDescent="0.2">
      <c r="A1425" s="42"/>
    </row>
    <row r="1426" spans="1:1" x14ac:dyDescent="0.2">
      <c r="A1426" s="42"/>
    </row>
    <row r="1427" spans="1:1" x14ac:dyDescent="0.2">
      <c r="A1427" s="42"/>
    </row>
    <row r="1428" spans="1:1" x14ac:dyDescent="0.2">
      <c r="A1428" s="42"/>
    </row>
    <row r="1429" spans="1:1" x14ac:dyDescent="0.2">
      <c r="A1429" s="42"/>
    </row>
    <row r="1430" spans="1:1" x14ac:dyDescent="0.2">
      <c r="A1430" s="42"/>
    </row>
    <row r="1431" spans="1:1" x14ac:dyDescent="0.2">
      <c r="A1431" s="42"/>
    </row>
    <row r="1432" spans="1:1" x14ac:dyDescent="0.2">
      <c r="A1432" s="42"/>
    </row>
    <row r="1433" spans="1:1" x14ac:dyDescent="0.2">
      <c r="A1433" s="42"/>
    </row>
    <row r="1434" spans="1:1" x14ac:dyDescent="0.2">
      <c r="A1434" s="42"/>
    </row>
    <row r="1435" spans="1:1" x14ac:dyDescent="0.2">
      <c r="A1435" s="42"/>
    </row>
    <row r="1436" spans="1:1" x14ac:dyDescent="0.2">
      <c r="A1436" s="42"/>
    </row>
    <row r="1437" spans="1:1" x14ac:dyDescent="0.2">
      <c r="A1437" s="42"/>
    </row>
    <row r="1438" spans="1:1" x14ac:dyDescent="0.2">
      <c r="A1438" s="42"/>
    </row>
    <row r="1439" spans="1:1" x14ac:dyDescent="0.2">
      <c r="A1439" s="42"/>
    </row>
    <row r="1440" spans="1:1" x14ac:dyDescent="0.2">
      <c r="A1440" s="42"/>
    </row>
    <row r="1441" spans="1:1" x14ac:dyDescent="0.2">
      <c r="A1441" s="42"/>
    </row>
    <row r="1442" spans="1:1" x14ac:dyDescent="0.2">
      <c r="A1442" s="42"/>
    </row>
    <row r="1443" spans="1:1" x14ac:dyDescent="0.2">
      <c r="A1443" s="42"/>
    </row>
    <row r="1444" spans="1:1" x14ac:dyDescent="0.2">
      <c r="A1444" s="42"/>
    </row>
    <row r="1445" spans="1:1" x14ac:dyDescent="0.2">
      <c r="A1445" s="42"/>
    </row>
    <row r="1446" spans="1:1" x14ac:dyDescent="0.2">
      <c r="A1446" s="42"/>
    </row>
    <row r="1447" spans="1:1" x14ac:dyDescent="0.2">
      <c r="A1447" s="42"/>
    </row>
    <row r="1448" spans="1:1" x14ac:dyDescent="0.2">
      <c r="A1448" s="42"/>
    </row>
    <row r="1449" spans="1:1" x14ac:dyDescent="0.2">
      <c r="A1449" s="42"/>
    </row>
    <row r="1450" spans="1:1" x14ac:dyDescent="0.2">
      <c r="A1450" s="42"/>
    </row>
    <row r="1451" spans="1:1" x14ac:dyDescent="0.2">
      <c r="A1451" s="42"/>
    </row>
    <row r="1452" spans="1:1" x14ac:dyDescent="0.2">
      <c r="A1452" s="42"/>
    </row>
    <row r="1453" spans="1:1" x14ac:dyDescent="0.2">
      <c r="A1453" s="42"/>
    </row>
    <row r="1454" spans="1:1" x14ac:dyDescent="0.2">
      <c r="A1454" s="42"/>
    </row>
    <row r="1455" spans="1:1" x14ac:dyDescent="0.2">
      <c r="A1455" s="42"/>
    </row>
    <row r="1456" spans="1:1" x14ac:dyDescent="0.2">
      <c r="A1456" s="42"/>
    </row>
    <row r="1457" spans="1:1" x14ac:dyDescent="0.2">
      <c r="A1457" s="42"/>
    </row>
    <row r="1458" spans="1:1" x14ac:dyDescent="0.2">
      <c r="A1458" s="42"/>
    </row>
    <row r="1459" spans="1:1" x14ac:dyDescent="0.2">
      <c r="A1459" s="42"/>
    </row>
    <row r="1460" spans="1:1" x14ac:dyDescent="0.2">
      <c r="A1460" s="42"/>
    </row>
    <row r="1461" spans="1:1" x14ac:dyDescent="0.2">
      <c r="A1461" s="42"/>
    </row>
    <row r="1462" spans="1:1" x14ac:dyDescent="0.2">
      <c r="A1462" s="42"/>
    </row>
    <row r="1463" spans="1:1" x14ac:dyDescent="0.2">
      <c r="A1463" s="42"/>
    </row>
    <row r="1464" spans="1:1" x14ac:dyDescent="0.2">
      <c r="A1464" s="42"/>
    </row>
    <row r="1465" spans="1:1" x14ac:dyDescent="0.2">
      <c r="A1465" s="42"/>
    </row>
    <row r="1466" spans="1:1" x14ac:dyDescent="0.2">
      <c r="A1466" s="42"/>
    </row>
    <row r="1467" spans="1:1" x14ac:dyDescent="0.2">
      <c r="A1467" s="42"/>
    </row>
    <row r="1468" spans="1:1" x14ac:dyDescent="0.2">
      <c r="A1468" s="42"/>
    </row>
    <row r="1469" spans="1:1" x14ac:dyDescent="0.2">
      <c r="A1469" s="42"/>
    </row>
    <row r="1470" spans="1:1" x14ac:dyDescent="0.2">
      <c r="A1470" s="42"/>
    </row>
    <row r="1471" spans="1:1" x14ac:dyDescent="0.2">
      <c r="A1471" s="42"/>
    </row>
    <row r="1472" spans="1:1" x14ac:dyDescent="0.2">
      <c r="A1472" s="42"/>
    </row>
    <row r="1473" spans="1:1" x14ac:dyDescent="0.2">
      <c r="A1473" s="42"/>
    </row>
    <row r="1474" spans="1:1" x14ac:dyDescent="0.2">
      <c r="A1474" s="42"/>
    </row>
    <row r="1475" spans="1:1" x14ac:dyDescent="0.2">
      <c r="A1475" s="42"/>
    </row>
    <row r="1476" spans="1:1" x14ac:dyDescent="0.2">
      <c r="A1476" s="42"/>
    </row>
    <row r="1477" spans="1:1" x14ac:dyDescent="0.2">
      <c r="A1477" s="42"/>
    </row>
    <row r="1478" spans="1:1" x14ac:dyDescent="0.2">
      <c r="A1478" s="42"/>
    </row>
    <row r="1479" spans="1:1" x14ac:dyDescent="0.2">
      <c r="A1479" s="42"/>
    </row>
    <row r="1480" spans="1:1" x14ac:dyDescent="0.2">
      <c r="A1480" s="42"/>
    </row>
    <row r="1481" spans="1:1" x14ac:dyDescent="0.2">
      <c r="A1481" s="42"/>
    </row>
    <row r="1482" spans="1:1" x14ac:dyDescent="0.2">
      <c r="A1482" s="42"/>
    </row>
    <row r="1483" spans="1:1" x14ac:dyDescent="0.2">
      <c r="A1483" s="42"/>
    </row>
    <row r="1484" spans="1:1" x14ac:dyDescent="0.2">
      <c r="A1484" s="42"/>
    </row>
    <row r="1485" spans="1:1" x14ac:dyDescent="0.2">
      <c r="A1485" s="42"/>
    </row>
    <row r="1486" spans="1:1" x14ac:dyDescent="0.2">
      <c r="A1486" s="42"/>
    </row>
    <row r="1487" spans="1:1" x14ac:dyDescent="0.2">
      <c r="A1487" s="42"/>
    </row>
    <row r="1488" spans="1:1" x14ac:dyDescent="0.2">
      <c r="A1488" s="42"/>
    </row>
    <row r="1489" spans="1:1" x14ac:dyDescent="0.2">
      <c r="A1489" s="42"/>
    </row>
    <row r="1490" spans="1:1" x14ac:dyDescent="0.2">
      <c r="A1490" s="42"/>
    </row>
    <row r="1491" spans="1:1" x14ac:dyDescent="0.2">
      <c r="A1491" s="42"/>
    </row>
    <row r="1492" spans="1:1" x14ac:dyDescent="0.2">
      <c r="A1492" s="42"/>
    </row>
    <row r="1493" spans="1:1" x14ac:dyDescent="0.2">
      <c r="A1493" s="42"/>
    </row>
    <row r="1494" spans="1:1" x14ac:dyDescent="0.2">
      <c r="A1494" s="42"/>
    </row>
    <row r="1495" spans="1:1" x14ac:dyDescent="0.2">
      <c r="A1495" s="42"/>
    </row>
    <row r="1496" spans="1:1" x14ac:dyDescent="0.2">
      <c r="A1496" s="42"/>
    </row>
    <row r="1497" spans="1:1" x14ac:dyDescent="0.2">
      <c r="A1497" s="42"/>
    </row>
    <row r="1498" spans="1:1" x14ac:dyDescent="0.2">
      <c r="A1498" s="42"/>
    </row>
    <row r="1499" spans="1:1" x14ac:dyDescent="0.2">
      <c r="A1499" s="42"/>
    </row>
    <row r="1500" spans="1:1" x14ac:dyDescent="0.2">
      <c r="A1500" s="42"/>
    </row>
    <row r="1501" spans="1:1" x14ac:dyDescent="0.2">
      <c r="A1501" s="42"/>
    </row>
    <row r="1502" spans="1:1" x14ac:dyDescent="0.2">
      <c r="A1502" s="42"/>
    </row>
    <row r="1503" spans="1:1" x14ac:dyDescent="0.2">
      <c r="A1503" s="42"/>
    </row>
    <row r="1504" spans="1:1" x14ac:dyDescent="0.2">
      <c r="A1504" s="42"/>
    </row>
    <row r="1505" spans="1:1" x14ac:dyDescent="0.2">
      <c r="A1505" s="42"/>
    </row>
    <row r="1506" spans="1:1" x14ac:dyDescent="0.2">
      <c r="A1506" s="42"/>
    </row>
    <row r="1507" spans="1:1" x14ac:dyDescent="0.2">
      <c r="A1507" s="42"/>
    </row>
    <row r="1508" spans="1:1" x14ac:dyDescent="0.2">
      <c r="A1508" s="42"/>
    </row>
    <row r="1509" spans="1:1" x14ac:dyDescent="0.2">
      <c r="A1509" s="42"/>
    </row>
    <row r="1510" spans="1:1" x14ac:dyDescent="0.2">
      <c r="A1510" s="42"/>
    </row>
    <row r="1511" spans="1:1" x14ac:dyDescent="0.2">
      <c r="A1511" s="42"/>
    </row>
    <row r="1512" spans="1:1" x14ac:dyDescent="0.2">
      <c r="A1512" s="42"/>
    </row>
    <row r="1513" spans="1:1" x14ac:dyDescent="0.2">
      <c r="A1513" s="42"/>
    </row>
    <row r="1514" spans="1:1" x14ac:dyDescent="0.2">
      <c r="A1514" s="42"/>
    </row>
    <row r="1515" spans="1:1" x14ac:dyDescent="0.2">
      <c r="A1515" s="42"/>
    </row>
    <row r="1516" spans="1:1" x14ac:dyDescent="0.2">
      <c r="A1516" s="42"/>
    </row>
    <row r="1517" spans="1:1" x14ac:dyDescent="0.2">
      <c r="A1517" s="42"/>
    </row>
    <row r="1518" spans="1:1" x14ac:dyDescent="0.2">
      <c r="A1518" s="42"/>
    </row>
    <row r="1519" spans="1:1" x14ac:dyDescent="0.2">
      <c r="A1519" s="42"/>
    </row>
    <row r="1520" spans="1:1" x14ac:dyDescent="0.2">
      <c r="A1520" s="42"/>
    </row>
    <row r="1521" spans="1:1" x14ac:dyDescent="0.2">
      <c r="A1521" s="42"/>
    </row>
    <row r="1522" spans="1:1" x14ac:dyDescent="0.2">
      <c r="A1522" s="42"/>
    </row>
    <row r="1523" spans="1:1" x14ac:dyDescent="0.2">
      <c r="A1523" s="42"/>
    </row>
    <row r="1524" spans="1:1" x14ac:dyDescent="0.2">
      <c r="A1524" s="42"/>
    </row>
    <row r="1525" spans="1:1" x14ac:dyDescent="0.2">
      <c r="A1525" s="42"/>
    </row>
    <row r="1526" spans="1:1" x14ac:dyDescent="0.2">
      <c r="A1526" s="42"/>
    </row>
    <row r="1527" spans="1:1" x14ac:dyDescent="0.2">
      <c r="A1527" s="42"/>
    </row>
    <row r="1528" spans="1:1" x14ac:dyDescent="0.2">
      <c r="A1528" s="42"/>
    </row>
    <row r="1529" spans="1:1" x14ac:dyDescent="0.2">
      <c r="A1529" s="42"/>
    </row>
    <row r="1530" spans="1:1" x14ac:dyDescent="0.2">
      <c r="A1530" s="42"/>
    </row>
    <row r="1531" spans="1:1" x14ac:dyDescent="0.2">
      <c r="A1531" s="42"/>
    </row>
    <row r="1532" spans="1:1" x14ac:dyDescent="0.2">
      <c r="A1532" s="42"/>
    </row>
    <row r="1533" spans="1:1" x14ac:dyDescent="0.2">
      <c r="A1533" s="42"/>
    </row>
    <row r="1534" spans="1:1" x14ac:dyDescent="0.2">
      <c r="A1534" s="42"/>
    </row>
    <row r="1535" spans="1:1" x14ac:dyDescent="0.2">
      <c r="A1535" s="42"/>
    </row>
    <row r="1536" spans="1:1" x14ac:dyDescent="0.2">
      <c r="A1536" s="42"/>
    </row>
    <row r="1537" spans="1:1" x14ac:dyDescent="0.2">
      <c r="A1537" s="42"/>
    </row>
    <row r="1538" spans="1:1" x14ac:dyDescent="0.2">
      <c r="A1538" s="42"/>
    </row>
    <row r="1539" spans="1:1" x14ac:dyDescent="0.2">
      <c r="A1539" s="42"/>
    </row>
    <row r="1540" spans="1:1" x14ac:dyDescent="0.2">
      <c r="A1540" s="42"/>
    </row>
    <row r="1541" spans="1:1" x14ac:dyDescent="0.2">
      <c r="A1541" s="42"/>
    </row>
    <row r="1542" spans="1:1" x14ac:dyDescent="0.2">
      <c r="A1542" s="42"/>
    </row>
    <row r="1543" spans="1:1" x14ac:dyDescent="0.2">
      <c r="A1543" s="42"/>
    </row>
    <row r="1544" spans="1:1" x14ac:dyDescent="0.2">
      <c r="A1544" s="42"/>
    </row>
    <row r="1545" spans="1:1" x14ac:dyDescent="0.2">
      <c r="A1545" s="42"/>
    </row>
    <row r="1546" spans="1:1" x14ac:dyDescent="0.2">
      <c r="A1546" s="42"/>
    </row>
    <row r="1547" spans="1:1" x14ac:dyDescent="0.2">
      <c r="A1547" s="42"/>
    </row>
    <row r="1548" spans="1:1" x14ac:dyDescent="0.2">
      <c r="A1548" s="42"/>
    </row>
    <row r="1549" spans="1:1" x14ac:dyDescent="0.2">
      <c r="A1549" s="42"/>
    </row>
    <row r="1550" spans="1:1" x14ac:dyDescent="0.2">
      <c r="A1550" s="42"/>
    </row>
    <row r="1551" spans="1:1" x14ac:dyDescent="0.2">
      <c r="A1551" s="42"/>
    </row>
    <row r="1552" spans="1:1" x14ac:dyDescent="0.2">
      <c r="A1552" s="42"/>
    </row>
    <row r="1553" spans="1:1" x14ac:dyDescent="0.2">
      <c r="A1553" s="42"/>
    </row>
    <row r="1554" spans="1:1" x14ac:dyDescent="0.2">
      <c r="A1554" s="42"/>
    </row>
    <row r="1555" spans="1:1" x14ac:dyDescent="0.2">
      <c r="A1555" s="42"/>
    </row>
    <row r="1556" spans="1:1" x14ac:dyDescent="0.2">
      <c r="A1556" s="42"/>
    </row>
    <row r="1557" spans="1:1" x14ac:dyDescent="0.2">
      <c r="A1557" s="42"/>
    </row>
    <row r="1558" spans="1:1" x14ac:dyDescent="0.2">
      <c r="A1558" s="42"/>
    </row>
    <row r="1559" spans="1:1" x14ac:dyDescent="0.2">
      <c r="A1559" s="42"/>
    </row>
    <row r="1560" spans="1:1" x14ac:dyDescent="0.2">
      <c r="A1560" s="42"/>
    </row>
    <row r="1561" spans="1:1" x14ac:dyDescent="0.2">
      <c r="A1561" s="42"/>
    </row>
    <row r="1562" spans="1:1" x14ac:dyDescent="0.2">
      <c r="A1562" s="42"/>
    </row>
    <row r="1563" spans="1:1" x14ac:dyDescent="0.2">
      <c r="A1563" s="42"/>
    </row>
    <row r="1564" spans="1:1" x14ac:dyDescent="0.2">
      <c r="A1564" s="42"/>
    </row>
    <row r="1565" spans="1:1" x14ac:dyDescent="0.2">
      <c r="A1565" s="42"/>
    </row>
    <row r="1566" spans="1:1" x14ac:dyDescent="0.2">
      <c r="A1566" s="42"/>
    </row>
    <row r="1567" spans="1:1" x14ac:dyDescent="0.2">
      <c r="A1567" s="42"/>
    </row>
    <row r="1568" spans="1:1" x14ac:dyDescent="0.2">
      <c r="A1568" s="42"/>
    </row>
    <row r="1569" spans="1:1" x14ac:dyDescent="0.2">
      <c r="A1569" s="42"/>
    </row>
    <row r="1570" spans="1:1" x14ac:dyDescent="0.2">
      <c r="A1570" s="42"/>
    </row>
    <row r="1571" spans="1:1" x14ac:dyDescent="0.2">
      <c r="A1571" s="42"/>
    </row>
    <row r="1572" spans="1:1" x14ac:dyDescent="0.2">
      <c r="A1572" s="42"/>
    </row>
    <row r="1573" spans="1:1" x14ac:dyDescent="0.2">
      <c r="A1573" s="42"/>
    </row>
    <row r="1574" spans="1:1" x14ac:dyDescent="0.2">
      <c r="A1574" s="42"/>
    </row>
    <row r="1575" spans="1:1" x14ac:dyDescent="0.2">
      <c r="A1575" s="42"/>
    </row>
    <row r="1576" spans="1:1" x14ac:dyDescent="0.2">
      <c r="A1576" s="42"/>
    </row>
    <row r="1577" spans="1:1" x14ac:dyDescent="0.2">
      <c r="A1577" s="42"/>
    </row>
    <row r="1578" spans="1:1" x14ac:dyDescent="0.2">
      <c r="A1578" s="42"/>
    </row>
    <row r="1579" spans="1:1" x14ac:dyDescent="0.2">
      <c r="A1579" s="42"/>
    </row>
    <row r="1580" spans="1:1" x14ac:dyDescent="0.2">
      <c r="A1580" s="42"/>
    </row>
    <row r="1581" spans="1:1" x14ac:dyDescent="0.2">
      <c r="A1581" s="42"/>
    </row>
    <row r="1582" spans="1:1" x14ac:dyDescent="0.2">
      <c r="A1582" s="42"/>
    </row>
    <row r="1583" spans="1:1" x14ac:dyDescent="0.2">
      <c r="A1583" s="42"/>
    </row>
    <row r="1584" spans="1:1" x14ac:dyDescent="0.2">
      <c r="A1584" s="42"/>
    </row>
    <row r="1585" spans="1:1" x14ac:dyDescent="0.2">
      <c r="A1585" s="42"/>
    </row>
    <row r="1586" spans="1:1" x14ac:dyDescent="0.2">
      <c r="A1586" s="42"/>
    </row>
    <row r="1587" spans="1:1" x14ac:dyDescent="0.2">
      <c r="A1587" s="42"/>
    </row>
    <row r="1588" spans="1:1" x14ac:dyDescent="0.2">
      <c r="A1588" s="42"/>
    </row>
    <row r="1589" spans="1:1" x14ac:dyDescent="0.2">
      <c r="A1589" s="42"/>
    </row>
    <row r="1590" spans="1:1" x14ac:dyDescent="0.2">
      <c r="A1590" s="42"/>
    </row>
    <row r="1591" spans="1:1" x14ac:dyDescent="0.2">
      <c r="A1591" s="42"/>
    </row>
    <row r="1592" spans="1:1" x14ac:dyDescent="0.2">
      <c r="A1592" s="42"/>
    </row>
    <row r="1593" spans="1:1" x14ac:dyDescent="0.2">
      <c r="A1593" s="42"/>
    </row>
    <row r="1594" spans="1:1" x14ac:dyDescent="0.2">
      <c r="A1594" s="42"/>
    </row>
    <row r="1595" spans="1:1" x14ac:dyDescent="0.2">
      <c r="A1595" s="42"/>
    </row>
    <row r="1596" spans="1:1" x14ac:dyDescent="0.2">
      <c r="A1596" s="42"/>
    </row>
    <row r="1597" spans="1:1" x14ac:dyDescent="0.2">
      <c r="A1597" s="42"/>
    </row>
    <row r="1598" spans="1:1" x14ac:dyDescent="0.2">
      <c r="A1598" s="42"/>
    </row>
    <row r="1599" spans="1:1" x14ac:dyDescent="0.2">
      <c r="A1599" s="42"/>
    </row>
    <row r="1600" spans="1:1" x14ac:dyDescent="0.2">
      <c r="A1600" s="42"/>
    </row>
    <row r="1601" spans="1:1" x14ac:dyDescent="0.2">
      <c r="A1601" s="42"/>
    </row>
    <row r="1602" spans="1:1" x14ac:dyDescent="0.2">
      <c r="A1602" s="42"/>
    </row>
    <row r="1603" spans="1:1" x14ac:dyDescent="0.2">
      <c r="A1603" s="42"/>
    </row>
    <row r="1604" spans="1:1" x14ac:dyDescent="0.2">
      <c r="A1604" s="42"/>
    </row>
    <row r="1605" spans="1:1" x14ac:dyDescent="0.2">
      <c r="A1605" s="42"/>
    </row>
    <row r="1606" spans="1:1" x14ac:dyDescent="0.2">
      <c r="A1606" s="42"/>
    </row>
    <row r="1607" spans="1:1" x14ac:dyDescent="0.2">
      <c r="A1607" s="42"/>
    </row>
    <row r="1608" spans="1:1" x14ac:dyDescent="0.2">
      <c r="A1608" s="42"/>
    </row>
    <row r="1609" spans="1:1" x14ac:dyDescent="0.2">
      <c r="A1609" s="42"/>
    </row>
    <row r="1610" spans="1:1" x14ac:dyDescent="0.2">
      <c r="A1610" s="42"/>
    </row>
    <row r="1611" spans="1:1" x14ac:dyDescent="0.2">
      <c r="A1611" s="42"/>
    </row>
    <row r="1612" spans="1:1" x14ac:dyDescent="0.2">
      <c r="A1612" s="42"/>
    </row>
    <row r="1613" spans="1:1" x14ac:dyDescent="0.2">
      <c r="A1613" s="42"/>
    </row>
    <row r="1614" spans="1:1" x14ac:dyDescent="0.2">
      <c r="A1614" s="42"/>
    </row>
    <row r="1615" spans="1:1" x14ac:dyDescent="0.2">
      <c r="A1615" s="42"/>
    </row>
    <row r="1616" spans="1:1" x14ac:dyDescent="0.2">
      <c r="A1616" s="42"/>
    </row>
    <row r="1617" spans="1:1" x14ac:dyDescent="0.2">
      <c r="A1617" s="42"/>
    </row>
    <row r="1618" spans="1:1" x14ac:dyDescent="0.2">
      <c r="A1618" s="42"/>
    </row>
    <row r="1619" spans="1:1" x14ac:dyDescent="0.2">
      <c r="A1619" s="42"/>
    </row>
    <row r="1620" spans="1:1" x14ac:dyDescent="0.2">
      <c r="A1620" s="42"/>
    </row>
    <row r="1621" spans="1:1" x14ac:dyDescent="0.2">
      <c r="A1621" s="42"/>
    </row>
    <row r="1622" spans="1:1" x14ac:dyDescent="0.2">
      <c r="A1622" s="42"/>
    </row>
    <row r="1623" spans="1:1" x14ac:dyDescent="0.2">
      <c r="A1623" s="42"/>
    </row>
    <row r="1624" spans="1:1" x14ac:dyDescent="0.2">
      <c r="A1624" s="42"/>
    </row>
    <row r="1625" spans="1:1" x14ac:dyDescent="0.2">
      <c r="A1625" s="42"/>
    </row>
    <row r="1626" spans="1:1" x14ac:dyDescent="0.2">
      <c r="A1626" s="42"/>
    </row>
    <row r="1627" spans="1:1" x14ac:dyDescent="0.2">
      <c r="A1627" s="42"/>
    </row>
    <row r="1628" spans="1:1" x14ac:dyDescent="0.2">
      <c r="A1628" s="42"/>
    </row>
    <row r="1629" spans="1:1" x14ac:dyDescent="0.2">
      <c r="A1629" s="42"/>
    </row>
    <row r="1630" spans="1:1" x14ac:dyDescent="0.2">
      <c r="A1630" s="42"/>
    </row>
    <row r="1631" spans="1:1" x14ac:dyDescent="0.2">
      <c r="A1631" s="42"/>
    </row>
    <row r="1632" spans="1:1" x14ac:dyDescent="0.2">
      <c r="A1632" s="42"/>
    </row>
    <row r="1633" spans="1:1" x14ac:dyDescent="0.2">
      <c r="A1633" s="42"/>
    </row>
    <row r="1634" spans="1:1" x14ac:dyDescent="0.2">
      <c r="A1634" s="42"/>
    </row>
    <row r="1635" spans="1:1" x14ac:dyDescent="0.2">
      <c r="A1635" s="42"/>
    </row>
    <row r="1636" spans="1:1" x14ac:dyDescent="0.2">
      <c r="A1636" s="42"/>
    </row>
    <row r="1637" spans="1:1" x14ac:dyDescent="0.2">
      <c r="A1637" s="42"/>
    </row>
    <row r="1638" spans="1:1" x14ac:dyDescent="0.2">
      <c r="A1638" s="42"/>
    </row>
    <row r="1639" spans="1:1" x14ac:dyDescent="0.2">
      <c r="A1639" s="42"/>
    </row>
    <row r="1640" spans="1:1" x14ac:dyDescent="0.2">
      <c r="A1640" s="42"/>
    </row>
    <row r="1641" spans="1:1" x14ac:dyDescent="0.2">
      <c r="A1641" s="42"/>
    </row>
    <row r="1642" spans="1:1" x14ac:dyDescent="0.2">
      <c r="A1642" s="42"/>
    </row>
    <row r="1643" spans="1:1" x14ac:dyDescent="0.2">
      <c r="A1643" s="42"/>
    </row>
    <row r="1644" spans="1:1" x14ac:dyDescent="0.2">
      <c r="A1644" s="42"/>
    </row>
    <row r="1645" spans="1:1" x14ac:dyDescent="0.2">
      <c r="A1645" s="42"/>
    </row>
    <row r="1646" spans="1:1" x14ac:dyDescent="0.2">
      <c r="A1646" s="42"/>
    </row>
    <row r="1647" spans="1:1" x14ac:dyDescent="0.2">
      <c r="A1647" s="42"/>
    </row>
    <row r="1648" spans="1:1" x14ac:dyDescent="0.2">
      <c r="A1648" s="42"/>
    </row>
    <row r="1649" spans="1:1" x14ac:dyDescent="0.2">
      <c r="A1649" s="42"/>
    </row>
    <row r="1650" spans="1:1" x14ac:dyDescent="0.2">
      <c r="A1650" s="42"/>
    </row>
    <row r="1651" spans="1:1" x14ac:dyDescent="0.2">
      <c r="A1651" s="42"/>
    </row>
    <row r="1652" spans="1:1" x14ac:dyDescent="0.2">
      <c r="A1652" s="42"/>
    </row>
    <row r="1653" spans="1:1" x14ac:dyDescent="0.2">
      <c r="A1653" s="42"/>
    </row>
    <row r="1654" spans="1:1" x14ac:dyDescent="0.2">
      <c r="A1654" s="42"/>
    </row>
    <row r="1655" spans="1:1" x14ac:dyDescent="0.2">
      <c r="A1655" s="42"/>
    </row>
    <row r="1656" spans="1:1" x14ac:dyDescent="0.2">
      <c r="A1656" s="42"/>
    </row>
    <row r="1657" spans="1:1" x14ac:dyDescent="0.2">
      <c r="A1657" s="42"/>
    </row>
    <row r="1658" spans="1:1" x14ac:dyDescent="0.2">
      <c r="A1658" s="42"/>
    </row>
    <row r="1659" spans="1:1" x14ac:dyDescent="0.2">
      <c r="A1659" s="42"/>
    </row>
    <row r="1660" spans="1:1" x14ac:dyDescent="0.2">
      <c r="A1660" s="42"/>
    </row>
    <row r="1661" spans="1:1" x14ac:dyDescent="0.2">
      <c r="A1661" s="42"/>
    </row>
    <row r="1662" spans="1:1" x14ac:dyDescent="0.2">
      <c r="A1662" s="42"/>
    </row>
    <row r="1663" spans="1:1" x14ac:dyDescent="0.2">
      <c r="A1663" s="42"/>
    </row>
    <row r="1664" spans="1:1" x14ac:dyDescent="0.2">
      <c r="A1664" s="42"/>
    </row>
    <row r="1665" spans="1:1" x14ac:dyDescent="0.2">
      <c r="A1665" s="42"/>
    </row>
    <row r="1666" spans="1:1" x14ac:dyDescent="0.2">
      <c r="A1666" s="42"/>
    </row>
    <row r="1667" spans="1:1" x14ac:dyDescent="0.2">
      <c r="A1667" s="42"/>
    </row>
    <row r="1668" spans="1:1" x14ac:dyDescent="0.2">
      <c r="A1668" s="42"/>
    </row>
    <row r="1669" spans="1:1" x14ac:dyDescent="0.2">
      <c r="A1669" s="42"/>
    </row>
    <row r="1670" spans="1:1" x14ac:dyDescent="0.2">
      <c r="A1670" s="42"/>
    </row>
    <row r="1671" spans="1:1" x14ac:dyDescent="0.2">
      <c r="A1671" s="42"/>
    </row>
    <row r="1672" spans="1:1" x14ac:dyDescent="0.2">
      <c r="A1672" s="42"/>
    </row>
    <row r="1673" spans="1:1" x14ac:dyDescent="0.2">
      <c r="A1673" s="42"/>
    </row>
    <row r="1674" spans="1:1" x14ac:dyDescent="0.2">
      <c r="A1674" s="42"/>
    </row>
    <row r="1675" spans="1:1" x14ac:dyDescent="0.2">
      <c r="A1675" s="42"/>
    </row>
    <row r="1676" spans="1:1" x14ac:dyDescent="0.2">
      <c r="A1676" s="42"/>
    </row>
    <row r="1677" spans="1:1" x14ac:dyDescent="0.2">
      <c r="A1677" s="42"/>
    </row>
    <row r="1678" spans="1:1" x14ac:dyDescent="0.2">
      <c r="A1678" s="42"/>
    </row>
    <row r="1679" spans="1:1" x14ac:dyDescent="0.2">
      <c r="A1679" s="42"/>
    </row>
    <row r="1680" spans="1:1" x14ac:dyDescent="0.2">
      <c r="A1680" s="42"/>
    </row>
    <row r="1681" spans="1:1" x14ac:dyDescent="0.2">
      <c r="A1681" s="42"/>
    </row>
    <row r="1682" spans="1:1" x14ac:dyDescent="0.2">
      <c r="A1682" s="42"/>
    </row>
    <row r="1683" spans="1:1" x14ac:dyDescent="0.2">
      <c r="A1683" s="42"/>
    </row>
    <row r="1684" spans="1:1" x14ac:dyDescent="0.2">
      <c r="A1684" s="42"/>
    </row>
    <row r="1685" spans="1:1" x14ac:dyDescent="0.2">
      <c r="A1685" s="42"/>
    </row>
    <row r="1686" spans="1:1" x14ac:dyDescent="0.2">
      <c r="A1686" s="42"/>
    </row>
    <row r="1687" spans="1:1" x14ac:dyDescent="0.2">
      <c r="A1687" s="42"/>
    </row>
    <row r="1688" spans="1:1" x14ac:dyDescent="0.2">
      <c r="A1688" s="42"/>
    </row>
    <row r="1689" spans="1:1" x14ac:dyDescent="0.2">
      <c r="A1689" s="42"/>
    </row>
    <row r="1690" spans="1:1" x14ac:dyDescent="0.2">
      <c r="A1690" s="42"/>
    </row>
    <row r="1691" spans="1:1" x14ac:dyDescent="0.2">
      <c r="A1691" s="42"/>
    </row>
    <row r="1692" spans="1:1" x14ac:dyDescent="0.2">
      <c r="A1692" s="42"/>
    </row>
    <row r="1693" spans="1:1" x14ac:dyDescent="0.2">
      <c r="A1693" s="42"/>
    </row>
    <row r="1694" spans="1:1" x14ac:dyDescent="0.2">
      <c r="A1694" s="42"/>
    </row>
    <row r="1695" spans="1:1" x14ac:dyDescent="0.2">
      <c r="A1695" s="42"/>
    </row>
    <row r="1696" spans="1:1" x14ac:dyDescent="0.2">
      <c r="A1696" s="42"/>
    </row>
    <row r="1697" spans="1:1" x14ac:dyDescent="0.2">
      <c r="A1697" s="42"/>
    </row>
    <row r="1698" spans="1:1" x14ac:dyDescent="0.2">
      <c r="A1698" s="42"/>
    </row>
    <row r="1699" spans="1:1" x14ac:dyDescent="0.2">
      <c r="A1699" s="42"/>
    </row>
    <row r="1700" spans="1:1" x14ac:dyDescent="0.2">
      <c r="A1700" s="42"/>
    </row>
    <row r="1701" spans="1:1" x14ac:dyDescent="0.2">
      <c r="A1701" s="42"/>
    </row>
    <row r="1702" spans="1:1" x14ac:dyDescent="0.2">
      <c r="A1702" s="42"/>
    </row>
    <row r="1703" spans="1:1" x14ac:dyDescent="0.2">
      <c r="A1703" s="42"/>
    </row>
    <row r="1704" spans="1:1" x14ac:dyDescent="0.2">
      <c r="A1704" s="42"/>
    </row>
    <row r="1705" spans="1:1" x14ac:dyDescent="0.2">
      <c r="A1705" s="42"/>
    </row>
    <row r="1706" spans="1:1" x14ac:dyDescent="0.2">
      <c r="A1706" s="42"/>
    </row>
    <row r="1707" spans="1:1" x14ac:dyDescent="0.2">
      <c r="A1707" s="42"/>
    </row>
    <row r="1708" spans="1:1" x14ac:dyDescent="0.2">
      <c r="A1708" s="42"/>
    </row>
    <row r="1709" spans="1:1" x14ac:dyDescent="0.2">
      <c r="A1709" s="42"/>
    </row>
    <row r="1710" spans="1:1" x14ac:dyDescent="0.2">
      <c r="A1710" s="42"/>
    </row>
    <row r="1711" spans="1:1" x14ac:dyDescent="0.2">
      <c r="A1711" s="42"/>
    </row>
    <row r="1712" spans="1:1" x14ac:dyDescent="0.2">
      <c r="A1712" s="42"/>
    </row>
    <row r="1713" spans="1:1" x14ac:dyDescent="0.2">
      <c r="A1713" s="42"/>
    </row>
    <row r="1714" spans="1:1" x14ac:dyDescent="0.2">
      <c r="A1714" s="42"/>
    </row>
    <row r="1715" spans="1:1" x14ac:dyDescent="0.2">
      <c r="A1715" s="42"/>
    </row>
    <row r="1716" spans="1:1" x14ac:dyDescent="0.2">
      <c r="A1716" s="42"/>
    </row>
    <row r="1717" spans="1:1" x14ac:dyDescent="0.2">
      <c r="A1717" s="42"/>
    </row>
    <row r="1718" spans="1:1" x14ac:dyDescent="0.2">
      <c r="A1718" s="42"/>
    </row>
    <row r="1719" spans="1:1" x14ac:dyDescent="0.2">
      <c r="A1719" s="42"/>
    </row>
    <row r="1720" spans="1:1" x14ac:dyDescent="0.2">
      <c r="A1720" s="42"/>
    </row>
    <row r="1721" spans="1:1" x14ac:dyDescent="0.2">
      <c r="A1721" s="42"/>
    </row>
    <row r="1722" spans="1:1" x14ac:dyDescent="0.2">
      <c r="A1722" s="42"/>
    </row>
    <row r="1723" spans="1:1" x14ac:dyDescent="0.2">
      <c r="A1723" s="42"/>
    </row>
    <row r="1724" spans="1:1" x14ac:dyDescent="0.2">
      <c r="A1724" s="42"/>
    </row>
    <row r="1725" spans="1:1" x14ac:dyDescent="0.2">
      <c r="A1725" s="42"/>
    </row>
    <row r="1726" spans="1:1" x14ac:dyDescent="0.2">
      <c r="A1726" s="42"/>
    </row>
    <row r="1727" spans="1:1" x14ac:dyDescent="0.2">
      <c r="A1727" s="42"/>
    </row>
    <row r="1728" spans="1:1" x14ac:dyDescent="0.2">
      <c r="A1728" s="42"/>
    </row>
    <row r="1729" spans="1:1" x14ac:dyDescent="0.2">
      <c r="A1729" s="42"/>
    </row>
    <row r="1730" spans="1:1" x14ac:dyDescent="0.2">
      <c r="A1730" s="42"/>
    </row>
    <row r="1731" spans="1:1" x14ac:dyDescent="0.2">
      <c r="A1731" s="42"/>
    </row>
    <row r="1732" spans="1:1" x14ac:dyDescent="0.2">
      <c r="A1732" s="42"/>
    </row>
    <row r="1733" spans="1:1" x14ac:dyDescent="0.2">
      <c r="A1733" s="42"/>
    </row>
    <row r="1734" spans="1:1" x14ac:dyDescent="0.2">
      <c r="A1734" s="42"/>
    </row>
    <row r="1735" spans="1:1" x14ac:dyDescent="0.2">
      <c r="A1735" s="42"/>
    </row>
    <row r="1736" spans="1:1" x14ac:dyDescent="0.2">
      <c r="A1736" s="42"/>
    </row>
    <row r="1737" spans="1:1" x14ac:dyDescent="0.2">
      <c r="A1737" s="42"/>
    </row>
    <row r="1738" spans="1:1" x14ac:dyDescent="0.2">
      <c r="A1738" s="42"/>
    </row>
    <row r="1739" spans="1:1" x14ac:dyDescent="0.2">
      <c r="A1739" s="42"/>
    </row>
    <row r="1740" spans="1:1" x14ac:dyDescent="0.2">
      <c r="A1740" s="42"/>
    </row>
    <row r="1741" spans="1:1" x14ac:dyDescent="0.2">
      <c r="A1741" s="42"/>
    </row>
    <row r="1742" spans="1:1" x14ac:dyDescent="0.2">
      <c r="A1742" s="42"/>
    </row>
    <row r="1743" spans="1:1" x14ac:dyDescent="0.2">
      <c r="A1743" s="42"/>
    </row>
    <row r="1744" spans="1:1" x14ac:dyDescent="0.2">
      <c r="A1744" s="42"/>
    </row>
    <row r="1745" spans="1:1" x14ac:dyDescent="0.2">
      <c r="A1745" s="42"/>
    </row>
    <row r="1746" spans="1:1" x14ac:dyDescent="0.2">
      <c r="A1746" s="42"/>
    </row>
    <row r="1747" spans="1:1" x14ac:dyDescent="0.2">
      <c r="A1747" s="42"/>
    </row>
    <row r="1748" spans="1:1" x14ac:dyDescent="0.2">
      <c r="A1748" s="42"/>
    </row>
    <row r="1749" spans="1:1" x14ac:dyDescent="0.2">
      <c r="A1749" s="42"/>
    </row>
    <row r="1750" spans="1:1" x14ac:dyDescent="0.2">
      <c r="A1750" s="42"/>
    </row>
    <row r="1751" spans="1:1" x14ac:dyDescent="0.2">
      <c r="A1751" s="42"/>
    </row>
    <row r="1752" spans="1:1" x14ac:dyDescent="0.2">
      <c r="A1752" s="42"/>
    </row>
    <row r="1753" spans="1:1" x14ac:dyDescent="0.2">
      <c r="A1753" s="42"/>
    </row>
    <row r="1754" spans="1:1" x14ac:dyDescent="0.2">
      <c r="A1754" s="42"/>
    </row>
    <row r="1755" spans="1:1" x14ac:dyDescent="0.2">
      <c r="A1755" s="42"/>
    </row>
    <row r="1756" spans="1:1" x14ac:dyDescent="0.2">
      <c r="A1756" s="42"/>
    </row>
    <row r="1757" spans="1:1" x14ac:dyDescent="0.2">
      <c r="A1757" s="42"/>
    </row>
    <row r="1758" spans="1:1" x14ac:dyDescent="0.2">
      <c r="A1758" s="42"/>
    </row>
    <row r="1759" spans="1:1" x14ac:dyDescent="0.2">
      <c r="A1759" s="42"/>
    </row>
    <row r="1760" spans="1:1" x14ac:dyDescent="0.2">
      <c r="A1760" s="42"/>
    </row>
    <row r="1761" spans="1:1" x14ac:dyDescent="0.2">
      <c r="A1761" s="42"/>
    </row>
    <row r="1762" spans="1:1" x14ac:dyDescent="0.2">
      <c r="A1762" s="42"/>
    </row>
    <row r="1763" spans="1:1" x14ac:dyDescent="0.2">
      <c r="A1763" s="42"/>
    </row>
    <row r="1764" spans="1:1" x14ac:dyDescent="0.2">
      <c r="A1764" s="42"/>
    </row>
    <row r="1765" spans="1:1" x14ac:dyDescent="0.2">
      <c r="A1765" s="42"/>
    </row>
    <row r="1766" spans="1:1" x14ac:dyDescent="0.2">
      <c r="A1766" s="42"/>
    </row>
    <row r="1767" spans="1:1" x14ac:dyDescent="0.2">
      <c r="A1767" s="42"/>
    </row>
    <row r="1768" spans="1:1" x14ac:dyDescent="0.2">
      <c r="A1768" s="42"/>
    </row>
    <row r="1769" spans="1:1" x14ac:dyDescent="0.2">
      <c r="A1769" s="42"/>
    </row>
    <row r="1770" spans="1:1" x14ac:dyDescent="0.2">
      <c r="A1770" s="42"/>
    </row>
    <row r="1771" spans="1:1" x14ac:dyDescent="0.2">
      <c r="A1771" s="42"/>
    </row>
    <row r="1772" spans="1:1" x14ac:dyDescent="0.2">
      <c r="A1772" s="42"/>
    </row>
    <row r="1773" spans="1:1" x14ac:dyDescent="0.2">
      <c r="A1773" s="42"/>
    </row>
    <row r="1774" spans="1:1" x14ac:dyDescent="0.2">
      <c r="A1774" s="42"/>
    </row>
    <row r="1775" spans="1:1" x14ac:dyDescent="0.2">
      <c r="A1775" s="42"/>
    </row>
    <row r="1776" spans="1:1" x14ac:dyDescent="0.2">
      <c r="A1776" s="42"/>
    </row>
    <row r="1777" spans="1:1" x14ac:dyDescent="0.2">
      <c r="A1777" s="42"/>
    </row>
    <row r="1778" spans="1:1" x14ac:dyDescent="0.2">
      <c r="A1778" s="42"/>
    </row>
    <row r="1779" spans="1:1" x14ac:dyDescent="0.2">
      <c r="A1779" s="42"/>
    </row>
    <row r="1780" spans="1:1" x14ac:dyDescent="0.2">
      <c r="A1780" s="42"/>
    </row>
    <row r="1781" spans="1:1" x14ac:dyDescent="0.2">
      <c r="A1781" s="42"/>
    </row>
    <row r="1782" spans="1:1" x14ac:dyDescent="0.2">
      <c r="A1782" s="42"/>
    </row>
    <row r="1783" spans="1:1" x14ac:dyDescent="0.2">
      <c r="A1783" s="42"/>
    </row>
    <row r="1784" spans="1:1" x14ac:dyDescent="0.2">
      <c r="A1784" s="42"/>
    </row>
    <row r="1785" spans="1:1" x14ac:dyDescent="0.2">
      <c r="A1785" s="42"/>
    </row>
    <row r="1786" spans="1:1" x14ac:dyDescent="0.2">
      <c r="A1786" s="42"/>
    </row>
    <row r="1787" spans="1:1" x14ac:dyDescent="0.2">
      <c r="A1787" s="42"/>
    </row>
    <row r="1788" spans="1:1" x14ac:dyDescent="0.2">
      <c r="A1788" s="42"/>
    </row>
    <row r="1789" spans="1:1" x14ac:dyDescent="0.2">
      <c r="A1789" s="42"/>
    </row>
    <row r="1790" spans="1:1" x14ac:dyDescent="0.2">
      <c r="A1790" s="42"/>
    </row>
    <row r="1791" spans="1:1" x14ac:dyDescent="0.2">
      <c r="A1791" s="42"/>
    </row>
    <row r="1792" spans="1:1" x14ac:dyDescent="0.2">
      <c r="A1792" s="42"/>
    </row>
    <row r="1793" spans="1:1" x14ac:dyDescent="0.2">
      <c r="A1793" s="42"/>
    </row>
    <row r="1794" spans="1:1" x14ac:dyDescent="0.2">
      <c r="A1794" s="42"/>
    </row>
    <row r="1795" spans="1:1" x14ac:dyDescent="0.2">
      <c r="A1795" s="42"/>
    </row>
    <row r="1796" spans="1:1" x14ac:dyDescent="0.2">
      <c r="A1796" s="42"/>
    </row>
    <row r="1797" spans="1:1" x14ac:dyDescent="0.2">
      <c r="A1797" s="42"/>
    </row>
    <row r="1798" spans="1:1" x14ac:dyDescent="0.2">
      <c r="A1798" s="42"/>
    </row>
    <row r="1799" spans="1:1" x14ac:dyDescent="0.2">
      <c r="A1799" s="42"/>
    </row>
    <row r="1800" spans="1:1" x14ac:dyDescent="0.2">
      <c r="A1800" s="42"/>
    </row>
    <row r="1801" spans="1:1" x14ac:dyDescent="0.2">
      <c r="A1801" s="42"/>
    </row>
    <row r="1802" spans="1:1" x14ac:dyDescent="0.2">
      <c r="A1802" s="42"/>
    </row>
    <row r="1803" spans="1:1" x14ac:dyDescent="0.2">
      <c r="A1803" s="42"/>
    </row>
    <row r="1804" spans="1:1" x14ac:dyDescent="0.2">
      <c r="A1804" s="42"/>
    </row>
    <row r="1805" spans="1:1" x14ac:dyDescent="0.2">
      <c r="A1805" s="42"/>
    </row>
    <row r="1806" spans="1:1" x14ac:dyDescent="0.2">
      <c r="A1806" s="42"/>
    </row>
    <row r="1807" spans="1:1" x14ac:dyDescent="0.2">
      <c r="A1807" s="42"/>
    </row>
    <row r="1808" spans="1:1" x14ac:dyDescent="0.2">
      <c r="A1808" s="42"/>
    </row>
    <row r="1809" spans="1:1" x14ac:dyDescent="0.2">
      <c r="A1809" s="42"/>
    </row>
    <row r="1810" spans="1:1" x14ac:dyDescent="0.2">
      <c r="A1810" s="42"/>
    </row>
    <row r="1811" spans="1:1" x14ac:dyDescent="0.2">
      <c r="A1811" s="42"/>
    </row>
    <row r="1812" spans="1:1" x14ac:dyDescent="0.2">
      <c r="A1812" s="42"/>
    </row>
    <row r="1813" spans="1:1" x14ac:dyDescent="0.2">
      <c r="A1813" s="42"/>
    </row>
    <row r="1814" spans="1:1" x14ac:dyDescent="0.2">
      <c r="A1814" s="42"/>
    </row>
    <row r="1815" spans="1:1" x14ac:dyDescent="0.2">
      <c r="A1815" s="42"/>
    </row>
    <row r="1816" spans="1:1" x14ac:dyDescent="0.2">
      <c r="A1816" s="42"/>
    </row>
    <row r="1817" spans="1:1" x14ac:dyDescent="0.2">
      <c r="A1817" s="42"/>
    </row>
    <row r="1818" spans="1:1" x14ac:dyDescent="0.2">
      <c r="A1818" s="42"/>
    </row>
    <row r="1819" spans="1:1" x14ac:dyDescent="0.2">
      <c r="A1819" s="42"/>
    </row>
    <row r="1820" spans="1:1" x14ac:dyDescent="0.2">
      <c r="A1820" s="42"/>
    </row>
    <row r="1821" spans="1:1" x14ac:dyDescent="0.2">
      <c r="A1821" s="42"/>
    </row>
    <row r="1822" spans="1:1" x14ac:dyDescent="0.2">
      <c r="A1822" s="42"/>
    </row>
    <row r="1823" spans="1:1" x14ac:dyDescent="0.2">
      <c r="A1823" s="42"/>
    </row>
    <row r="1824" spans="1:1" x14ac:dyDescent="0.2">
      <c r="A1824" s="42"/>
    </row>
    <row r="1825" spans="1:1" x14ac:dyDescent="0.2">
      <c r="A1825" s="42"/>
    </row>
    <row r="1826" spans="1:1" x14ac:dyDescent="0.2">
      <c r="A1826" s="42"/>
    </row>
    <row r="1827" spans="1:1" x14ac:dyDescent="0.2">
      <c r="A1827" s="42"/>
    </row>
    <row r="1828" spans="1:1" x14ac:dyDescent="0.2">
      <c r="A1828" s="42"/>
    </row>
    <row r="1829" spans="1:1" x14ac:dyDescent="0.2">
      <c r="A1829" s="42"/>
    </row>
    <row r="1830" spans="1:1" x14ac:dyDescent="0.2">
      <c r="A1830" s="42"/>
    </row>
    <row r="1831" spans="1:1" x14ac:dyDescent="0.2">
      <c r="A1831" s="42"/>
    </row>
    <row r="1832" spans="1:1" x14ac:dyDescent="0.2">
      <c r="A1832" s="42"/>
    </row>
    <row r="1833" spans="1:1" x14ac:dyDescent="0.2">
      <c r="A1833" s="42"/>
    </row>
    <row r="1834" spans="1:1" x14ac:dyDescent="0.2">
      <c r="A1834" s="42"/>
    </row>
    <row r="1835" spans="1:1" x14ac:dyDescent="0.2">
      <c r="A1835" s="42"/>
    </row>
    <row r="1836" spans="1:1" x14ac:dyDescent="0.2">
      <c r="A1836" s="42"/>
    </row>
    <row r="1837" spans="1:1" x14ac:dyDescent="0.2">
      <c r="A1837" s="42"/>
    </row>
    <row r="1838" spans="1:1" x14ac:dyDescent="0.2">
      <c r="A1838" s="42"/>
    </row>
    <row r="1839" spans="1:1" x14ac:dyDescent="0.2">
      <c r="A1839" s="42"/>
    </row>
    <row r="1840" spans="1:1" x14ac:dyDescent="0.2">
      <c r="A1840" s="42"/>
    </row>
    <row r="1841" spans="1:1" x14ac:dyDescent="0.2">
      <c r="A1841" s="42"/>
    </row>
    <row r="1842" spans="1:1" x14ac:dyDescent="0.2">
      <c r="A1842" s="42"/>
    </row>
    <row r="1843" spans="1:1" x14ac:dyDescent="0.2">
      <c r="A1843" s="42"/>
    </row>
    <row r="1844" spans="1:1" x14ac:dyDescent="0.2">
      <c r="A1844" s="42"/>
    </row>
    <row r="1845" spans="1:1" x14ac:dyDescent="0.2">
      <c r="A1845" s="42"/>
    </row>
    <row r="1846" spans="1:1" x14ac:dyDescent="0.2">
      <c r="A1846" s="42"/>
    </row>
    <row r="1847" spans="1:1" x14ac:dyDescent="0.2">
      <c r="A1847" s="42"/>
    </row>
    <row r="1848" spans="1:1" x14ac:dyDescent="0.2">
      <c r="A1848" s="42"/>
    </row>
    <row r="1849" spans="1:1" x14ac:dyDescent="0.2">
      <c r="A1849" s="42"/>
    </row>
    <row r="1850" spans="1:1" x14ac:dyDescent="0.2">
      <c r="A1850" s="42"/>
    </row>
    <row r="1851" spans="1:1" x14ac:dyDescent="0.2">
      <c r="A1851" s="42"/>
    </row>
    <row r="1852" spans="1:1" x14ac:dyDescent="0.2">
      <c r="A1852" s="42"/>
    </row>
    <row r="1853" spans="1:1" x14ac:dyDescent="0.2">
      <c r="A1853" s="42"/>
    </row>
    <row r="1854" spans="1:1" x14ac:dyDescent="0.2">
      <c r="A1854" s="42"/>
    </row>
    <row r="1855" spans="1:1" x14ac:dyDescent="0.2">
      <c r="A1855" s="42"/>
    </row>
    <row r="1856" spans="1:1" x14ac:dyDescent="0.2">
      <c r="A1856" s="42"/>
    </row>
    <row r="1857" spans="1:1" x14ac:dyDescent="0.2">
      <c r="A1857" s="42"/>
    </row>
    <row r="1858" spans="1:1" x14ac:dyDescent="0.2">
      <c r="A1858" s="42"/>
    </row>
    <row r="1859" spans="1:1" x14ac:dyDescent="0.2">
      <c r="A1859" s="42"/>
    </row>
    <row r="1860" spans="1:1" x14ac:dyDescent="0.2">
      <c r="A1860" s="42"/>
    </row>
    <row r="1861" spans="1:1" x14ac:dyDescent="0.2">
      <c r="A1861" s="42"/>
    </row>
    <row r="1862" spans="1:1" x14ac:dyDescent="0.2">
      <c r="A1862" s="42"/>
    </row>
    <row r="1863" spans="1:1" x14ac:dyDescent="0.2">
      <c r="A1863" s="42"/>
    </row>
    <row r="1864" spans="1:1" x14ac:dyDescent="0.2">
      <c r="A1864" s="42"/>
    </row>
    <row r="1865" spans="1:1" x14ac:dyDescent="0.2">
      <c r="A1865" s="42"/>
    </row>
    <row r="1866" spans="1:1" x14ac:dyDescent="0.2">
      <c r="A1866" s="42"/>
    </row>
    <row r="1867" spans="1:1" x14ac:dyDescent="0.2">
      <c r="A1867" s="42"/>
    </row>
    <row r="1868" spans="1:1" x14ac:dyDescent="0.2">
      <c r="A1868" s="42"/>
    </row>
    <row r="1869" spans="1:1" x14ac:dyDescent="0.2">
      <c r="A1869" s="42"/>
    </row>
    <row r="1870" spans="1:1" x14ac:dyDescent="0.2">
      <c r="A1870" s="42"/>
    </row>
    <row r="1871" spans="1:1" x14ac:dyDescent="0.2">
      <c r="A1871" s="42"/>
    </row>
    <row r="1872" spans="1:1" x14ac:dyDescent="0.2">
      <c r="A1872" s="42"/>
    </row>
    <row r="1873" spans="1:1" x14ac:dyDescent="0.2">
      <c r="A1873" s="42"/>
    </row>
    <row r="1874" spans="1:1" x14ac:dyDescent="0.2">
      <c r="A1874" s="42"/>
    </row>
    <row r="1875" spans="1:1" x14ac:dyDescent="0.2">
      <c r="A1875" s="42"/>
    </row>
    <row r="1876" spans="1:1" x14ac:dyDescent="0.2">
      <c r="A1876" s="42"/>
    </row>
    <row r="1877" spans="1:1" x14ac:dyDescent="0.2">
      <c r="A1877" s="42"/>
    </row>
    <row r="1878" spans="1:1" x14ac:dyDescent="0.2">
      <c r="A1878" s="42"/>
    </row>
    <row r="1879" spans="1:1" x14ac:dyDescent="0.2">
      <c r="A1879" s="42"/>
    </row>
    <row r="1880" spans="1:1" x14ac:dyDescent="0.2">
      <c r="A1880" s="42"/>
    </row>
    <row r="1881" spans="1:1" x14ac:dyDescent="0.2">
      <c r="A1881" s="42"/>
    </row>
    <row r="1882" spans="1:1" x14ac:dyDescent="0.2">
      <c r="A1882" s="42"/>
    </row>
    <row r="1883" spans="1:1" x14ac:dyDescent="0.2">
      <c r="A1883" s="42"/>
    </row>
    <row r="1884" spans="1:1" x14ac:dyDescent="0.2">
      <c r="A1884" s="42"/>
    </row>
    <row r="1885" spans="1:1" x14ac:dyDescent="0.2">
      <c r="A1885" s="42"/>
    </row>
    <row r="1886" spans="1:1" x14ac:dyDescent="0.2">
      <c r="A1886" s="42"/>
    </row>
    <row r="1887" spans="1:1" x14ac:dyDescent="0.2">
      <c r="A1887" s="42"/>
    </row>
    <row r="1888" spans="1:1" x14ac:dyDescent="0.2">
      <c r="A1888" s="42"/>
    </row>
    <row r="1889" spans="1:1" x14ac:dyDescent="0.2">
      <c r="A1889" s="42"/>
    </row>
    <row r="1890" spans="1:1" x14ac:dyDescent="0.2">
      <c r="A1890" s="42"/>
    </row>
    <row r="1891" spans="1:1" x14ac:dyDescent="0.2">
      <c r="A1891" s="42"/>
    </row>
    <row r="1892" spans="1:1" x14ac:dyDescent="0.2">
      <c r="A1892" s="42"/>
    </row>
    <row r="1893" spans="1:1" x14ac:dyDescent="0.2">
      <c r="A1893" s="42"/>
    </row>
    <row r="1894" spans="1:1" x14ac:dyDescent="0.2">
      <c r="A1894" s="42"/>
    </row>
    <row r="1895" spans="1:1" x14ac:dyDescent="0.2">
      <c r="A1895" s="42"/>
    </row>
    <row r="1896" spans="1:1" x14ac:dyDescent="0.2">
      <c r="A1896" s="42"/>
    </row>
    <row r="1897" spans="1:1" x14ac:dyDescent="0.2">
      <c r="A1897" s="42"/>
    </row>
    <row r="1898" spans="1:1" x14ac:dyDescent="0.2">
      <c r="A1898" s="42"/>
    </row>
    <row r="1899" spans="1:1" x14ac:dyDescent="0.2">
      <c r="A1899" s="42"/>
    </row>
    <row r="1900" spans="1:1" x14ac:dyDescent="0.2">
      <c r="A1900" s="42"/>
    </row>
    <row r="1901" spans="1:1" x14ac:dyDescent="0.2">
      <c r="A1901" s="42"/>
    </row>
    <row r="1902" spans="1:1" x14ac:dyDescent="0.2">
      <c r="A1902" s="42"/>
    </row>
    <row r="1903" spans="1:1" x14ac:dyDescent="0.2">
      <c r="A1903" s="42"/>
    </row>
    <row r="1904" spans="1:1" x14ac:dyDescent="0.2">
      <c r="A1904" s="42"/>
    </row>
    <row r="1905" spans="1:1" x14ac:dyDescent="0.2">
      <c r="A1905" s="42"/>
    </row>
    <row r="1906" spans="1:1" x14ac:dyDescent="0.2">
      <c r="A1906" s="42"/>
    </row>
    <row r="1907" spans="1:1" x14ac:dyDescent="0.2">
      <c r="A1907" s="42"/>
    </row>
    <row r="1908" spans="1:1" x14ac:dyDescent="0.2">
      <c r="A1908" s="42"/>
    </row>
    <row r="1909" spans="1:1" x14ac:dyDescent="0.2">
      <c r="A1909" s="42"/>
    </row>
    <row r="1910" spans="1:1" x14ac:dyDescent="0.2">
      <c r="A1910" s="42"/>
    </row>
    <row r="1911" spans="1:1" x14ac:dyDescent="0.2">
      <c r="A1911" s="42"/>
    </row>
    <row r="1912" spans="1:1" x14ac:dyDescent="0.2">
      <c r="A1912" s="42"/>
    </row>
    <row r="1913" spans="1:1" x14ac:dyDescent="0.2">
      <c r="A1913" s="42"/>
    </row>
    <row r="1914" spans="1:1" x14ac:dyDescent="0.2">
      <c r="A1914" s="42"/>
    </row>
    <row r="1915" spans="1:1" x14ac:dyDescent="0.2">
      <c r="A1915" s="42"/>
    </row>
    <row r="1916" spans="1:1" x14ac:dyDescent="0.2">
      <c r="A1916" s="42"/>
    </row>
    <row r="1917" spans="1:1" x14ac:dyDescent="0.2">
      <c r="A1917" s="42"/>
    </row>
    <row r="1918" spans="1:1" x14ac:dyDescent="0.2">
      <c r="A1918" s="42"/>
    </row>
    <row r="1919" spans="1:1" x14ac:dyDescent="0.2">
      <c r="A1919" s="42"/>
    </row>
    <row r="1920" spans="1:1" x14ac:dyDescent="0.2">
      <c r="A1920" s="42"/>
    </row>
    <row r="1921" spans="1:1" x14ac:dyDescent="0.2">
      <c r="A1921" s="42"/>
    </row>
    <row r="1922" spans="1:1" x14ac:dyDescent="0.2">
      <c r="A1922" s="42"/>
    </row>
    <row r="1923" spans="1:1" x14ac:dyDescent="0.2">
      <c r="A1923" s="42"/>
    </row>
    <row r="1924" spans="1:1" x14ac:dyDescent="0.2">
      <c r="A1924" s="42"/>
    </row>
    <row r="1925" spans="1:1" x14ac:dyDescent="0.2">
      <c r="A1925" s="42"/>
    </row>
    <row r="1926" spans="1:1" x14ac:dyDescent="0.2">
      <c r="A1926" s="42"/>
    </row>
    <row r="1927" spans="1:1" x14ac:dyDescent="0.2">
      <c r="A1927" s="42"/>
    </row>
    <row r="1928" spans="1:1" x14ac:dyDescent="0.2">
      <c r="A1928" s="42"/>
    </row>
    <row r="1929" spans="1:1" x14ac:dyDescent="0.2">
      <c r="A1929" s="42"/>
    </row>
    <row r="1930" spans="1:1" x14ac:dyDescent="0.2">
      <c r="A1930" s="42"/>
    </row>
    <row r="1931" spans="1:1" x14ac:dyDescent="0.2">
      <c r="A1931" s="42"/>
    </row>
    <row r="1932" spans="1:1" x14ac:dyDescent="0.2">
      <c r="A1932" s="42"/>
    </row>
    <row r="1933" spans="1:1" x14ac:dyDescent="0.2">
      <c r="A1933" s="42"/>
    </row>
    <row r="1934" spans="1:1" x14ac:dyDescent="0.2">
      <c r="A1934" s="42"/>
    </row>
    <row r="1935" spans="1:1" x14ac:dyDescent="0.2">
      <c r="A1935" s="42"/>
    </row>
    <row r="1936" spans="1:1" x14ac:dyDescent="0.2">
      <c r="A1936" s="42"/>
    </row>
    <row r="1937" spans="1:1" x14ac:dyDescent="0.2">
      <c r="A1937" s="42"/>
    </row>
    <row r="1938" spans="1:1" x14ac:dyDescent="0.2">
      <c r="A1938" s="42"/>
    </row>
    <row r="1939" spans="1:1" x14ac:dyDescent="0.2">
      <c r="A1939" s="42"/>
    </row>
    <row r="1940" spans="1:1" x14ac:dyDescent="0.2">
      <c r="A1940" s="42"/>
    </row>
    <row r="1941" spans="1:1" x14ac:dyDescent="0.2">
      <c r="A1941" s="42"/>
    </row>
    <row r="1942" spans="1:1" x14ac:dyDescent="0.2">
      <c r="A1942" s="42"/>
    </row>
    <row r="1943" spans="1:1" x14ac:dyDescent="0.2">
      <c r="A1943" s="42"/>
    </row>
    <row r="1944" spans="1:1" x14ac:dyDescent="0.2">
      <c r="A1944" s="42"/>
    </row>
    <row r="1945" spans="1:1" x14ac:dyDescent="0.2">
      <c r="A1945" s="42"/>
    </row>
    <row r="1946" spans="1:1" x14ac:dyDescent="0.2">
      <c r="A1946" s="42"/>
    </row>
    <row r="1947" spans="1:1" x14ac:dyDescent="0.2">
      <c r="A1947" s="42"/>
    </row>
    <row r="1948" spans="1:1" x14ac:dyDescent="0.2">
      <c r="A1948" s="42"/>
    </row>
    <row r="1949" spans="1:1" x14ac:dyDescent="0.2">
      <c r="A1949" s="42"/>
    </row>
    <row r="1950" spans="1:1" x14ac:dyDescent="0.2">
      <c r="A1950" s="42"/>
    </row>
    <row r="1951" spans="1:1" x14ac:dyDescent="0.2">
      <c r="A1951" s="42"/>
    </row>
    <row r="1952" spans="1:1" x14ac:dyDescent="0.2">
      <c r="A1952" s="42"/>
    </row>
    <row r="1953" spans="1:1" x14ac:dyDescent="0.2">
      <c r="A1953" s="42"/>
    </row>
    <row r="1954" spans="1:1" x14ac:dyDescent="0.2">
      <c r="A1954" s="42"/>
    </row>
    <row r="1955" spans="1:1" x14ac:dyDescent="0.2">
      <c r="A1955" s="42"/>
    </row>
    <row r="1956" spans="1:1" x14ac:dyDescent="0.2">
      <c r="A1956" s="42"/>
    </row>
    <row r="1957" spans="1:1" x14ac:dyDescent="0.2">
      <c r="A1957" s="42"/>
    </row>
    <row r="1958" spans="1:1" x14ac:dyDescent="0.2">
      <c r="A1958" s="42"/>
    </row>
    <row r="1959" spans="1:1" x14ac:dyDescent="0.2">
      <c r="A1959" s="42"/>
    </row>
    <row r="1960" spans="1:1" x14ac:dyDescent="0.2">
      <c r="A1960" s="42"/>
    </row>
    <row r="1961" spans="1:1" x14ac:dyDescent="0.2">
      <c r="A1961" s="42"/>
    </row>
    <row r="1962" spans="1:1" x14ac:dyDescent="0.2">
      <c r="A1962" s="42"/>
    </row>
    <row r="1963" spans="1:1" x14ac:dyDescent="0.2">
      <c r="A1963" s="42"/>
    </row>
    <row r="1964" spans="1:1" x14ac:dyDescent="0.2">
      <c r="A1964" s="42"/>
    </row>
    <row r="1965" spans="1:1" x14ac:dyDescent="0.2">
      <c r="A1965" s="42"/>
    </row>
    <row r="1966" spans="1:1" x14ac:dyDescent="0.2">
      <c r="A1966" s="42"/>
    </row>
    <row r="1967" spans="1:1" x14ac:dyDescent="0.2">
      <c r="A1967" s="42"/>
    </row>
    <row r="1968" spans="1:1" x14ac:dyDescent="0.2">
      <c r="A1968" s="42"/>
    </row>
    <row r="1969" spans="1:1" x14ac:dyDescent="0.2">
      <c r="A1969" s="42"/>
    </row>
    <row r="1970" spans="1:1" x14ac:dyDescent="0.2">
      <c r="A1970" s="42"/>
    </row>
    <row r="1971" spans="1:1" x14ac:dyDescent="0.2">
      <c r="A1971" s="42"/>
    </row>
    <row r="1972" spans="1:1" x14ac:dyDescent="0.2">
      <c r="A1972" s="42"/>
    </row>
    <row r="1973" spans="1:1" x14ac:dyDescent="0.2">
      <c r="A1973" s="42"/>
    </row>
    <row r="1974" spans="1:1" x14ac:dyDescent="0.2">
      <c r="A1974" s="42"/>
    </row>
    <row r="1975" spans="1:1" x14ac:dyDescent="0.2">
      <c r="A1975" s="42"/>
    </row>
    <row r="1976" spans="1:1" x14ac:dyDescent="0.2">
      <c r="A1976" s="42"/>
    </row>
    <row r="1977" spans="1:1" x14ac:dyDescent="0.2">
      <c r="A1977" s="42"/>
    </row>
    <row r="1978" spans="1:1" x14ac:dyDescent="0.2">
      <c r="A1978" s="42"/>
    </row>
    <row r="1979" spans="1:1" x14ac:dyDescent="0.2">
      <c r="A1979" s="42"/>
    </row>
    <row r="1980" spans="1:1" x14ac:dyDescent="0.2">
      <c r="A1980" s="42"/>
    </row>
    <row r="1981" spans="1:1" x14ac:dyDescent="0.2">
      <c r="A1981" s="42"/>
    </row>
    <row r="1982" spans="1:1" x14ac:dyDescent="0.2">
      <c r="A1982" s="42"/>
    </row>
    <row r="1983" spans="1:1" x14ac:dyDescent="0.2">
      <c r="A1983" s="42"/>
    </row>
    <row r="1984" spans="1:1" x14ac:dyDescent="0.2">
      <c r="A1984" s="42"/>
    </row>
    <row r="1985" spans="1:1" x14ac:dyDescent="0.2">
      <c r="A1985" s="42"/>
    </row>
    <row r="1986" spans="1:1" x14ac:dyDescent="0.2">
      <c r="A1986" s="42"/>
    </row>
    <row r="1987" spans="1:1" x14ac:dyDescent="0.2">
      <c r="A1987" s="42"/>
    </row>
    <row r="1988" spans="1:1" x14ac:dyDescent="0.2">
      <c r="A1988" s="42"/>
    </row>
    <row r="1989" spans="1:1" x14ac:dyDescent="0.2">
      <c r="A1989" s="42"/>
    </row>
    <row r="1990" spans="1:1" x14ac:dyDescent="0.2">
      <c r="A1990" s="42"/>
    </row>
    <row r="1991" spans="1:1" x14ac:dyDescent="0.2">
      <c r="A1991" s="42"/>
    </row>
    <row r="1992" spans="1:1" x14ac:dyDescent="0.2">
      <c r="A1992" s="42"/>
    </row>
    <row r="1993" spans="1:1" x14ac:dyDescent="0.2">
      <c r="A1993" s="42"/>
    </row>
    <row r="1994" spans="1:1" x14ac:dyDescent="0.2">
      <c r="A1994" s="42"/>
    </row>
    <row r="1995" spans="1:1" x14ac:dyDescent="0.2">
      <c r="A1995" s="42"/>
    </row>
    <row r="1996" spans="1:1" x14ac:dyDescent="0.2">
      <c r="A1996" s="42"/>
    </row>
    <row r="1997" spans="1:1" x14ac:dyDescent="0.2">
      <c r="A1997" s="42"/>
    </row>
    <row r="1998" spans="1:1" x14ac:dyDescent="0.2">
      <c r="A1998" s="42"/>
    </row>
    <row r="1999" spans="1:1" x14ac:dyDescent="0.2">
      <c r="A1999" s="42"/>
    </row>
    <row r="2000" spans="1:1" x14ac:dyDescent="0.2">
      <c r="A2000" s="42"/>
    </row>
    <row r="2001" spans="1:1" x14ac:dyDescent="0.2">
      <c r="A2001" s="42"/>
    </row>
    <row r="2002" spans="1:1" x14ac:dyDescent="0.2">
      <c r="A2002" s="42"/>
    </row>
    <row r="2003" spans="1:1" x14ac:dyDescent="0.2">
      <c r="A2003" s="42"/>
    </row>
    <row r="2004" spans="1:1" x14ac:dyDescent="0.2">
      <c r="A2004" s="42"/>
    </row>
    <row r="2005" spans="1:1" x14ac:dyDescent="0.2">
      <c r="A2005" s="42"/>
    </row>
    <row r="2006" spans="1:1" x14ac:dyDescent="0.2">
      <c r="A2006" s="42"/>
    </row>
    <row r="2007" spans="1:1" x14ac:dyDescent="0.2">
      <c r="A2007" s="42"/>
    </row>
    <row r="2008" spans="1:1" x14ac:dyDescent="0.2">
      <c r="A2008" s="42"/>
    </row>
    <row r="2009" spans="1:1" x14ac:dyDescent="0.2">
      <c r="A2009" s="42"/>
    </row>
    <row r="2010" spans="1:1" x14ac:dyDescent="0.2">
      <c r="A2010" s="42"/>
    </row>
    <row r="2011" spans="1:1" x14ac:dyDescent="0.2">
      <c r="A2011" s="42"/>
    </row>
    <row r="2012" spans="1:1" x14ac:dyDescent="0.2">
      <c r="A2012" s="42"/>
    </row>
    <row r="2013" spans="1:1" x14ac:dyDescent="0.2">
      <c r="A2013" s="42"/>
    </row>
    <row r="2014" spans="1:1" x14ac:dyDescent="0.2">
      <c r="A2014" s="42"/>
    </row>
    <row r="2015" spans="1:1" x14ac:dyDescent="0.2">
      <c r="A2015" s="42"/>
    </row>
    <row r="2016" spans="1:1" x14ac:dyDescent="0.2">
      <c r="A2016" s="42"/>
    </row>
    <row r="2017" spans="1:1" x14ac:dyDescent="0.2">
      <c r="A2017" s="42"/>
    </row>
    <row r="2018" spans="1:1" x14ac:dyDescent="0.2">
      <c r="A2018" s="42"/>
    </row>
    <row r="2019" spans="1:1" x14ac:dyDescent="0.2">
      <c r="A2019" s="42"/>
    </row>
    <row r="2020" spans="1:1" x14ac:dyDescent="0.2">
      <c r="A2020" s="42"/>
    </row>
    <row r="2021" spans="1:1" x14ac:dyDescent="0.2">
      <c r="A2021" s="42"/>
    </row>
    <row r="2022" spans="1:1" x14ac:dyDescent="0.2">
      <c r="A2022" s="42"/>
    </row>
    <row r="2023" spans="1:1" x14ac:dyDescent="0.2">
      <c r="A2023" s="42"/>
    </row>
    <row r="2024" spans="1:1" x14ac:dyDescent="0.2">
      <c r="A2024" s="42"/>
    </row>
    <row r="2025" spans="1:1" x14ac:dyDescent="0.2">
      <c r="A2025" s="42"/>
    </row>
    <row r="2026" spans="1:1" x14ac:dyDescent="0.2">
      <c r="A2026" s="42"/>
    </row>
    <row r="2027" spans="1:1" x14ac:dyDescent="0.2">
      <c r="A2027" s="42"/>
    </row>
    <row r="2028" spans="1:1" x14ac:dyDescent="0.2">
      <c r="A2028" s="42"/>
    </row>
    <row r="2029" spans="1:1" x14ac:dyDescent="0.2">
      <c r="A2029" s="42"/>
    </row>
    <row r="2030" spans="1:1" x14ac:dyDescent="0.2">
      <c r="A2030" s="42"/>
    </row>
    <row r="2031" spans="1:1" x14ac:dyDescent="0.2">
      <c r="A2031" s="42"/>
    </row>
    <row r="2032" spans="1:1" x14ac:dyDescent="0.2">
      <c r="A2032" s="42"/>
    </row>
    <row r="2033" spans="1:1" x14ac:dyDescent="0.2">
      <c r="A2033" s="42"/>
    </row>
    <row r="2034" spans="1:1" x14ac:dyDescent="0.2">
      <c r="A2034" s="42"/>
    </row>
    <row r="2035" spans="1:1" x14ac:dyDescent="0.2">
      <c r="A2035" s="42"/>
    </row>
    <row r="2036" spans="1:1" x14ac:dyDescent="0.2">
      <c r="A2036" s="42"/>
    </row>
    <row r="2037" spans="1:1" x14ac:dyDescent="0.2">
      <c r="A2037" s="42"/>
    </row>
    <row r="2038" spans="1:1" x14ac:dyDescent="0.2">
      <c r="A2038" s="42"/>
    </row>
    <row r="2039" spans="1:1" x14ac:dyDescent="0.2">
      <c r="A2039" s="42"/>
    </row>
    <row r="2040" spans="1:1" x14ac:dyDescent="0.2">
      <c r="A2040" s="42"/>
    </row>
    <row r="2041" spans="1:1" x14ac:dyDescent="0.2">
      <c r="A2041" s="42"/>
    </row>
    <row r="2042" spans="1:1" x14ac:dyDescent="0.2">
      <c r="A2042" s="42"/>
    </row>
    <row r="2043" spans="1:1" x14ac:dyDescent="0.2">
      <c r="A2043" s="42"/>
    </row>
    <row r="2044" spans="1:1" x14ac:dyDescent="0.2">
      <c r="A2044" s="42"/>
    </row>
    <row r="2045" spans="1:1" x14ac:dyDescent="0.2">
      <c r="A2045" s="42"/>
    </row>
    <row r="2046" spans="1:1" x14ac:dyDescent="0.2">
      <c r="A2046" s="42"/>
    </row>
    <row r="2047" spans="1:1" x14ac:dyDescent="0.2">
      <c r="A2047" s="42"/>
    </row>
    <row r="2048" spans="1:1" x14ac:dyDescent="0.2">
      <c r="A2048" s="42"/>
    </row>
    <row r="2049" spans="1:1" x14ac:dyDescent="0.2">
      <c r="A2049" s="42"/>
    </row>
    <row r="2050" spans="1:1" x14ac:dyDescent="0.2">
      <c r="A2050" s="42"/>
    </row>
    <row r="2051" spans="1:1" x14ac:dyDescent="0.2">
      <c r="A2051" s="42"/>
    </row>
    <row r="2052" spans="1:1" x14ac:dyDescent="0.2">
      <c r="A2052" s="42"/>
    </row>
    <row r="2053" spans="1:1" x14ac:dyDescent="0.2">
      <c r="A2053" s="42"/>
    </row>
    <row r="2054" spans="1:1" x14ac:dyDescent="0.2">
      <c r="A2054" s="42"/>
    </row>
    <row r="2055" spans="1:1" x14ac:dyDescent="0.2">
      <c r="A2055" s="42"/>
    </row>
    <row r="2056" spans="1:1" x14ac:dyDescent="0.2">
      <c r="A2056" s="42"/>
    </row>
    <row r="2057" spans="1:1" x14ac:dyDescent="0.2">
      <c r="A2057" s="42"/>
    </row>
    <row r="2058" spans="1:1" x14ac:dyDescent="0.2">
      <c r="A2058" s="42"/>
    </row>
    <row r="2059" spans="1:1" x14ac:dyDescent="0.2">
      <c r="A2059" s="42"/>
    </row>
    <row r="2060" spans="1:1" x14ac:dyDescent="0.2">
      <c r="A2060" s="42"/>
    </row>
    <row r="2061" spans="1:1" x14ac:dyDescent="0.2">
      <c r="A2061" s="42"/>
    </row>
    <row r="2062" spans="1:1" x14ac:dyDescent="0.2">
      <c r="A2062" s="42"/>
    </row>
    <row r="2063" spans="1:1" x14ac:dyDescent="0.2">
      <c r="A2063" s="42"/>
    </row>
    <row r="2064" spans="1:1" x14ac:dyDescent="0.2">
      <c r="A2064" s="42"/>
    </row>
    <row r="2065" spans="1:1" x14ac:dyDescent="0.2">
      <c r="A2065" s="42"/>
    </row>
    <row r="2066" spans="1:1" x14ac:dyDescent="0.2">
      <c r="A2066" s="42"/>
    </row>
    <row r="2067" spans="1:1" x14ac:dyDescent="0.2">
      <c r="A2067" s="42"/>
    </row>
    <row r="2068" spans="1:1" x14ac:dyDescent="0.2">
      <c r="A2068" s="42"/>
    </row>
    <row r="2069" spans="1:1" x14ac:dyDescent="0.2">
      <c r="A2069" s="42"/>
    </row>
    <row r="2070" spans="1:1" x14ac:dyDescent="0.2">
      <c r="A2070" s="42"/>
    </row>
    <row r="2071" spans="1:1" x14ac:dyDescent="0.2">
      <c r="A2071" s="42"/>
    </row>
    <row r="2072" spans="1:1" x14ac:dyDescent="0.2">
      <c r="A2072" s="42"/>
    </row>
    <row r="2073" spans="1:1" x14ac:dyDescent="0.2">
      <c r="A2073" s="42"/>
    </row>
    <row r="2074" spans="1:1" x14ac:dyDescent="0.2">
      <c r="A2074" s="42"/>
    </row>
    <row r="2075" spans="1:1" x14ac:dyDescent="0.2">
      <c r="A2075" s="42"/>
    </row>
    <row r="2076" spans="1:1" x14ac:dyDescent="0.2">
      <c r="A2076" s="42"/>
    </row>
    <row r="2077" spans="1:1" x14ac:dyDescent="0.2">
      <c r="A2077" s="42"/>
    </row>
    <row r="2078" spans="1:1" x14ac:dyDescent="0.2">
      <c r="A2078" s="42"/>
    </row>
    <row r="2079" spans="1:1" x14ac:dyDescent="0.2">
      <c r="A2079" s="42"/>
    </row>
    <row r="2080" spans="1:1" x14ac:dyDescent="0.2">
      <c r="A2080" s="42"/>
    </row>
    <row r="2081" spans="1:1" x14ac:dyDescent="0.2">
      <c r="A2081" s="42"/>
    </row>
    <row r="2082" spans="1:1" x14ac:dyDescent="0.2">
      <c r="A2082" s="42"/>
    </row>
    <row r="2083" spans="1:1" x14ac:dyDescent="0.2">
      <c r="A2083" s="42"/>
    </row>
    <row r="2084" spans="1:1" x14ac:dyDescent="0.2">
      <c r="A2084" s="42"/>
    </row>
    <row r="2085" spans="1:1" x14ac:dyDescent="0.2">
      <c r="A2085" s="42"/>
    </row>
    <row r="2086" spans="1:1" x14ac:dyDescent="0.2">
      <c r="A2086" s="42"/>
    </row>
    <row r="2087" spans="1:1" x14ac:dyDescent="0.2">
      <c r="A2087" s="42"/>
    </row>
    <row r="2088" spans="1:1" x14ac:dyDescent="0.2">
      <c r="A2088" s="42"/>
    </row>
    <row r="2089" spans="1:1" x14ac:dyDescent="0.2">
      <c r="A2089" s="42"/>
    </row>
    <row r="2090" spans="1:1" x14ac:dyDescent="0.2">
      <c r="A2090" s="42"/>
    </row>
    <row r="2091" spans="1:1" x14ac:dyDescent="0.2">
      <c r="A2091" s="42"/>
    </row>
    <row r="2092" spans="1:1" x14ac:dyDescent="0.2">
      <c r="A2092" s="42"/>
    </row>
    <row r="2093" spans="1:1" x14ac:dyDescent="0.2">
      <c r="A2093" s="42"/>
    </row>
    <row r="2094" spans="1:1" x14ac:dyDescent="0.2">
      <c r="A2094" s="42"/>
    </row>
    <row r="2095" spans="1:1" x14ac:dyDescent="0.2">
      <c r="A2095" s="42"/>
    </row>
    <row r="2096" spans="1:1" x14ac:dyDescent="0.2">
      <c r="A2096" s="42"/>
    </row>
    <row r="2097" spans="1:1" x14ac:dyDescent="0.2">
      <c r="A2097" s="42"/>
    </row>
    <row r="2098" spans="1:1" x14ac:dyDescent="0.2">
      <c r="A2098" s="42"/>
    </row>
    <row r="2099" spans="1:1" x14ac:dyDescent="0.2">
      <c r="A2099" s="42"/>
    </row>
    <row r="2100" spans="1:1" x14ac:dyDescent="0.2">
      <c r="A2100" s="42"/>
    </row>
    <row r="2101" spans="1:1" x14ac:dyDescent="0.2">
      <c r="A2101" s="42"/>
    </row>
    <row r="2102" spans="1:1" x14ac:dyDescent="0.2">
      <c r="A2102" s="42"/>
    </row>
    <row r="2103" spans="1:1" x14ac:dyDescent="0.2">
      <c r="A2103" s="42"/>
    </row>
    <row r="2104" spans="1:1" x14ac:dyDescent="0.2">
      <c r="A2104" s="42"/>
    </row>
    <row r="2105" spans="1:1" x14ac:dyDescent="0.2">
      <c r="A2105" s="42"/>
    </row>
    <row r="2106" spans="1:1" x14ac:dyDescent="0.2">
      <c r="A2106" s="42"/>
    </row>
    <row r="2107" spans="1:1" x14ac:dyDescent="0.2">
      <c r="A2107" s="42"/>
    </row>
    <row r="2108" spans="1:1" x14ac:dyDescent="0.2">
      <c r="A2108" s="42"/>
    </row>
    <row r="2109" spans="1:1" x14ac:dyDescent="0.2">
      <c r="A2109" s="42"/>
    </row>
    <row r="2110" spans="1:1" x14ac:dyDescent="0.2">
      <c r="A2110" s="42"/>
    </row>
    <row r="2111" spans="1:1" x14ac:dyDescent="0.2">
      <c r="A2111" s="42"/>
    </row>
    <row r="2112" spans="1:1" x14ac:dyDescent="0.2">
      <c r="A2112" s="42"/>
    </row>
    <row r="2113" spans="1:1" x14ac:dyDescent="0.2">
      <c r="A2113" s="42"/>
    </row>
    <row r="2114" spans="1:1" x14ac:dyDescent="0.2">
      <c r="A2114" s="42"/>
    </row>
    <row r="2115" spans="1:1" x14ac:dyDescent="0.2">
      <c r="A2115" s="42"/>
    </row>
    <row r="2116" spans="1:1" x14ac:dyDescent="0.2">
      <c r="A2116" s="42"/>
    </row>
    <row r="2117" spans="1:1" x14ac:dyDescent="0.2">
      <c r="A2117" s="42"/>
    </row>
    <row r="2118" spans="1:1" x14ac:dyDescent="0.2">
      <c r="A2118" s="42"/>
    </row>
    <row r="2119" spans="1:1" x14ac:dyDescent="0.2">
      <c r="A2119" s="42"/>
    </row>
    <row r="2120" spans="1:1" x14ac:dyDescent="0.2">
      <c r="A2120" s="42"/>
    </row>
    <row r="2121" spans="1:1" x14ac:dyDescent="0.2">
      <c r="A2121" s="42"/>
    </row>
    <row r="2122" spans="1:1" x14ac:dyDescent="0.2">
      <c r="A2122" s="42"/>
    </row>
    <row r="2123" spans="1:1" x14ac:dyDescent="0.2">
      <c r="A2123" s="42"/>
    </row>
    <row r="2124" spans="1:1" x14ac:dyDescent="0.2">
      <c r="A2124" s="42"/>
    </row>
    <row r="2125" spans="1:1" x14ac:dyDescent="0.2">
      <c r="A2125" s="42"/>
    </row>
    <row r="2126" spans="1:1" x14ac:dyDescent="0.2">
      <c r="A2126" s="42"/>
    </row>
    <row r="2127" spans="1:1" x14ac:dyDescent="0.2">
      <c r="A2127" s="42"/>
    </row>
    <row r="2128" spans="1:1" x14ac:dyDescent="0.2">
      <c r="A2128" s="42"/>
    </row>
    <row r="2129" spans="1:1" x14ac:dyDescent="0.2">
      <c r="A2129" s="42"/>
    </row>
    <row r="2130" spans="1:1" x14ac:dyDescent="0.2">
      <c r="A2130" s="42"/>
    </row>
    <row r="2131" spans="1:1" x14ac:dyDescent="0.2">
      <c r="A2131" s="42"/>
    </row>
    <row r="2132" spans="1:1" x14ac:dyDescent="0.2">
      <c r="A2132" s="42"/>
    </row>
    <row r="2133" spans="1:1" x14ac:dyDescent="0.2">
      <c r="A2133" s="42"/>
    </row>
    <row r="2134" spans="1:1" x14ac:dyDescent="0.2">
      <c r="A2134" s="42"/>
    </row>
    <row r="2135" spans="1:1" x14ac:dyDescent="0.2">
      <c r="A2135" s="42"/>
    </row>
    <row r="2136" spans="1:1" x14ac:dyDescent="0.2">
      <c r="A2136" s="42"/>
    </row>
    <row r="2137" spans="1:1" x14ac:dyDescent="0.2">
      <c r="A2137" s="42"/>
    </row>
    <row r="2138" spans="1:1" x14ac:dyDescent="0.2">
      <c r="A2138" s="42"/>
    </row>
    <row r="2139" spans="1:1" x14ac:dyDescent="0.2">
      <c r="A2139" s="42"/>
    </row>
    <row r="2140" spans="1:1" x14ac:dyDescent="0.2">
      <c r="A2140" s="42"/>
    </row>
    <row r="2141" spans="1:1" x14ac:dyDescent="0.2">
      <c r="A2141" s="42"/>
    </row>
    <row r="2142" spans="1:1" x14ac:dyDescent="0.2">
      <c r="A2142" s="42"/>
    </row>
    <row r="2143" spans="1:1" x14ac:dyDescent="0.2">
      <c r="A2143" s="42"/>
    </row>
    <row r="2144" spans="1:1" x14ac:dyDescent="0.2">
      <c r="A2144" s="42"/>
    </row>
    <row r="2145" spans="1:1" x14ac:dyDescent="0.2">
      <c r="A2145" s="42"/>
    </row>
    <row r="2146" spans="1:1" x14ac:dyDescent="0.2">
      <c r="A2146" s="42"/>
    </row>
    <row r="2147" spans="1:1" x14ac:dyDescent="0.2">
      <c r="A2147" s="42"/>
    </row>
    <row r="2148" spans="1:1" x14ac:dyDescent="0.2">
      <c r="A2148" s="42"/>
    </row>
    <row r="2149" spans="1:1" x14ac:dyDescent="0.2">
      <c r="A2149" s="42"/>
    </row>
    <row r="2150" spans="1:1" x14ac:dyDescent="0.2">
      <c r="A2150" s="42"/>
    </row>
    <row r="2151" spans="1:1" x14ac:dyDescent="0.2">
      <c r="A2151" s="42"/>
    </row>
    <row r="2152" spans="1:1" x14ac:dyDescent="0.2">
      <c r="A2152" s="42"/>
    </row>
    <row r="2153" spans="1:1" x14ac:dyDescent="0.2">
      <c r="A2153" s="42"/>
    </row>
    <row r="2154" spans="1:1" x14ac:dyDescent="0.2">
      <c r="A2154" s="42"/>
    </row>
    <row r="2155" spans="1:1" x14ac:dyDescent="0.2">
      <c r="A2155" s="42"/>
    </row>
    <row r="2156" spans="1:1" x14ac:dyDescent="0.2">
      <c r="A2156" s="42"/>
    </row>
    <row r="2157" spans="1:1" x14ac:dyDescent="0.2">
      <c r="A2157" s="42"/>
    </row>
    <row r="2158" spans="1:1" x14ac:dyDescent="0.2">
      <c r="A2158" s="42"/>
    </row>
    <row r="2159" spans="1:1" x14ac:dyDescent="0.2">
      <c r="A2159" s="42"/>
    </row>
    <row r="2160" spans="1:1" x14ac:dyDescent="0.2">
      <c r="A2160" s="42"/>
    </row>
    <row r="2161" spans="1:1" x14ac:dyDescent="0.2">
      <c r="A2161" s="42"/>
    </row>
    <row r="2162" spans="1:1" x14ac:dyDescent="0.2">
      <c r="A2162" s="42"/>
    </row>
    <row r="2163" spans="1:1" x14ac:dyDescent="0.2">
      <c r="A2163" s="42"/>
    </row>
    <row r="2164" spans="1:1" x14ac:dyDescent="0.2">
      <c r="A2164" s="42"/>
    </row>
    <row r="2165" spans="1:1" x14ac:dyDescent="0.2">
      <c r="A2165" s="42"/>
    </row>
    <row r="2166" spans="1:1" x14ac:dyDescent="0.2">
      <c r="A2166" s="42"/>
    </row>
    <row r="2167" spans="1:1" x14ac:dyDescent="0.2">
      <c r="A2167" s="42"/>
    </row>
    <row r="2168" spans="1:1" x14ac:dyDescent="0.2">
      <c r="A2168" s="42"/>
    </row>
    <row r="2169" spans="1:1" x14ac:dyDescent="0.2">
      <c r="A2169" s="42"/>
    </row>
    <row r="2170" spans="1:1" x14ac:dyDescent="0.2">
      <c r="A2170" s="42"/>
    </row>
    <row r="2171" spans="1:1" x14ac:dyDescent="0.2">
      <c r="A2171" s="42"/>
    </row>
    <row r="2172" spans="1:1" x14ac:dyDescent="0.2">
      <c r="A2172" s="42"/>
    </row>
    <row r="2173" spans="1:1" x14ac:dyDescent="0.2">
      <c r="A2173" s="42"/>
    </row>
    <row r="2174" spans="1:1" x14ac:dyDescent="0.2">
      <c r="A2174" s="42"/>
    </row>
    <row r="2175" spans="1:1" x14ac:dyDescent="0.2">
      <c r="A2175" s="42"/>
    </row>
    <row r="2176" spans="1:1" x14ac:dyDescent="0.2">
      <c r="A2176" s="42"/>
    </row>
    <row r="2177" spans="1:1" x14ac:dyDescent="0.2">
      <c r="A2177" s="42"/>
    </row>
    <row r="2178" spans="1:1" x14ac:dyDescent="0.2">
      <c r="A2178" s="42"/>
    </row>
    <row r="2179" spans="1:1" x14ac:dyDescent="0.2">
      <c r="A2179" s="42"/>
    </row>
    <row r="2180" spans="1:1" x14ac:dyDescent="0.2">
      <c r="A2180" s="42"/>
    </row>
    <row r="2181" spans="1:1" x14ac:dyDescent="0.2">
      <c r="A2181" s="42"/>
    </row>
    <row r="2182" spans="1:1" x14ac:dyDescent="0.2">
      <c r="A2182" s="42"/>
    </row>
    <row r="2183" spans="1:1" x14ac:dyDescent="0.2">
      <c r="A2183" s="42"/>
    </row>
    <row r="2184" spans="1:1" x14ac:dyDescent="0.2">
      <c r="A2184" s="42"/>
    </row>
    <row r="2185" spans="1:1" x14ac:dyDescent="0.2">
      <c r="A2185" s="42"/>
    </row>
    <row r="2186" spans="1:1" x14ac:dyDescent="0.2">
      <c r="A2186" s="42"/>
    </row>
    <row r="2187" spans="1:1" x14ac:dyDescent="0.2">
      <c r="A2187" s="42"/>
    </row>
    <row r="2188" spans="1:1" x14ac:dyDescent="0.2">
      <c r="A2188" s="42"/>
    </row>
    <row r="2189" spans="1:1" x14ac:dyDescent="0.2">
      <c r="A2189" s="42"/>
    </row>
    <row r="2190" spans="1:1" x14ac:dyDescent="0.2">
      <c r="A2190" s="42"/>
    </row>
    <row r="2191" spans="1:1" x14ac:dyDescent="0.2">
      <c r="A2191" s="42"/>
    </row>
    <row r="2192" spans="1:1" x14ac:dyDescent="0.2">
      <c r="A2192" s="42"/>
    </row>
    <row r="2193" spans="1:1" x14ac:dyDescent="0.2">
      <c r="A2193" s="42"/>
    </row>
    <row r="2194" spans="1:1" x14ac:dyDescent="0.2">
      <c r="A2194" s="42"/>
    </row>
    <row r="2195" spans="1:1" x14ac:dyDescent="0.2">
      <c r="A2195" s="42"/>
    </row>
    <row r="2196" spans="1:1" x14ac:dyDescent="0.2">
      <c r="A2196" s="42"/>
    </row>
    <row r="2197" spans="1:1" x14ac:dyDescent="0.2">
      <c r="A2197" s="42"/>
    </row>
    <row r="2198" spans="1:1" x14ac:dyDescent="0.2">
      <c r="A2198" s="42"/>
    </row>
    <row r="2199" spans="1:1" x14ac:dyDescent="0.2">
      <c r="A2199" s="42"/>
    </row>
    <row r="2200" spans="1:1" x14ac:dyDescent="0.2">
      <c r="A2200" s="42"/>
    </row>
    <row r="2201" spans="1:1" x14ac:dyDescent="0.2">
      <c r="A2201" s="42"/>
    </row>
    <row r="2202" spans="1:1" x14ac:dyDescent="0.2">
      <c r="A2202" s="42"/>
    </row>
    <row r="2203" spans="1:1" x14ac:dyDescent="0.2">
      <c r="A2203" s="42"/>
    </row>
    <row r="2204" spans="1:1" x14ac:dyDescent="0.2">
      <c r="A2204" s="42"/>
    </row>
    <row r="2205" spans="1:1" x14ac:dyDescent="0.2">
      <c r="A2205" s="42"/>
    </row>
    <row r="2206" spans="1:1" x14ac:dyDescent="0.2">
      <c r="A2206" s="42"/>
    </row>
    <row r="2207" spans="1:1" x14ac:dyDescent="0.2">
      <c r="A2207" s="42"/>
    </row>
    <row r="2208" spans="1:1" x14ac:dyDescent="0.2">
      <c r="A2208" s="42"/>
    </row>
    <row r="2209" spans="1:1" x14ac:dyDescent="0.2">
      <c r="A2209" s="42"/>
    </row>
    <row r="2210" spans="1:1" x14ac:dyDescent="0.2">
      <c r="A2210" s="42"/>
    </row>
    <row r="2211" spans="1:1" x14ac:dyDescent="0.2">
      <c r="A2211" s="42"/>
    </row>
    <row r="2212" spans="1:1" x14ac:dyDescent="0.2">
      <c r="A2212" s="42"/>
    </row>
    <row r="2213" spans="1:1" x14ac:dyDescent="0.2">
      <c r="A2213" s="42"/>
    </row>
    <row r="2214" spans="1:1" x14ac:dyDescent="0.2">
      <c r="A2214" s="42"/>
    </row>
    <row r="2215" spans="1:1" x14ac:dyDescent="0.2">
      <c r="A2215" s="42"/>
    </row>
    <row r="2216" spans="1:1" x14ac:dyDescent="0.2">
      <c r="A2216" s="42"/>
    </row>
    <row r="2217" spans="1:1" x14ac:dyDescent="0.2">
      <c r="A2217" s="42"/>
    </row>
    <row r="2218" spans="1:1" x14ac:dyDescent="0.2">
      <c r="A2218" s="42"/>
    </row>
    <row r="2219" spans="1:1" x14ac:dyDescent="0.2">
      <c r="A2219" s="42"/>
    </row>
    <row r="2220" spans="1:1" x14ac:dyDescent="0.2">
      <c r="A2220" s="42"/>
    </row>
    <row r="2221" spans="1:1" x14ac:dyDescent="0.2">
      <c r="A2221" s="42"/>
    </row>
    <row r="2222" spans="1:1" x14ac:dyDescent="0.2">
      <c r="A2222" s="42"/>
    </row>
    <row r="2223" spans="1:1" x14ac:dyDescent="0.2">
      <c r="A2223" s="42"/>
    </row>
    <row r="2224" spans="1:1" x14ac:dyDescent="0.2">
      <c r="A2224" s="42"/>
    </row>
    <row r="2225" spans="1:1" x14ac:dyDescent="0.2">
      <c r="A2225" s="42"/>
    </row>
    <row r="2226" spans="1:1" x14ac:dyDescent="0.2">
      <c r="A2226" s="42"/>
    </row>
    <row r="2227" spans="1:1" x14ac:dyDescent="0.2">
      <c r="A2227" s="42"/>
    </row>
    <row r="2228" spans="1:1" x14ac:dyDescent="0.2">
      <c r="A2228" s="42"/>
    </row>
    <row r="2229" spans="1:1" x14ac:dyDescent="0.2">
      <c r="A2229" s="42"/>
    </row>
    <row r="2230" spans="1:1" x14ac:dyDescent="0.2">
      <c r="A2230" s="42"/>
    </row>
    <row r="2231" spans="1:1" x14ac:dyDescent="0.2">
      <c r="A2231" s="42"/>
    </row>
    <row r="2232" spans="1:1" x14ac:dyDescent="0.2">
      <c r="A2232" s="42"/>
    </row>
    <row r="2233" spans="1:1" x14ac:dyDescent="0.2">
      <c r="A2233" s="42"/>
    </row>
    <row r="2234" spans="1:1" x14ac:dyDescent="0.2">
      <c r="A2234" s="42"/>
    </row>
    <row r="2235" spans="1:1" x14ac:dyDescent="0.2">
      <c r="A2235" s="42"/>
    </row>
    <row r="2236" spans="1:1" x14ac:dyDescent="0.2">
      <c r="A2236" s="42"/>
    </row>
    <row r="2237" spans="1:1" x14ac:dyDescent="0.2">
      <c r="A2237" s="42"/>
    </row>
    <row r="2238" spans="1:1" x14ac:dyDescent="0.2">
      <c r="A2238" s="42"/>
    </row>
    <row r="2239" spans="1:1" x14ac:dyDescent="0.2">
      <c r="A2239" s="42"/>
    </row>
    <row r="2240" spans="1:1" x14ac:dyDescent="0.2">
      <c r="A2240" s="42"/>
    </row>
    <row r="2241" spans="1:1" x14ac:dyDescent="0.2">
      <c r="A2241" s="42"/>
    </row>
    <row r="2242" spans="1:1" x14ac:dyDescent="0.2">
      <c r="A2242" s="42"/>
    </row>
    <row r="2243" spans="1:1" x14ac:dyDescent="0.2">
      <c r="A2243" s="42"/>
    </row>
    <row r="2244" spans="1:1" x14ac:dyDescent="0.2">
      <c r="A2244" s="42"/>
    </row>
    <row r="2245" spans="1:1" x14ac:dyDescent="0.2">
      <c r="A2245" s="42"/>
    </row>
    <row r="2246" spans="1:1" x14ac:dyDescent="0.2">
      <c r="A2246" s="42"/>
    </row>
    <row r="2247" spans="1:1" x14ac:dyDescent="0.2">
      <c r="A2247" s="42"/>
    </row>
    <row r="2248" spans="1:1" x14ac:dyDescent="0.2">
      <c r="A2248" s="42"/>
    </row>
    <row r="2249" spans="1:1" x14ac:dyDescent="0.2">
      <c r="A2249" s="42"/>
    </row>
    <row r="2250" spans="1:1" x14ac:dyDescent="0.2">
      <c r="A2250" s="42"/>
    </row>
    <row r="2251" spans="1:1" x14ac:dyDescent="0.2">
      <c r="A2251" s="42"/>
    </row>
    <row r="2252" spans="1:1" x14ac:dyDescent="0.2">
      <c r="A2252" s="42"/>
    </row>
    <row r="2253" spans="1:1" x14ac:dyDescent="0.2">
      <c r="A2253" s="42"/>
    </row>
    <row r="2254" spans="1:1" x14ac:dyDescent="0.2">
      <c r="A2254" s="42"/>
    </row>
    <row r="2255" spans="1:1" x14ac:dyDescent="0.2">
      <c r="A2255" s="42"/>
    </row>
    <row r="2256" spans="1:1" x14ac:dyDescent="0.2">
      <c r="A2256" s="42"/>
    </row>
    <row r="2257" spans="1:1" x14ac:dyDescent="0.2">
      <c r="A2257" s="42"/>
    </row>
    <row r="2258" spans="1:1" x14ac:dyDescent="0.2">
      <c r="A2258" s="42"/>
    </row>
    <row r="2259" spans="1:1" x14ac:dyDescent="0.2">
      <c r="A2259" s="42"/>
    </row>
    <row r="2260" spans="1:1" x14ac:dyDescent="0.2">
      <c r="A2260" s="42"/>
    </row>
    <row r="2261" spans="1:1" x14ac:dyDescent="0.2">
      <c r="A2261" s="42"/>
    </row>
    <row r="2262" spans="1:1" x14ac:dyDescent="0.2">
      <c r="A2262" s="42"/>
    </row>
    <row r="2263" spans="1:1" x14ac:dyDescent="0.2">
      <c r="A2263" s="42"/>
    </row>
    <row r="2264" spans="1:1" x14ac:dyDescent="0.2">
      <c r="A2264" s="42"/>
    </row>
    <row r="2265" spans="1:1" x14ac:dyDescent="0.2">
      <c r="A2265" s="42"/>
    </row>
    <row r="2266" spans="1:1" x14ac:dyDescent="0.2">
      <c r="A2266" s="42"/>
    </row>
    <row r="2267" spans="1:1" x14ac:dyDescent="0.2">
      <c r="A2267" s="42"/>
    </row>
    <row r="2268" spans="1:1" x14ac:dyDescent="0.2">
      <c r="A2268" s="42"/>
    </row>
    <row r="2269" spans="1:1" x14ac:dyDescent="0.2">
      <c r="A2269" s="42"/>
    </row>
    <row r="2270" spans="1:1" x14ac:dyDescent="0.2">
      <c r="A2270" s="42"/>
    </row>
    <row r="2271" spans="1:1" x14ac:dyDescent="0.2">
      <c r="A2271" s="42"/>
    </row>
    <row r="2272" spans="1:1" x14ac:dyDescent="0.2">
      <c r="A2272" s="42"/>
    </row>
    <row r="2273" spans="1:1" x14ac:dyDescent="0.2">
      <c r="A2273" s="42"/>
    </row>
    <row r="2274" spans="1:1" x14ac:dyDescent="0.2">
      <c r="A2274" s="42"/>
    </row>
    <row r="2275" spans="1:1" x14ac:dyDescent="0.2">
      <c r="A2275" s="42"/>
    </row>
    <row r="2276" spans="1:1" x14ac:dyDescent="0.2">
      <c r="A2276" s="42"/>
    </row>
    <row r="2277" spans="1:1" x14ac:dyDescent="0.2">
      <c r="A2277" s="42"/>
    </row>
    <row r="2278" spans="1:1" x14ac:dyDescent="0.2">
      <c r="A2278" s="42"/>
    </row>
    <row r="2279" spans="1:1" x14ac:dyDescent="0.2">
      <c r="A2279" s="42"/>
    </row>
    <row r="2280" spans="1:1" x14ac:dyDescent="0.2">
      <c r="A2280" s="42"/>
    </row>
    <row r="2281" spans="1:1" x14ac:dyDescent="0.2">
      <c r="A2281" s="42"/>
    </row>
    <row r="2282" spans="1:1" x14ac:dyDescent="0.2">
      <c r="A2282" s="42"/>
    </row>
    <row r="2283" spans="1:1" x14ac:dyDescent="0.2">
      <c r="A2283" s="42"/>
    </row>
    <row r="2284" spans="1:1" x14ac:dyDescent="0.2">
      <c r="A2284" s="42"/>
    </row>
    <row r="2285" spans="1:1" x14ac:dyDescent="0.2">
      <c r="A2285" s="42"/>
    </row>
    <row r="2286" spans="1:1" x14ac:dyDescent="0.2">
      <c r="A2286" s="42"/>
    </row>
    <row r="2287" spans="1:1" x14ac:dyDescent="0.2">
      <c r="A2287" s="42"/>
    </row>
    <row r="2288" spans="1:1" x14ac:dyDescent="0.2">
      <c r="A2288" s="42"/>
    </row>
    <row r="2289" spans="1:1" x14ac:dyDescent="0.2">
      <c r="A2289" s="42"/>
    </row>
    <row r="2290" spans="1:1" x14ac:dyDescent="0.2">
      <c r="A2290" s="42"/>
    </row>
    <row r="2291" spans="1:1" x14ac:dyDescent="0.2">
      <c r="A2291" s="42"/>
    </row>
    <row r="2292" spans="1:1" x14ac:dyDescent="0.2">
      <c r="A2292" s="42"/>
    </row>
    <row r="2293" spans="1:1" x14ac:dyDescent="0.2">
      <c r="A2293" s="42"/>
    </row>
    <row r="2294" spans="1:1" x14ac:dyDescent="0.2">
      <c r="A2294" s="42"/>
    </row>
    <row r="2295" spans="1:1" x14ac:dyDescent="0.2">
      <c r="A2295" s="42"/>
    </row>
    <row r="2296" spans="1:1" x14ac:dyDescent="0.2">
      <c r="A2296" s="42"/>
    </row>
    <row r="2297" spans="1:1" x14ac:dyDescent="0.2">
      <c r="A2297" s="42"/>
    </row>
    <row r="2298" spans="1:1" x14ac:dyDescent="0.2">
      <c r="A2298" s="42"/>
    </row>
    <row r="2299" spans="1:1" x14ac:dyDescent="0.2">
      <c r="A2299" s="42"/>
    </row>
    <row r="2300" spans="1:1" x14ac:dyDescent="0.2">
      <c r="A2300" s="42"/>
    </row>
    <row r="2301" spans="1:1" x14ac:dyDescent="0.2">
      <c r="A2301" s="42"/>
    </row>
    <row r="2302" spans="1:1" x14ac:dyDescent="0.2">
      <c r="A2302" s="42"/>
    </row>
    <row r="2303" spans="1:1" x14ac:dyDescent="0.2">
      <c r="A2303" s="42"/>
    </row>
    <row r="2304" spans="1:1" x14ac:dyDescent="0.2">
      <c r="A2304" s="42"/>
    </row>
    <row r="2305" spans="1:1" x14ac:dyDescent="0.2">
      <c r="A2305" s="42"/>
    </row>
    <row r="2306" spans="1:1" x14ac:dyDescent="0.2">
      <c r="A2306" s="42"/>
    </row>
    <row r="2307" spans="1:1" x14ac:dyDescent="0.2">
      <c r="A2307" s="42"/>
    </row>
    <row r="2308" spans="1:1" x14ac:dyDescent="0.2">
      <c r="A2308" s="42"/>
    </row>
    <row r="2309" spans="1:1" x14ac:dyDescent="0.2">
      <c r="A2309" s="42"/>
    </row>
    <row r="2310" spans="1:1" x14ac:dyDescent="0.2">
      <c r="A2310" s="42"/>
    </row>
    <row r="2311" spans="1:1" x14ac:dyDescent="0.2">
      <c r="A2311" s="42"/>
    </row>
    <row r="2312" spans="1:1" x14ac:dyDescent="0.2">
      <c r="A2312" s="42"/>
    </row>
    <row r="2313" spans="1:1" x14ac:dyDescent="0.2">
      <c r="A2313" s="42"/>
    </row>
    <row r="2314" spans="1:1" x14ac:dyDescent="0.2">
      <c r="A2314" s="42"/>
    </row>
    <row r="2315" spans="1:1" x14ac:dyDescent="0.2">
      <c r="A2315" s="42"/>
    </row>
    <row r="2316" spans="1:1" x14ac:dyDescent="0.2">
      <c r="A2316" s="42"/>
    </row>
    <row r="2317" spans="1:1" x14ac:dyDescent="0.2">
      <c r="A2317" s="42"/>
    </row>
    <row r="2318" spans="1:1" x14ac:dyDescent="0.2">
      <c r="A2318" s="42"/>
    </row>
    <row r="2319" spans="1:1" x14ac:dyDescent="0.2">
      <c r="A2319" s="42"/>
    </row>
    <row r="2320" spans="1:1" x14ac:dyDescent="0.2">
      <c r="A2320" s="42"/>
    </row>
    <row r="2321" spans="1:1" x14ac:dyDescent="0.2">
      <c r="A2321" s="42"/>
    </row>
    <row r="2322" spans="1:1" x14ac:dyDescent="0.2">
      <c r="A2322" s="42"/>
    </row>
    <row r="2323" spans="1:1" x14ac:dyDescent="0.2">
      <c r="A2323" s="42"/>
    </row>
    <row r="2324" spans="1:1" x14ac:dyDescent="0.2">
      <c r="A2324" s="42"/>
    </row>
    <row r="2325" spans="1:1" x14ac:dyDescent="0.2">
      <c r="A2325" s="42"/>
    </row>
    <row r="2326" spans="1:1" x14ac:dyDescent="0.2">
      <c r="A2326" s="42"/>
    </row>
    <row r="2327" spans="1:1" x14ac:dyDescent="0.2">
      <c r="A2327" s="42"/>
    </row>
    <row r="2328" spans="1:1" x14ac:dyDescent="0.2">
      <c r="A2328" s="42"/>
    </row>
    <row r="2329" spans="1:1" x14ac:dyDescent="0.2">
      <c r="A2329" s="42"/>
    </row>
    <row r="2330" spans="1:1" x14ac:dyDescent="0.2">
      <c r="A2330" s="42"/>
    </row>
    <row r="2331" spans="1:1" x14ac:dyDescent="0.2">
      <c r="A2331" s="42"/>
    </row>
    <row r="2332" spans="1:1" x14ac:dyDescent="0.2">
      <c r="A2332" s="42"/>
    </row>
    <row r="2333" spans="1:1" x14ac:dyDescent="0.2">
      <c r="A2333" s="42"/>
    </row>
    <row r="2334" spans="1:1" x14ac:dyDescent="0.2">
      <c r="A2334" s="42"/>
    </row>
    <row r="2335" spans="1:1" x14ac:dyDescent="0.2">
      <c r="A2335" s="42"/>
    </row>
    <row r="2336" spans="1:1" x14ac:dyDescent="0.2">
      <c r="A2336" s="42"/>
    </row>
    <row r="2337" spans="1:1" x14ac:dyDescent="0.2">
      <c r="A2337" s="42"/>
    </row>
    <row r="2338" spans="1:1" x14ac:dyDescent="0.2">
      <c r="A2338" s="42"/>
    </row>
    <row r="2339" spans="1:1" x14ac:dyDescent="0.2">
      <c r="A2339" s="42"/>
    </row>
    <row r="2340" spans="1:1" x14ac:dyDescent="0.2">
      <c r="A2340" s="42"/>
    </row>
    <row r="2341" spans="1:1" x14ac:dyDescent="0.2">
      <c r="A2341" s="42"/>
    </row>
    <row r="2342" spans="1:1" x14ac:dyDescent="0.2">
      <c r="A2342" s="42"/>
    </row>
    <row r="2343" spans="1:1" x14ac:dyDescent="0.2">
      <c r="A2343" s="42"/>
    </row>
    <row r="2344" spans="1:1" x14ac:dyDescent="0.2">
      <c r="A2344" s="42"/>
    </row>
    <row r="2345" spans="1:1" x14ac:dyDescent="0.2">
      <c r="A2345" s="42"/>
    </row>
    <row r="2346" spans="1:1" x14ac:dyDescent="0.2">
      <c r="A2346" s="42"/>
    </row>
    <row r="2347" spans="1:1" x14ac:dyDescent="0.2">
      <c r="A2347" s="42"/>
    </row>
    <row r="2348" spans="1:1" x14ac:dyDescent="0.2">
      <c r="A2348" s="42"/>
    </row>
    <row r="2349" spans="1:1" x14ac:dyDescent="0.2">
      <c r="A2349" s="42"/>
    </row>
    <row r="2350" spans="1:1" x14ac:dyDescent="0.2">
      <c r="A2350" s="42"/>
    </row>
    <row r="2351" spans="1:1" x14ac:dyDescent="0.2">
      <c r="A2351" s="42"/>
    </row>
    <row r="2352" spans="1:1" x14ac:dyDescent="0.2">
      <c r="A2352" s="42"/>
    </row>
    <row r="2353" spans="1:1" x14ac:dyDescent="0.2">
      <c r="A2353" s="42"/>
    </row>
    <row r="2354" spans="1:1" x14ac:dyDescent="0.2">
      <c r="A2354" s="42"/>
    </row>
    <row r="2355" spans="1:1" x14ac:dyDescent="0.2">
      <c r="A2355" s="42"/>
    </row>
    <row r="2356" spans="1:1" x14ac:dyDescent="0.2">
      <c r="A2356" s="42"/>
    </row>
    <row r="2357" spans="1:1" x14ac:dyDescent="0.2">
      <c r="A2357" s="42"/>
    </row>
    <row r="2358" spans="1:1" x14ac:dyDescent="0.2">
      <c r="A2358" s="42"/>
    </row>
    <row r="2359" spans="1:1" x14ac:dyDescent="0.2">
      <c r="A2359" s="42"/>
    </row>
    <row r="2360" spans="1:1" x14ac:dyDescent="0.2">
      <c r="A2360" s="42"/>
    </row>
    <row r="2361" spans="1:1" x14ac:dyDescent="0.2">
      <c r="A2361" s="42"/>
    </row>
    <row r="2362" spans="1:1" x14ac:dyDescent="0.2">
      <c r="A2362" s="42"/>
    </row>
    <row r="2363" spans="1:1" x14ac:dyDescent="0.2">
      <c r="A2363" s="42"/>
    </row>
    <row r="2364" spans="1:1" x14ac:dyDescent="0.2">
      <c r="A2364" s="42"/>
    </row>
    <row r="2365" spans="1:1" x14ac:dyDescent="0.2">
      <c r="A2365" s="42"/>
    </row>
    <row r="2366" spans="1:1" x14ac:dyDescent="0.2">
      <c r="A2366" s="42"/>
    </row>
    <row r="2367" spans="1:1" x14ac:dyDescent="0.2">
      <c r="A2367" s="42"/>
    </row>
    <row r="2368" spans="1:1" x14ac:dyDescent="0.2">
      <c r="A2368" s="42"/>
    </row>
    <row r="2369" spans="1:1" x14ac:dyDescent="0.2">
      <c r="A2369" s="42"/>
    </row>
    <row r="2370" spans="1:1" x14ac:dyDescent="0.2">
      <c r="A2370" s="42"/>
    </row>
    <row r="2371" spans="1:1" x14ac:dyDescent="0.2">
      <c r="A2371" s="42"/>
    </row>
    <row r="2372" spans="1:1" x14ac:dyDescent="0.2">
      <c r="A2372" s="42"/>
    </row>
    <row r="2373" spans="1:1" x14ac:dyDescent="0.2">
      <c r="A2373" s="42"/>
    </row>
    <row r="2374" spans="1:1" x14ac:dyDescent="0.2">
      <c r="A2374" s="42"/>
    </row>
    <row r="2375" spans="1:1" x14ac:dyDescent="0.2">
      <c r="A2375" s="42"/>
    </row>
    <row r="2376" spans="1:1" x14ac:dyDescent="0.2">
      <c r="A2376" s="42"/>
    </row>
    <row r="2377" spans="1:1" x14ac:dyDescent="0.2">
      <c r="A2377" s="42"/>
    </row>
    <row r="2378" spans="1:1" x14ac:dyDescent="0.2">
      <c r="A2378" s="42"/>
    </row>
    <row r="2379" spans="1:1" x14ac:dyDescent="0.2">
      <c r="A2379" s="42"/>
    </row>
    <row r="2380" spans="1:1" x14ac:dyDescent="0.2">
      <c r="A2380" s="42"/>
    </row>
    <row r="2381" spans="1:1" x14ac:dyDescent="0.2">
      <c r="A2381" s="42"/>
    </row>
    <row r="2382" spans="1:1" x14ac:dyDescent="0.2">
      <c r="A2382" s="42"/>
    </row>
    <row r="2383" spans="1:1" x14ac:dyDescent="0.2">
      <c r="A2383" s="42"/>
    </row>
    <row r="2384" spans="1:1" x14ac:dyDescent="0.2">
      <c r="A2384" s="42"/>
    </row>
    <row r="2385" spans="1:1" x14ac:dyDescent="0.2">
      <c r="A2385" s="42"/>
    </row>
    <row r="2386" spans="1:1" x14ac:dyDescent="0.2">
      <c r="A2386" s="42"/>
    </row>
    <row r="2387" spans="1:1" x14ac:dyDescent="0.2">
      <c r="A2387" s="42"/>
    </row>
    <row r="2388" spans="1:1" x14ac:dyDescent="0.2">
      <c r="A2388" s="42"/>
    </row>
    <row r="2389" spans="1:1" x14ac:dyDescent="0.2">
      <c r="A2389" s="42"/>
    </row>
    <row r="2390" spans="1:1" x14ac:dyDescent="0.2">
      <c r="A2390" s="42"/>
    </row>
    <row r="2391" spans="1:1" x14ac:dyDescent="0.2">
      <c r="A2391" s="42"/>
    </row>
    <row r="2392" spans="1:1" x14ac:dyDescent="0.2">
      <c r="A2392" s="42"/>
    </row>
    <row r="2393" spans="1:1" x14ac:dyDescent="0.2">
      <c r="A2393" s="42"/>
    </row>
    <row r="2394" spans="1:1" x14ac:dyDescent="0.2">
      <c r="A2394" s="42"/>
    </row>
    <row r="2395" spans="1:1" x14ac:dyDescent="0.2">
      <c r="A2395" s="42"/>
    </row>
    <row r="2396" spans="1:1" x14ac:dyDescent="0.2">
      <c r="A2396" s="42"/>
    </row>
    <row r="2397" spans="1:1" x14ac:dyDescent="0.2">
      <c r="A2397" s="42"/>
    </row>
    <row r="2398" spans="1:1" x14ac:dyDescent="0.2">
      <c r="A2398" s="42"/>
    </row>
    <row r="2399" spans="1:1" x14ac:dyDescent="0.2">
      <c r="A2399" s="42"/>
    </row>
    <row r="2400" spans="1:1" x14ac:dyDescent="0.2">
      <c r="A2400" s="42"/>
    </row>
    <row r="2401" spans="1:1" x14ac:dyDescent="0.2">
      <c r="A2401" s="42"/>
    </row>
    <row r="2402" spans="1:1" x14ac:dyDescent="0.2">
      <c r="A2402" s="42"/>
    </row>
    <row r="2403" spans="1:1" x14ac:dyDescent="0.2">
      <c r="A2403" s="42"/>
    </row>
    <row r="2404" spans="1:1" x14ac:dyDescent="0.2">
      <c r="A2404" s="42"/>
    </row>
    <row r="2405" spans="1:1" x14ac:dyDescent="0.2">
      <c r="A2405" s="42"/>
    </row>
    <row r="2406" spans="1:1" x14ac:dyDescent="0.2">
      <c r="A2406" s="42"/>
    </row>
    <row r="2407" spans="1:1" x14ac:dyDescent="0.2">
      <c r="A2407" s="42"/>
    </row>
    <row r="2408" spans="1:1" x14ac:dyDescent="0.2">
      <c r="A2408" s="42"/>
    </row>
    <row r="2409" spans="1:1" x14ac:dyDescent="0.2">
      <c r="A2409" s="42"/>
    </row>
    <row r="2410" spans="1:1" x14ac:dyDescent="0.2">
      <c r="A2410" s="42"/>
    </row>
    <row r="2411" spans="1:1" x14ac:dyDescent="0.2">
      <c r="A2411" s="42"/>
    </row>
    <row r="2412" spans="1:1" x14ac:dyDescent="0.2">
      <c r="A2412" s="42"/>
    </row>
    <row r="2413" spans="1:1" x14ac:dyDescent="0.2">
      <c r="A2413" s="42"/>
    </row>
    <row r="2414" spans="1:1" x14ac:dyDescent="0.2">
      <c r="A2414" s="42"/>
    </row>
    <row r="2415" spans="1:1" x14ac:dyDescent="0.2">
      <c r="A2415" s="42"/>
    </row>
    <row r="2416" spans="1:1" x14ac:dyDescent="0.2">
      <c r="A2416" s="42"/>
    </row>
    <row r="2417" spans="1:1" x14ac:dyDescent="0.2">
      <c r="A2417" s="42"/>
    </row>
    <row r="2418" spans="1:1" x14ac:dyDescent="0.2">
      <c r="A2418" s="42"/>
    </row>
    <row r="2419" spans="1:1" x14ac:dyDescent="0.2">
      <c r="A2419" s="42"/>
    </row>
    <row r="2420" spans="1:1" x14ac:dyDescent="0.2">
      <c r="A2420" s="42"/>
    </row>
    <row r="2421" spans="1:1" x14ac:dyDescent="0.2">
      <c r="A2421" s="42"/>
    </row>
    <row r="2422" spans="1:1" x14ac:dyDescent="0.2">
      <c r="A2422" s="42"/>
    </row>
    <row r="2423" spans="1:1" x14ac:dyDescent="0.2">
      <c r="A2423" s="42"/>
    </row>
    <row r="2424" spans="1:1" x14ac:dyDescent="0.2">
      <c r="A2424" s="42"/>
    </row>
    <row r="2425" spans="1:1" x14ac:dyDescent="0.2">
      <c r="A2425" s="42"/>
    </row>
    <row r="2426" spans="1:1" x14ac:dyDescent="0.2">
      <c r="A2426" s="42"/>
    </row>
    <row r="2427" spans="1:1" x14ac:dyDescent="0.2">
      <c r="A2427" s="42"/>
    </row>
    <row r="2428" spans="1:1" x14ac:dyDescent="0.2">
      <c r="A2428" s="42"/>
    </row>
    <row r="2429" spans="1:1" x14ac:dyDescent="0.2">
      <c r="A2429" s="42"/>
    </row>
    <row r="2430" spans="1:1" x14ac:dyDescent="0.2">
      <c r="A2430" s="42"/>
    </row>
    <row r="2431" spans="1:1" x14ac:dyDescent="0.2">
      <c r="A2431" s="42"/>
    </row>
    <row r="2432" spans="1:1" x14ac:dyDescent="0.2">
      <c r="A2432" s="42"/>
    </row>
    <row r="2433" spans="1:1" x14ac:dyDescent="0.2">
      <c r="A2433" s="42"/>
    </row>
    <row r="2434" spans="1:1" x14ac:dyDescent="0.2">
      <c r="A2434" s="42"/>
    </row>
    <row r="2435" spans="1:1" x14ac:dyDescent="0.2">
      <c r="A2435" s="42"/>
    </row>
    <row r="2436" spans="1:1" x14ac:dyDescent="0.2">
      <c r="A2436" s="42"/>
    </row>
    <row r="2437" spans="1:1" x14ac:dyDescent="0.2">
      <c r="A2437" s="42"/>
    </row>
    <row r="2438" spans="1:1" x14ac:dyDescent="0.2">
      <c r="A2438" s="42"/>
    </row>
    <row r="2439" spans="1:1" x14ac:dyDescent="0.2">
      <c r="A2439" s="42"/>
    </row>
    <row r="2440" spans="1:1" x14ac:dyDescent="0.2">
      <c r="A2440" s="42"/>
    </row>
    <row r="2441" spans="1:1" x14ac:dyDescent="0.2">
      <c r="A2441" s="42"/>
    </row>
    <row r="2442" spans="1:1" x14ac:dyDescent="0.2">
      <c r="A2442" s="42"/>
    </row>
    <row r="2443" spans="1:1" x14ac:dyDescent="0.2">
      <c r="A2443" s="42"/>
    </row>
    <row r="2444" spans="1:1" x14ac:dyDescent="0.2">
      <c r="A2444" s="42"/>
    </row>
    <row r="2445" spans="1:1" x14ac:dyDescent="0.2">
      <c r="A2445" s="42"/>
    </row>
    <row r="2446" spans="1:1" x14ac:dyDescent="0.2">
      <c r="A2446" s="42"/>
    </row>
    <row r="2447" spans="1:1" x14ac:dyDescent="0.2">
      <c r="A2447" s="42"/>
    </row>
    <row r="2448" spans="1:1" x14ac:dyDescent="0.2">
      <c r="A2448" s="42"/>
    </row>
    <row r="2449" spans="1:1" x14ac:dyDescent="0.2">
      <c r="A2449" s="42"/>
    </row>
    <row r="2450" spans="1:1" x14ac:dyDescent="0.2">
      <c r="A2450" s="42"/>
    </row>
    <row r="2451" spans="1:1" x14ac:dyDescent="0.2">
      <c r="A2451" s="42"/>
    </row>
    <row r="2452" spans="1:1" x14ac:dyDescent="0.2">
      <c r="A2452" s="42"/>
    </row>
    <row r="2453" spans="1:1" x14ac:dyDescent="0.2">
      <c r="A2453" s="42"/>
    </row>
    <row r="2454" spans="1:1" x14ac:dyDescent="0.2">
      <c r="A2454" s="42"/>
    </row>
    <row r="2455" spans="1:1" x14ac:dyDescent="0.2">
      <c r="A2455" s="42"/>
    </row>
    <row r="2456" spans="1:1" x14ac:dyDescent="0.2">
      <c r="A2456" s="42"/>
    </row>
    <row r="2457" spans="1:1" x14ac:dyDescent="0.2">
      <c r="A2457" s="42"/>
    </row>
    <row r="2458" spans="1:1" x14ac:dyDescent="0.2">
      <c r="A2458" s="42"/>
    </row>
    <row r="2459" spans="1:1" x14ac:dyDescent="0.2">
      <c r="A2459" s="42"/>
    </row>
    <row r="2460" spans="1:1" x14ac:dyDescent="0.2">
      <c r="A2460" s="42"/>
    </row>
    <row r="2461" spans="1:1" x14ac:dyDescent="0.2">
      <c r="A2461" s="42"/>
    </row>
    <row r="2462" spans="1:1" x14ac:dyDescent="0.2">
      <c r="A2462" s="42"/>
    </row>
    <row r="2463" spans="1:1" x14ac:dyDescent="0.2">
      <c r="A2463" s="42"/>
    </row>
    <row r="2464" spans="1:1" x14ac:dyDescent="0.2">
      <c r="A2464" s="42"/>
    </row>
    <row r="2465" spans="1:1" x14ac:dyDescent="0.2">
      <c r="A2465" s="42"/>
    </row>
    <row r="2466" spans="1:1" x14ac:dyDescent="0.2">
      <c r="A2466" s="42"/>
    </row>
    <row r="2467" spans="1:1" x14ac:dyDescent="0.2">
      <c r="A2467" s="42"/>
    </row>
    <row r="2468" spans="1:1" x14ac:dyDescent="0.2">
      <c r="A2468" s="42"/>
    </row>
    <row r="2469" spans="1:1" x14ac:dyDescent="0.2">
      <c r="A2469" s="42"/>
    </row>
    <row r="2470" spans="1:1" x14ac:dyDescent="0.2">
      <c r="A2470" s="42"/>
    </row>
    <row r="2471" spans="1:1" x14ac:dyDescent="0.2">
      <c r="A2471" s="42"/>
    </row>
    <row r="2472" spans="1:1" x14ac:dyDescent="0.2">
      <c r="A2472" s="42"/>
    </row>
    <row r="2473" spans="1:1" x14ac:dyDescent="0.2">
      <c r="A2473" s="42"/>
    </row>
    <row r="2474" spans="1:1" x14ac:dyDescent="0.2">
      <c r="A2474" s="42"/>
    </row>
    <row r="2475" spans="1:1" x14ac:dyDescent="0.2">
      <c r="A2475" s="42"/>
    </row>
    <row r="2476" spans="1:1" x14ac:dyDescent="0.2">
      <c r="A2476" s="42"/>
    </row>
    <row r="2477" spans="1:1" x14ac:dyDescent="0.2">
      <c r="A2477" s="42"/>
    </row>
    <row r="2478" spans="1:1" x14ac:dyDescent="0.2">
      <c r="A2478" s="42"/>
    </row>
    <row r="2479" spans="1:1" x14ac:dyDescent="0.2">
      <c r="A2479" s="42"/>
    </row>
    <row r="2480" spans="1:1" x14ac:dyDescent="0.2">
      <c r="A2480" s="42"/>
    </row>
    <row r="2481" spans="1:1" x14ac:dyDescent="0.2">
      <c r="A2481" s="42"/>
    </row>
    <row r="2482" spans="1:1" x14ac:dyDescent="0.2">
      <c r="A2482" s="42"/>
    </row>
    <row r="2483" spans="1:1" x14ac:dyDescent="0.2">
      <c r="A2483" s="42"/>
    </row>
    <row r="2484" spans="1:1" x14ac:dyDescent="0.2">
      <c r="A2484" s="42"/>
    </row>
    <row r="2485" spans="1:1" x14ac:dyDescent="0.2">
      <c r="A2485" s="42"/>
    </row>
    <row r="2486" spans="1:1" x14ac:dyDescent="0.2">
      <c r="A2486" s="42"/>
    </row>
    <row r="2487" spans="1:1" x14ac:dyDescent="0.2">
      <c r="A2487" s="42"/>
    </row>
    <row r="2488" spans="1:1" x14ac:dyDescent="0.2">
      <c r="A2488" s="42"/>
    </row>
    <row r="2489" spans="1:1" x14ac:dyDescent="0.2">
      <c r="A2489" s="42"/>
    </row>
    <row r="2490" spans="1:1" x14ac:dyDescent="0.2">
      <c r="A2490" s="42"/>
    </row>
    <row r="2491" spans="1:1" x14ac:dyDescent="0.2">
      <c r="A2491" s="42"/>
    </row>
    <row r="2492" spans="1:1" x14ac:dyDescent="0.2">
      <c r="A2492" s="42"/>
    </row>
    <row r="2493" spans="1:1" x14ac:dyDescent="0.2">
      <c r="A2493" s="42"/>
    </row>
    <row r="2494" spans="1:1" x14ac:dyDescent="0.2">
      <c r="A2494" s="42"/>
    </row>
    <row r="2495" spans="1:1" x14ac:dyDescent="0.2">
      <c r="A2495" s="42"/>
    </row>
    <row r="2496" spans="1:1" x14ac:dyDescent="0.2">
      <c r="A2496" s="42"/>
    </row>
    <row r="2497" spans="1:1" x14ac:dyDescent="0.2">
      <c r="A2497" s="42"/>
    </row>
    <row r="2498" spans="1:1" x14ac:dyDescent="0.2">
      <c r="A2498" s="42"/>
    </row>
    <row r="2499" spans="1:1" x14ac:dyDescent="0.2">
      <c r="A2499" s="42"/>
    </row>
    <row r="2500" spans="1:1" x14ac:dyDescent="0.2">
      <c r="A2500" s="42"/>
    </row>
    <row r="2501" spans="1:1" x14ac:dyDescent="0.2">
      <c r="A2501" s="42"/>
    </row>
    <row r="2502" spans="1:1" x14ac:dyDescent="0.2">
      <c r="A2502" s="42"/>
    </row>
    <row r="2503" spans="1:1" x14ac:dyDescent="0.2">
      <c r="A2503" s="42"/>
    </row>
    <row r="2504" spans="1:1" x14ac:dyDescent="0.2">
      <c r="A2504" s="42"/>
    </row>
    <row r="2505" spans="1:1" x14ac:dyDescent="0.2">
      <c r="A2505" s="42"/>
    </row>
    <row r="2506" spans="1:1" x14ac:dyDescent="0.2">
      <c r="A2506" s="42"/>
    </row>
    <row r="2507" spans="1:1" x14ac:dyDescent="0.2">
      <c r="A2507" s="42"/>
    </row>
    <row r="2508" spans="1:1" x14ac:dyDescent="0.2">
      <c r="A2508" s="42"/>
    </row>
    <row r="2509" spans="1:1" x14ac:dyDescent="0.2">
      <c r="A2509" s="42"/>
    </row>
    <row r="2510" spans="1:1" x14ac:dyDescent="0.2">
      <c r="A2510" s="42"/>
    </row>
    <row r="2511" spans="1:1" x14ac:dyDescent="0.2">
      <c r="A2511" s="42"/>
    </row>
    <row r="2512" spans="1:1" x14ac:dyDescent="0.2">
      <c r="A2512" s="42"/>
    </row>
    <row r="2513" spans="1:1" x14ac:dyDescent="0.2">
      <c r="A2513" s="42"/>
    </row>
    <row r="2514" spans="1:1" x14ac:dyDescent="0.2">
      <c r="A2514" s="42"/>
    </row>
    <row r="2515" spans="1:1" x14ac:dyDescent="0.2">
      <c r="A2515" s="42"/>
    </row>
    <row r="2516" spans="1:1" x14ac:dyDescent="0.2">
      <c r="A2516" s="42"/>
    </row>
    <row r="2517" spans="1:1" x14ac:dyDescent="0.2">
      <c r="A2517" s="42"/>
    </row>
    <row r="2518" spans="1:1" x14ac:dyDescent="0.2">
      <c r="A2518" s="42"/>
    </row>
    <row r="2519" spans="1:1" x14ac:dyDescent="0.2">
      <c r="A2519" s="42"/>
    </row>
    <row r="2520" spans="1:1" x14ac:dyDescent="0.2">
      <c r="A2520" s="42"/>
    </row>
    <row r="2521" spans="1:1" x14ac:dyDescent="0.2">
      <c r="A2521" s="42"/>
    </row>
    <row r="2522" spans="1:1" x14ac:dyDescent="0.2">
      <c r="A2522" s="42"/>
    </row>
    <row r="2523" spans="1:1" x14ac:dyDescent="0.2">
      <c r="A2523" s="42"/>
    </row>
    <row r="2524" spans="1:1" x14ac:dyDescent="0.2">
      <c r="A2524" s="42"/>
    </row>
    <row r="2525" spans="1:1" x14ac:dyDescent="0.2">
      <c r="A2525" s="42"/>
    </row>
    <row r="2526" spans="1:1" x14ac:dyDescent="0.2">
      <c r="A2526" s="42"/>
    </row>
    <row r="2527" spans="1:1" x14ac:dyDescent="0.2">
      <c r="A2527" s="42"/>
    </row>
    <row r="2528" spans="1:1" x14ac:dyDescent="0.2">
      <c r="A2528" s="42"/>
    </row>
    <row r="2529" spans="1:1" x14ac:dyDescent="0.2">
      <c r="A2529" s="42"/>
    </row>
    <row r="2530" spans="1:1" x14ac:dyDescent="0.2">
      <c r="A2530" s="42"/>
    </row>
    <row r="2531" spans="1:1" x14ac:dyDescent="0.2">
      <c r="A2531" s="42"/>
    </row>
    <row r="2532" spans="1:1" x14ac:dyDescent="0.2">
      <c r="A2532" s="42"/>
    </row>
    <row r="2533" spans="1:1" x14ac:dyDescent="0.2">
      <c r="A2533" s="42"/>
    </row>
    <row r="2534" spans="1:1" x14ac:dyDescent="0.2">
      <c r="A2534" s="42"/>
    </row>
    <row r="2535" spans="1:1" x14ac:dyDescent="0.2">
      <c r="A2535" s="42"/>
    </row>
    <row r="2536" spans="1:1" x14ac:dyDescent="0.2">
      <c r="A2536" s="42"/>
    </row>
    <row r="2537" spans="1:1" x14ac:dyDescent="0.2">
      <c r="A2537" s="42"/>
    </row>
    <row r="2538" spans="1:1" x14ac:dyDescent="0.2">
      <c r="A2538" s="42"/>
    </row>
    <row r="2539" spans="1:1" x14ac:dyDescent="0.2">
      <c r="A2539" s="42"/>
    </row>
    <row r="2540" spans="1:1" x14ac:dyDescent="0.2">
      <c r="A2540" s="42"/>
    </row>
    <row r="2541" spans="1:1" x14ac:dyDescent="0.2">
      <c r="A2541" s="42"/>
    </row>
    <row r="2542" spans="1:1" x14ac:dyDescent="0.2">
      <c r="A2542" s="42"/>
    </row>
    <row r="2543" spans="1:1" x14ac:dyDescent="0.2">
      <c r="A2543" s="42"/>
    </row>
    <row r="2544" spans="1:1" x14ac:dyDescent="0.2">
      <c r="A2544" s="42"/>
    </row>
    <row r="2545" spans="1:1" x14ac:dyDescent="0.2">
      <c r="A2545" s="42"/>
    </row>
    <row r="2546" spans="1:1" x14ac:dyDescent="0.2">
      <c r="A2546" s="42"/>
    </row>
    <row r="2547" spans="1:1" x14ac:dyDescent="0.2">
      <c r="A2547" s="42"/>
    </row>
    <row r="2548" spans="1:1" x14ac:dyDescent="0.2">
      <c r="A2548" s="42"/>
    </row>
    <row r="2549" spans="1:1" x14ac:dyDescent="0.2">
      <c r="A2549" s="42"/>
    </row>
    <row r="2550" spans="1:1" x14ac:dyDescent="0.2">
      <c r="A2550" s="42"/>
    </row>
    <row r="2551" spans="1:1" x14ac:dyDescent="0.2">
      <c r="A2551" s="42"/>
    </row>
    <row r="2552" spans="1:1" x14ac:dyDescent="0.2">
      <c r="A2552" s="42"/>
    </row>
    <row r="2553" spans="1:1" x14ac:dyDescent="0.2">
      <c r="A2553" s="42"/>
    </row>
    <row r="2554" spans="1:1" x14ac:dyDescent="0.2">
      <c r="A2554" s="42"/>
    </row>
    <row r="2555" spans="1:1" x14ac:dyDescent="0.2">
      <c r="A2555" s="42"/>
    </row>
    <row r="2556" spans="1:1" x14ac:dyDescent="0.2">
      <c r="A2556" s="42"/>
    </row>
    <row r="2557" spans="1:1" x14ac:dyDescent="0.2">
      <c r="A2557" s="42"/>
    </row>
    <row r="2558" spans="1:1" x14ac:dyDescent="0.2">
      <c r="A2558" s="42"/>
    </row>
    <row r="2559" spans="1:1" x14ac:dyDescent="0.2">
      <c r="A2559" s="42"/>
    </row>
    <row r="2560" spans="1:1" x14ac:dyDescent="0.2">
      <c r="A2560" s="42"/>
    </row>
    <row r="2561" spans="1:1" x14ac:dyDescent="0.2">
      <c r="A2561" s="42"/>
    </row>
    <row r="2562" spans="1:1" x14ac:dyDescent="0.2">
      <c r="A2562" s="42"/>
    </row>
    <row r="2563" spans="1:1" x14ac:dyDescent="0.2">
      <c r="A2563" s="42"/>
    </row>
    <row r="2564" spans="1:1" x14ac:dyDescent="0.2">
      <c r="A2564" s="42"/>
    </row>
    <row r="2565" spans="1:1" x14ac:dyDescent="0.2">
      <c r="A2565" s="42"/>
    </row>
    <row r="2566" spans="1:1" x14ac:dyDescent="0.2">
      <c r="A2566" s="42"/>
    </row>
    <row r="2567" spans="1:1" x14ac:dyDescent="0.2">
      <c r="A2567" s="42"/>
    </row>
    <row r="2568" spans="1:1" x14ac:dyDescent="0.2">
      <c r="A2568" s="42"/>
    </row>
    <row r="2569" spans="1:1" x14ac:dyDescent="0.2">
      <c r="A2569" s="42"/>
    </row>
    <row r="2570" spans="1:1" x14ac:dyDescent="0.2">
      <c r="A2570" s="42"/>
    </row>
    <row r="2571" spans="1:1" x14ac:dyDescent="0.2">
      <c r="A2571" s="42"/>
    </row>
    <row r="2572" spans="1:1" x14ac:dyDescent="0.2">
      <c r="A2572" s="42"/>
    </row>
    <row r="2573" spans="1:1" x14ac:dyDescent="0.2">
      <c r="A2573" s="42"/>
    </row>
    <row r="2574" spans="1:1" x14ac:dyDescent="0.2">
      <c r="A2574" s="42"/>
    </row>
    <row r="2575" spans="1:1" x14ac:dyDescent="0.2">
      <c r="A2575" s="42"/>
    </row>
    <row r="2576" spans="1:1" x14ac:dyDescent="0.2">
      <c r="A2576" s="42"/>
    </row>
    <row r="2577" spans="1:1" x14ac:dyDescent="0.2">
      <c r="A2577" s="42"/>
    </row>
    <row r="2578" spans="1:1" x14ac:dyDescent="0.2">
      <c r="A2578" s="42"/>
    </row>
    <row r="2579" spans="1:1" x14ac:dyDescent="0.2">
      <c r="A2579" s="42"/>
    </row>
    <row r="2580" spans="1:1" x14ac:dyDescent="0.2">
      <c r="A2580" s="42"/>
    </row>
    <row r="2581" spans="1:1" x14ac:dyDescent="0.2">
      <c r="A2581" s="42"/>
    </row>
    <row r="2582" spans="1:1" x14ac:dyDescent="0.2">
      <c r="A2582" s="42"/>
    </row>
    <row r="2583" spans="1:1" x14ac:dyDescent="0.2">
      <c r="A2583" s="42"/>
    </row>
    <row r="2584" spans="1:1" x14ac:dyDescent="0.2">
      <c r="A2584" s="42"/>
    </row>
    <row r="2585" spans="1:1" x14ac:dyDescent="0.2">
      <c r="A2585" s="42"/>
    </row>
    <row r="2586" spans="1:1" x14ac:dyDescent="0.2">
      <c r="A2586" s="42"/>
    </row>
    <row r="2587" spans="1:1" x14ac:dyDescent="0.2">
      <c r="A2587" s="42"/>
    </row>
    <row r="2588" spans="1:1" x14ac:dyDescent="0.2">
      <c r="A2588" s="42"/>
    </row>
    <row r="2589" spans="1:1" x14ac:dyDescent="0.2">
      <c r="A2589" s="42"/>
    </row>
    <row r="2590" spans="1:1" x14ac:dyDescent="0.2">
      <c r="A2590" s="42"/>
    </row>
    <row r="2591" spans="1:1" x14ac:dyDescent="0.2">
      <c r="A2591" s="42"/>
    </row>
    <row r="2592" spans="1:1" x14ac:dyDescent="0.2">
      <c r="A2592" s="42"/>
    </row>
    <row r="2593" spans="1:1" x14ac:dyDescent="0.2">
      <c r="A2593" s="42"/>
    </row>
    <row r="2594" spans="1:1" x14ac:dyDescent="0.2">
      <c r="A2594" s="42"/>
    </row>
    <row r="2595" spans="1:1" x14ac:dyDescent="0.2">
      <c r="A2595" s="42"/>
    </row>
    <row r="2596" spans="1:1" x14ac:dyDescent="0.2">
      <c r="A2596" s="42"/>
    </row>
    <row r="2597" spans="1:1" x14ac:dyDescent="0.2">
      <c r="A2597" s="42"/>
    </row>
    <row r="2598" spans="1:1" x14ac:dyDescent="0.2">
      <c r="A2598" s="42"/>
    </row>
    <row r="2599" spans="1:1" x14ac:dyDescent="0.2">
      <c r="A2599" s="42"/>
    </row>
    <row r="2600" spans="1:1" x14ac:dyDescent="0.2">
      <c r="A2600" s="42"/>
    </row>
    <row r="2601" spans="1:1" x14ac:dyDescent="0.2">
      <c r="A2601" s="42"/>
    </row>
    <row r="2602" spans="1:1" x14ac:dyDescent="0.2">
      <c r="A2602" s="42"/>
    </row>
    <row r="2603" spans="1:1" x14ac:dyDescent="0.2">
      <c r="A2603" s="42"/>
    </row>
    <row r="2604" spans="1:1" x14ac:dyDescent="0.2">
      <c r="A2604" s="42"/>
    </row>
    <row r="2605" spans="1:1" x14ac:dyDescent="0.2">
      <c r="A2605" s="42"/>
    </row>
    <row r="2606" spans="1:1" x14ac:dyDescent="0.2">
      <c r="A2606" s="42"/>
    </row>
    <row r="2607" spans="1:1" x14ac:dyDescent="0.2">
      <c r="A2607" s="42"/>
    </row>
    <row r="2608" spans="1:1" x14ac:dyDescent="0.2">
      <c r="A2608" s="42"/>
    </row>
    <row r="2609" spans="1:1" x14ac:dyDescent="0.2">
      <c r="A2609" s="42"/>
    </row>
    <row r="2610" spans="1:1" x14ac:dyDescent="0.2">
      <c r="A2610" s="42"/>
    </row>
    <row r="2611" spans="1:1" x14ac:dyDescent="0.2">
      <c r="A2611" s="42"/>
    </row>
    <row r="2612" spans="1:1" x14ac:dyDescent="0.2">
      <c r="A2612" s="42"/>
    </row>
    <row r="2613" spans="1:1" x14ac:dyDescent="0.2">
      <c r="A2613" s="42"/>
    </row>
    <row r="2614" spans="1:1" x14ac:dyDescent="0.2">
      <c r="A2614" s="42"/>
    </row>
    <row r="2615" spans="1:1" x14ac:dyDescent="0.2">
      <c r="A2615" s="42"/>
    </row>
    <row r="2616" spans="1:1" x14ac:dyDescent="0.2">
      <c r="A2616" s="42"/>
    </row>
    <row r="2617" spans="1:1" x14ac:dyDescent="0.2">
      <c r="A2617" s="42"/>
    </row>
    <row r="2618" spans="1:1" x14ac:dyDescent="0.2">
      <c r="A2618" s="42"/>
    </row>
    <row r="2619" spans="1:1" x14ac:dyDescent="0.2">
      <c r="A2619" s="42"/>
    </row>
    <row r="2620" spans="1:1" x14ac:dyDescent="0.2">
      <c r="A2620" s="42"/>
    </row>
    <row r="2621" spans="1:1" x14ac:dyDescent="0.2">
      <c r="A2621" s="42"/>
    </row>
    <row r="2622" spans="1:1" x14ac:dyDescent="0.2">
      <c r="A2622" s="42"/>
    </row>
    <row r="2623" spans="1:1" x14ac:dyDescent="0.2">
      <c r="A2623" s="42"/>
    </row>
    <row r="2624" spans="1:1" x14ac:dyDescent="0.2">
      <c r="A2624" s="42"/>
    </row>
    <row r="2625" spans="1:1" x14ac:dyDescent="0.2">
      <c r="A2625" s="42"/>
    </row>
    <row r="2626" spans="1:1" x14ac:dyDescent="0.2">
      <c r="A2626" s="42"/>
    </row>
    <row r="2627" spans="1:1" x14ac:dyDescent="0.2">
      <c r="A2627" s="42"/>
    </row>
    <row r="2628" spans="1:1" x14ac:dyDescent="0.2">
      <c r="A2628" s="42"/>
    </row>
    <row r="2629" spans="1:1" x14ac:dyDescent="0.2">
      <c r="A2629" s="42"/>
    </row>
    <row r="2630" spans="1:1" x14ac:dyDescent="0.2">
      <c r="A2630" s="42"/>
    </row>
    <row r="2631" spans="1:1" x14ac:dyDescent="0.2">
      <c r="A2631" s="42"/>
    </row>
    <row r="2632" spans="1:1" x14ac:dyDescent="0.2">
      <c r="A2632" s="42"/>
    </row>
    <row r="2633" spans="1:1" x14ac:dyDescent="0.2">
      <c r="A2633" s="42"/>
    </row>
    <row r="2634" spans="1:1" x14ac:dyDescent="0.2">
      <c r="A2634" s="42"/>
    </row>
    <row r="2635" spans="1:1" x14ac:dyDescent="0.2">
      <c r="A2635" s="42"/>
    </row>
    <row r="2636" spans="1:1" x14ac:dyDescent="0.2">
      <c r="A2636" s="42"/>
    </row>
    <row r="2637" spans="1:1" x14ac:dyDescent="0.2">
      <c r="A2637" s="42"/>
    </row>
    <row r="2638" spans="1:1" x14ac:dyDescent="0.2">
      <c r="A2638" s="42"/>
    </row>
    <row r="2639" spans="1:1" x14ac:dyDescent="0.2">
      <c r="A2639" s="42"/>
    </row>
    <row r="2640" spans="1:1" x14ac:dyDescent="0.2">
      <c r="A2640" s="42"/>
    </row>
    <row r="2641" spans="1:1" x14ac:dyDescent="0.2">
      <c r="A2641" s="42"/>
    </row>
    <row r="2642" spans="1:1" x14ac:dyDescent="0.2">
      <c r="A2642" s="42"/>
    </row>
    <row r="2643" spans="1:1" x14ac:dyDescent="0.2">
      <c r="A2643" s="42"/>
    </row>
    <row r="2644" spans="1:1" x14ac:dyDescent="0.2">
      <c r="A2644" s="42"/>
    </row>
    <row r="2645" spans="1:1" x14ac:dyDescent="0.2">
      <c r="A2645" s="42"/>
    </row>
    <row r="2646" spans="1:1" x14ac:dyDescent="0.2">
      <c r="A2646" s="42"/>
    </row>
    <row r="2647" spans="1:1" x14ac:dyDescent="0.2">
      <c r="A2647" s="42"/>
    </row>
    <row r="2648" spans="1:1" x14ac:dyDescent="0.2">
      <c r="A2648" s="42"/>
    </row>
    <row r="2649" spans="1:1" x14ac:dyDescent="0.2">
      <c r="A2649" s="42"/>
    </row>
    <row r="2650" spans="1:1" x14ac:dyDescent="0.2">
      <c r="A2650" s="42"/>
    </row>
    <row r="2651" spans="1:1" x14ac:dyDescent="0.2">
      <c r="A2651" s="42"/>
    </row>
    <row r="2652" spans="1:1" x14ac:dyDescent="0.2">
      <c r="A2652" s="42"/>
    </row>
    <row r="2653" spans="1:1" x14ac:dyDescent="0.2">
      <c r="A2653" s="42"/>
    </row>
    <row r="2654" spans="1:1" x14ac:dyDescent="0.2">
      <c r="A2654" s="42"/>
    </row>
    <row r="2655" spans="1:1" x14ac:dyDescent="0.2">
      <c r="A2655" s="42"/>
    </row>
    <row r="2656" spans="1:1" x14ac:dyDescent="0.2">
      <c r="A2656" s="42"/>
    </row>
    <row r="2657" spans="1:1" x14ac:dyDescent="0.2">
      <c r="A2657" s="42"/>
    </row>
    <row r="2658" spans="1:1" x14ac:dyDescent="0.2">
      <c r="A2658" s="42"/>
    </row>
    <row r="2659" spans="1:1" x14ac:dyDescent="0.2">
      <c r="A2659" s="42"/>
    </row>
    <row r="2660" spans="1:1" x14ac:dyDescent="0.2">
      <c r="A2660" s="42"/>
    </row>
    <row r="2661" spans="1:1" x14ac:dyDescent="0.2">
      <c r="A2661" s="42"/>
    </row>
    <row r="2662" spans="1:1" x14ac:dyDescent="0.2">
      <c r="A2662" s="42"/>
    </row>
    <row r="2663" spans="1:1" x14ac:dyDescent="0.2">
      <c r="A2663" s="42"/>
    </row>
    <row r="2664" spans="1:1" x14ac:dyDescent="0.2">
      <c r="A2664" s="42"/>
    </row>
    <row r="2665" spans="1:1" x14ac:dyDescent="0.2">
      <c r="A2665" s="42"/>
    </row>
    <row r="2666" spans="1:1" x14ac:dyDescent="0.2">
      <c r="A2666" s="42"/>
    </row>
    <row r="2667" spans="1:1" x14ac:dyDescent="0.2">
      <c r="A2667" s="42"/>
    </row>
    <row r="2668" spans="1:1" x14ac:dyDescent="0.2">
      <c r="A2668" s="42"/>
    </row>
    <row r="2669" spans="1:1" x14ac:dyDescent="0.2">
      <c r="A2669" s="42"/>
    </row>
    <row r="2670" spans="1:1" x14ac:dyDescent="0.2">
      <c r="A2670" s="42"/>
    </row>
    <row r="2671" spans="1:1" x14ac:dyDescent="0.2">
      <c r="A2671" s="42"/>
    </row>
    <row r="2672" spans="1:1" x14ac:dyDescent="0.2">
      <c r="A2672" s="42"/>
    </row>
    <row r="2673" spans="1:1" x14ac:dyDescent="0.2">
      <c r="A2673" s="42"/>
    </row>
    <row r="2674" spans="1:1" x14ac:dyDescent="0.2">
      <c r="A2674" s="42"/>
    </row>
    <row r="2675" spans="1:1" x14ac:dyDescent="0.2">
      <c r="A2675" s="42"/>
    </row>
    <row r="2676" spans="1:1" x14ac:dyDescent="0.2">
      <c r="A2676" s="42"/>
    </row>
    <row r="2677" spans="1:1" x14ac:dyDescent="0.2">
      <c r="A2677" s="42"/>
    </row>
    <row r="2678" spans="1:1" x14ac:dyDescent="0.2">
      <c r="A2678" s="42"/>
    </row>
    <row r="2679" spans="1:1" x14ac:dyDescent="0.2">
      <c r="A2679" s="42"/>
    </row>
    <row r="2680" spans="1:1" x14ac:dyDescent="0.2">
      <c r="A2680" s="42"/>
    </row>
    <row r="2681" spans="1:1" x14ac:dyDescent="0.2">
      <c r="A2681" s="42"/>
    </row>
    <row r="2682" spans="1:1" x14ac:dyDescent="0.2">
      <c r="A2682" s="42"/>
    </row>
    <row r="2683" spans="1:1" x14ac:dyDescent="0.2">
      <c r="A2683" s="42"/>
    </row>
    <row r="2684" spans="1:1" x14ac:dyDescent="0.2">
      <c r="A2684" s="42"/>
    </row>
    <row r="2685" spans="1:1" x14ac:dyDescent="0.2">
      <c r="A2685" s="42"/>
    </row>
    <row r="2686" spans="1:1" x14ac:dyDescent="0.2">
      <c r="A2686" s="42"/>
    </row>
    <row r="2687" spans="1:1" x14ac:dyDescent="0.2">
      <c r="A2687" s="42"/>
    </row>
    <row r="2688" spans="1:1" x14ac:dyDescent="0.2">
      <c r="A2688" s="42"/>
    </row>
    <row r="2689" spans="1:1" x14ac:dyDescent="0.2">
      <c r="A2689" s="42"/>
    </row>
    <row r="2690" spans="1:1" x14ac:dyDescent="0.2">
      <c r="A2690" s="42"/>
    </row>
    <row r="2691" spans="1:1" x14ac:dyDescent="0.2">
      <c r="A2691" s="42"/>
    </row>
    <row r="2692" spans="1:1" x14ac:dyDescent="0.2">
      <c r="A2692" s="42"/>
    </row>
    <row r="2693" spans="1:1" x14ac:dyDescent="0.2">
      <c r="A2693" s="42"/>
    </row>
    <row r="2694" spans="1:1" x14ac:dyDescent="0.2">
      <c r="A2694" s="42"/>
    </row>
    <row r="2695" spans="1:1" x14ac:dyDescent="0.2">
      <c r="A2695" s="42"/>
    </row>
    <row r="2696" spans="1:1" x14ac:dyDescent="0.2">
      <c r="A2696" s="42"/>
    </row>
    <row r="2697" spans="1:1" x14ac:dyDescent="0.2">
      <c r="A2697" s="42"/>
    </row>
    <row r="2698" spans="1:1" x14ac:dyDescent="0.2">
      <c r="A2698" s="42"/>
    </row>
    <row r="2699" spans="1:1" x14ac:dyDescent="0.2">
      <c r="A2699" s="42"/>
    </row>
    <row r="2700" spans="1:1" x14ac:dyDescent="0.2">
      <c r="A2700" s="42"/>
    </row>
    <row r="2701" spans="1:1" x14ac:dyDescent="0.2">
      <c r="A2701" s="42"/>
    </row>
    <row r="2702" spans="1:1" x14ac:dyDescent="0.2">
      <c r="A2702" s="42"/>
    </row>
    <row r="2703" spans="1:1" x14ac:dyDescent="0.2">
      <c r="A2703" s="42"/>
    </row>
    <row r="2704" spans="1:1" x14ac:dyDescent="0.2">
      <c r="A2704" s="42"/>
    </row>
    <row r="2705" spans="1:1" x14ac:dyDescent="0.2">
      <c r="A2705" s="42"/>
    </row>
    <row r="2706" spans="1:1" x14ac:dyDescent="0.2">
      <c r="A2706" s="42"/>
    </row>
    <row r="2707" spans="1:1" x14ac:dyDescent="0.2">
      <c r="A2707" s="42"/>
    </row>
    <row r="2708" spans="1:1" x14ac:dyDescent="0.2">
      <c r="A2708" s="42"/>
    </row>
    <row r="2709" spans="1:1" x14ac:dyDescent="0.2">
      <c r="A2709" s="42"/>
    </row>
    <row r="2710" spans="1:1" x14ac:dyDescent="0.2">
      <c r="A2710" s="42"/>
    </row>
    <row r="2711" spans="1:1" x14ac:dyDescent="0.2">
      <c r="A2711" s="42"/>
    </row>
    <row r="2712" spans="1:1" x14ac:dyDescent="0.2">
      <c r="A2712" s="42"/>
    </row>
    <row r="2713" spans="1:1" x14ac:dyDescent="0.2">
      <c r="A2713" s="42"/>
    </row>
    <row r="2714" spans="1:1" x14ac:dyDescent="0.2">
      <c r="A2714" s="42"/>
    </row>
    <row r="2715" spans="1:1" x14ac:dyDescent="0.2">
      <c r="A2715" s="42"/>
    </row>
    <row r="2716" spans="1:1" x14ac:dyDescent="0.2">
      <c r="A2716" s="42"/>
    </row>
    <row r="2717" spans="1:1" x14ac:dyDescent="0.2">
      <c r="A2717" s="42"/>
    </row>
    <row r="2718" spans="1:1" x14ac:dyDescent="0.2">
      <c r="A2718" s="42"/>
    </row>
    <row r="2719" spans="1:1" x14ac:dyDescent="0.2">
      <c r="A2719" s="42"/>
    </row>
    <row r="2720" spans="1:1" x14ac:dyDescent="0.2">
      <c r="A2720" s="42"/>
    </row>
    <row r="2721" spans="1:1" x14ac:dyDescent="0.2">
      <c r="A2721" s="42"/>
    </row>
    <row r="2722" spans="1:1" x14ac:dyDescent="0.2">
      <c r="A2722" s="42"/>
    </row>
    <row r="2723" spans="1:1" x14ac:dyDescent="0.2">
      <c r="A2723" s="42"/>
    </row>
    <row r="2724" spans="1:1" x14ac:dyDescent="0.2">
      <c r="A2724" s="42"/>
    </row>
    <row r="2725" spans="1:1" x14ac:dyDescent="0.2">
      <c r="A2725" s="42"/>
    </row>
    <row r="2726" spans="1:1" x14ac:dyDescent="0.2">
      <c r="A2726" s="42"/>
    </row>
    <row r="2727" spans="1:1" x14ac:dyDescent="0.2">
      <c r="A2727" s="42"/>
    </row>
    <row r="2728" spans="1:1" x14ac:dyDescent="0.2">
      <c r="A2728" s="42"/>
    </row>
    <row r="2729" spans="1:1" x14ac:dyDescent="0.2">
      <c r="A2729" s="42"/>
    </row>
    <row r="2730" spans="1:1" x14ac:dyDescent="0.2">
      <c r="A2730" s="42"/>
    </row>
    <row r="2731" spans="1:1" x14ac:dyDescent="0.2">
      <c r="A2731" s="42"/>
    </row>
    <row r="2732" spans="1:1" x14ac:dyDescent="0.2">
      <c r="A2732" s="42"/>
    </row>
    <row r="2733" spans="1:1" x14ac:dyDescent="0.2">
      <c r="A2733" s="42"/>
    </row>
    <row r="2734" spans="1:1" x14ac:dyDescent="0.2">
      <c r="A2734" s="42"/>
    </row>
    <row r="2735" spans="1:1" x14ac:dyDescent="0.2">
      <c r="A2735" s="42"/>
    </row>
    <row r="2736" spans="1:1" x14ac:dyDescent="0.2">
      <c r="A2736" s="42"/>
    </row>
    <row r="2737" spans="1:1" x14ac:dyDescent="0.2">
      <c r="A2737" s="42"/>
    </row>
    <row r="2738" spans="1:1" x14ac:dyDescent="0.2">
      <c r="A2738" s="42"/>
    </row>
    <row r="2739" spans="1:1" x14ac:dyDescent="0.2">
      <c r="A2739" s="42"/>
    </row>
    <row r="2740" spans="1:1" x14ac:dyDescent="0.2">
      <c r="A2740" s="42"/>
    </row>
    <row r="2741" spans="1:1" x14ac:dyDescent="0.2">
      <c r="A2741" s="42"/>
    </row>
    <row r="2742" spans="1:1" x14ac:dyDescent="0.2">
      <c r="A2742" s="42"/>
    </row>
    <row r="2743" spans="1:1" x14ac:dyDescent="0.2">
      <c r="A2743" s="42"/>
    </row>
    <row r="2744" spans="1:1" x14ac:dyDescent="0.2">
      <c r="A2744" s="42"/>
    </row>
    <row r="2745" spans="1:1" x14ac:dyDescent="0.2">
      <c r="A2745" s="42"/>
    </row>
    <row r="2746" spans="1:1" x14ac:dyDescent="0.2">
      <c r="A2746" s="42"/>
    </row>
    <row r="2747" spans="1:1" x14ac:dyDescent="0.2">
      <c r="A2747" s="42"/>
    </row>
    <row r="2748" spans="1:1" x14ac:dyDescent="0.2">
      <c r="A2748" s="42"/>
    </row>
    <row r="2749" spans="1:1" x14ac:dyDescent="0.2">
      <c r="A2749" s="42"/>
    </row>
    <row r="2750" spans="1:1" x14ac:dyDescent="0.2">
      <c r="A2750" s="42"/>
    </row>
    <row r="2751" spans="1:1" x14ac:dyDescent="0.2">
      <c r="A2751" s="42"/>
    </row>
    <row r="2752" spans="1:1" x14ac:dyDescent="0.2">
      <c r="A2752" s="42"/>
    </row>
    <row r="2753" spans="1:1" x14ac:dyDescent="0.2">
      <c r="A2753" s="42"/>
    </row>
    <row r="2754" spans="1:1" x14ac:dyDescent="0.2">
      <c r="A2754" s="42"/>
    </row>
    <row r="2755" spans="1:1" x14ac:dyDescent="0.2">
      <c r="A2755" s="42"/>
    </row>
    <row r="2756" spans="1:1" x14ac:dyDescent="0.2">
      <c r="A2756" s="42"/>
    </row>
    <row r="2757" spans="1:1" x14ac:dyDescent="0.2">
      <c r="A2757" s="42"/>
    </row>
    <row r="2758" spans="1:1" x14ac:dyDescent="0.2">
      <c r="A2758" s="42"/>
    </row>
    <row r="2759" spans="1:1" x14ac:dyDescent="0.2">
      <c r="A2759" s="42"/>
    </row>
    <row r="2760" spans="1:1" x14ac:dyDescent="0.2">
      <c r="A2760" s="42"/>
    </row>
    <row r="2761" spans="1:1" x14ac:dyDescent="0.2">
      <c r="A2761" s="42"/>
    </row>
    <row r="2762" spans="1:1" x14ac:dyDescent="0.2">
      <c r="A2762" s="42"/>
    </row>
    <row r="2763" spans="1:1" x14ac:dyDescent="0.2">
      <c r="A2763" s="42"/>
    </row>
    <row r="2764" spans="1:1" x14ac:dyDescent="0.2">
      <c r="A2764" s="42"/>
    </row>
    <row r="2765" spans="1:1" x14ac:dyDescent="0.2">
      <c r="A2765" s="42"/>
    </row>
    <row r="2766" spans="1:1" x14ac:dyDescent="0.2">
      <c r="A2766" s="42"/>
    </row>
    <row r="2767" spans="1:1" x14ac:dyDescent="0.2">
      <c r="A2767" s="42"/>
    </row>
    <row r="2768" spans="1:1" x14ac:dyDescent="0.2">
      <c r="A2768" s="42"/>
    </row>
    <row r="2769" spans="1:1" x14ac:dyDescent="0.2">
      <c r="A2769" s="42"/>
    </row>
    <row r="2770" spans="1:1" x14ac:dyDescent="0.2">
      <c r="A2770" s="42"/>
    </row>
    <row r="2771" spans="1:1" x14ac:dyDescent="0.2">
      <c r="A2771" s="42"/>
    </row>
    <row r="2772" spans="1:1" x14ac:dyDescent="0.2">
      <c r="A2772" s="42"/>
    </row>
    <row r="2773" spans="1:1" x14ac:dyDescent="0.2">
      <c r="A2773" s="42"/>
    </row>
    <row r="2774" spans="1:1" x14ac:dyDescent="0.2">
      <c r="A2774" s="42"/>
    </row>
    <row r="2775" spans="1:1" x14ac:dyDescent="0.2">
      <c r="A2775" s="42"/>
    </row>
    <row r="2776" spans="1:1" x14ac:dyDescent="0.2">
      <c r="A2776" s="42"/>
    </row>
    <row r="2777" spans="1:1" x14ac:dyDescent="0.2">
      <c r="A2777" s="42"/>
    </row>
    <row r="2778" spans="1:1" x14ac:dyDescent="0.2">
      <c r="A2778" s="42"/>
    </row>
    <row r="2779" spans="1:1" x14ac:dyDescent="0.2">
      <c r="A2779" s="42"/>
    </row>
    <row r="2780" spans="1:1" x14ac:dyDescent="0.2">
      <c r="A2780" s="42"/>
    </row>
    <row r="2781" spans="1:1" x14ac:dyDescent="0.2">
      <c r="A2781" s="42"/>
    </row>
    <row r="2782" spans="1:1" x14ac:dyDescent="0.2">
      <c r="A2782" s="42"/>
    </row>
    <row r="2783" spans="1:1" x14ac:dyDescent="0.2">
      <c r="A2783" s="42"/>
    </row>
    <row r="2784" spans="1:1" x14ac:dyDescent="0.2">
      <c r="A2784" s="42"/>
    </row>
    <row r="2785" spans="1:1" x14ac:dyDescent="0.2">
      <c r="A2785" s="42"/>
    </row>
    <row r="2786" spans="1:1" x14ac:dyDescent="0.2">
      <c r="A2786" s="42"/>
    </row>
    <row r="2787" spans="1:1" x14ac:dyDescent="0.2">
      <c r="A2787" s="42"/>
    </row>
    <row r="2788" spans="1:1" x14ac:dyDescent="0.2">
      <c r="A2788" s="42"/>
    </row>
    <row r="2789" spans="1:1" x14ac:dyDescent="0.2">
      <c r="A2789" s="42"/>
    </row>
    <row r="2790" spans="1:1" x14ac:dyDescent="0.2">
      <c r="A2790" s="42"/>
    </row>
    <row r="2791" spans="1:1" x14ac:dyDescent="0.2">
      <c r="A2791" s="42"/>
    </row>
    <row r="2792" spans="1:1" x14ac:dyDescent="0.2">
      <c r="A2792" s="42"/>
    </row>
    <row r="2793" spans="1:1" x14ac:dyDescent="0.2">
      <c r="A2793" s="42"/>
    </row>
    <row r="2794" spans="1:1" x14ac:dyDescent="0.2">
      <c r="A2794" s="42"/>
    </row>
    <row r="2795" spans="1:1" x14ac:dyDescent="0.2">
      <c r="A2795" s="42"/>
    </row>
    <row r="2796" spans="1:1" x14ac:dyDescent="0.2">
      <c r="A2796" s="42"/>
    </row>
    <row r="2797" spans="1:1" x14ac:dyDescent="0.2">
      <c r="A2797" s="42"/>
    </row>
    <row r="2798" spans="1:1" x14ac:dyDescent="0.2">
      <c r="A2798" s="42"/>
    </row>
    <row r="2799" spans="1:1" x14ac:dyDescent="0.2">
      <c r="A2799" s="42"/>
    </row>
    <row r="2800" spans="1:1" x14ac:dyDescent="0.2">
      <c r="A2800" s="42"/>
    </row>
    <row r="2801" spans="1:1" x14ac:dyDescent="0.2">
      <c r="A2801" s="42"/>
    </row>
    <row r="2802" spans="1:1" x14ac:dyDescent="0.2">
      <c r="A2802" s="42"/>
    </row>
    <row r="2803" spans="1:1" x14ac:dyDescent="0.2">
      <c r="A2803" s="42"/>
    </row>
    <row r="2804" spans="1:1" x14ac:dyDescent="0.2">
      <c r="A2804" s="42"/>
    </row>
    <row r="2805" spans="1:1" x14ac:dyDescent="0.2">
      <c r="A2805" s="42"/>
    </row>
    <row r="2806" spans="1:1" x14ac:dyDescent="0.2">
      <c r="A2806" s="42"/>
    </row>
    <row r="2807" spans="1:1" x14ac:dyDescent="0.2">
      <c r="A2807" s="42"/>
    </row>
    <row r="2808" spans="1:1" x14ac:dyDescent="0.2">
      <c r="A2808" s="42"/>
    </row>
    <row r="2809" spans="1:1" x14ac:dyDescent="0.2">
      <c r="A2809" s="42"/>
    </row>
    <row r="2810" spans="1:1" x14ac:dyDescent="0.2">
      <c r="A2810" s="42"/>
    </row>
    <row r="2811" spans="1:1" x14ac:dyDescent="0.2">
      <c r="A2811" s="42"/>
    </row>
    <row r="2812" spans="1:1" x14ac:dyDescent="0.2">
      <c r="A2812" s="42"/>
    </row>
    <row r="2813" spans="1:1" x14ac:dyDescent="0.2">
      <c r="A2813" s="42"/>
    </row>
    <row r="2814" spans="1:1" x14ac:dyDescent="0.2">
      <c r="A2814" s="42"/>
    </row>
    <row r="2815" spans="1:1" x14ac:dyDescent="0.2">
      <c r="A2815" s="42"/>
    </row>
    <row r="2816" spans="1:1" x14ac:dyDescent="0.2">
      <c r="A2816" s="42"/>
    </row>
    <row r="2817" spans="1:1" x14ac:dyDescent="0.2">
      <c r="A2817" s="42"/>
    </row>
    <row r="2818" spans="1:1" x14ac:dyDescent="0.2">
      <c r="A2818" s="42"/>
    </row>
    <row r="2819" spans="1:1" x14ac:dyDescent="0.2">
      <c r="A2819" s="42"/>
    </row>
    <row r="2820" spans="1:1" x14ac:dyDescent="0.2">
      <c r="A2820" s="42"/>
    </row>
    <row r="2821" spans="1:1" x14ac:dyDescent="0.2">
      <c r="A2821" s="42"/>
    </row>
    <row r="2822" spans="1:1" x14ac:dyDescent="0.2">
      <c r="A2822" s="42"/>
    </row>
    <row r="2823" spans="1:1" x14ac:dyDescent="0.2">
      <c r="A2823" s="42"/>
    </row>
    <row r="2824" spans="1:1" x14ac:dyDescent="0.2">
      <c r="A2824" s="42"/>
    </row>
    <row r="2825" spans="1:1" x14ac:dyDescent="0.2">
      <c r="A2825" s="42"/>
    </row>
    <row r="2826" spans="1:1" x14ac:dyDescent="0.2">
      <c r="A2826" s="42"/>
    </row>
    <row r="2827" spans="1:1" x14ac:dyDescent="0.2">
      <c r="A2827" s="42"/>
    </row>
    <row r="2828" spans="1:1" x14ac:dyDescent="0.2">
      <c r="A2828" s="42"/>
    </row>
    <row r="2829" spans="1:1" x14ac:dyDescent="0.2">
      <c r="A2829" s="42"/>
    </row>
    <row r="2830" spans="1:1" x14ac:dyDescent="0.2">
      <c r="A2830" s="42"/>
    </row>
    <row r="2831" spans="1:1" x14ac:dyDescent="0.2">
      <c r="A2831" s="42"/>
    </row>
    <row r="2832" spans="1:1" x14ac:dyDescent="0.2">
      <c r="A2832" s="42"/>
    </row>
    <row r="2833" spans="1:1" x14ac:dyDescent="0.2">
      <c r="A2833" s="42"/>
    </row>
    <row r="2834" spans="1:1" x14ac:dyDescent="0.2">
      <c r="A2834" s="42"/>
    </row>
    <row r="2835" spans="1:1" x14ac:dyDescent="0.2">
      <c r="A2835" s="42"/>
    </row>
    <row r="2836" spans="1:1" x14ac:dyDescent="0.2">
      <c r="A2836" s="42"/>
    </row>
    <row r="2837" spans="1:1" x14ac:dyDescent="0.2">
      <c r="A2837" s="42"/>
    </row>
    <row r="2838" spans="1:1" x14ac:dyDescent="0.2">
      <c r="A2838" s="42"/>
    </row>
    <row r="2839" spans="1:1" x14ac:dyDescent="0.2">
      <c r="A2839" s="42"/>
    </row>
    <row r="2840" spans="1:1" x14ac:dyDescent="0.2">
      <c r="A2840" s="42"/>
    </row>
    <row r="2841" spans="1:1" x14ac:dyDescent="0.2">
      <c r="A2841" s="42"/>
    </row>
    <row r="2842" spans="1:1" x14ac:dyDescent="0.2">
      <c r="A2842" s="42"/>
    </row>
    <row r="2843" spans="1:1" x14ac:dyDescent="0.2">
      <c r="A2843" s="42"/>
    </row>
    <row r="2844" spans="1:1" x14ac:dyDescent="0.2">
      <c r="A2844" s="42"/>
    </row>
    <row r="2845" spans="1:1" x14ac:dyDescent="0.2">
      <c r="A2845" s="42"/>
    </row>
    <row r="2846" spans="1:1" x14ac:dyDescent="0.2">
      <c r="A2846" s="42"/>
    </row>
    <row r="2847" spans="1:1" x14ac:dyDescent="0.2">
      <c r="A2847" s="42"/>
    </row>
    <row r="2848" spans="1:1" x14ac:dyDescent="0.2">
      <c r="A2848" s="42"/>
    </row>
    <row r="2849" spans="1:1" x14ac:dyDescent="0.2">
      <c r="A2849" s="42"/>
    </row>
    <row r="2850" spans="1:1" x14ac:dyDescent="0.2">
      <c r="A2850" s="42"/>
    </row>
    <row r="2851" spans="1:1" x14ac:dyDescent="0.2">
      <c r="A2851" s="42"/>
    </row>
    <row r="2852" spans="1:1" x14ac:dyDescent="0.2">
      <c r="A2852" s="42"/>
    </row>
    <row r="2853" spans="1:1" x14ac:dyDescent="0.2">
      <c r="A2853" s="42"/>
    </row>
    <row r="2854" spans="1:1" x14ac:dyDescent="0.2">
      <c r="A2854" s="42"/>
    </row>
    <row r="2855" spans="1:1" x14ac:dyDescent="0.2">
      <c r="A2855" s="42"/>
    </row>
    <row r="2856" spans="1:1" x14ac:dyDescent="0.2">
      <c r="A2856" s="42"/>
    </row>
    <row r="2857" spans="1:1" x14ac:dyDescent="0.2">
      <c r="A2857" s="42"/>
    </row>
    <row r="2858" spans="1:1" x14ac:dyDescent="0.2">
      <c r="A2858" s="42"/>
    </row>
    <row r="2859" spans="1:1" x14ac:dyDescent="0.2">
      <c r="A2859" s="42"/>
    </row>
    <row r="2860" spans="1:1" x14ac:dyDescent="0.2">
      <c r="A2860" s="42"/>
    </row>
    <row r="2861" spans="1:1" x14ac:dyDescent="0.2">
      <c r="A2861" s="42"/>
    </row>
    <row r="2862" spans="1:1" x14ac:dyDescent="0.2">
      <c r="A2862" s="42"/>
    </row>
    <row r="2863" spans="1:1" x14ac:dyDescent="0.2">
      <c r="A2863" s="42"/>
    </row>
    <row r="2864" spans="1:1" x14ac:dyDescent="0.2">
      <c r="A2864" s="42"/>
    </row>
    <row r="2865" spans="1:1" x14ac:dyDescent="0.2">
      <c r="A2865" s="42"/>
    </row>
    <row r="2866" spans="1:1" x14ac:dyDescent="0.2">
      <c r="A2866" s="42"/>
    </row>
    <row r="2867" spans="1:1" x14ac:dyDescent="0.2">
      <c r="A2867" s="42"/>
    </row>
    <row r="2868" spans="1:1" x14ac:dyDescent="0.2">
      <c r="A2868" s="42"/>
    </row>
    <row r="2869" spans="1:1" x14ac:dyDescent="0.2">
      <c r="A2869" s="42"/>
    </row>
    <row r="2870" spans="1:1" x14ac:dyDescent="0.2">
      <c r="A2870" s="42"/>
    </row>
    <row r="2871" spans="1:1" x14ac:dyDescent="0.2">
      <c r="A2871" s="42"/>
    </row>
    <row r="2872" spans="1:1" x14ac:dyDescent="0.2">
      <c r="A2872" s="42"/>
    </row>
    <row r="2873" spans="1:1" x14ac:dyDescent="0.2">
      <c r="A2873" s="42"/>
    </row>
    <row r="2874" spans="1:1" x14ac:dyDescent="0.2">
      <c r="A2874" s="42"/>
    </row>
    <row r="2875" spans="1:1" x14ac:dyDescent="0.2">
      <c r="A2875" s="42"/>
    </row>
    <row r="2876" spans="1:1" x14ac:dyDescent="0.2">
      <c r="A2876" s="42"/>
    </row>
    <row r="2877" spans="1:1" x14ac:dyDescent="0.2">
      <c r="A2877" s="42"/>
    </row>
    <row r="2878" spans="1:1" x14ac:dyDescent="0.2">
      <c r="A2878" s="42"/>
    </row>
    <row r="2879" spans="1:1" x14ac:dyDescent="0.2">
      <c r="A2879" s="42"/>
    </row>
    <row r="2880" spans="1:1" x14ac:dyDescent="0.2">
      <c r="A2880" s="42"/>
    </row>
    <row r="2881" spans="1:1" x14ac:dyDescent="0.2">
      <c r="A2881" s="42"/>
    </row>
    <row r="2882" spans="1:1" x14ac:dyDescent="0.2">
      <c r="A2882" s="42"/>
    </row>
    <row r="2883" spans="1:1" x14ac:dyDescent="0.2">
      <c r="A2883" s="42"/>
    </row>
    <row r="2884" spans="1:1" x14ac:dyDescent="0.2">
      <c r="A2884" s="42"/>
    </row>
    <row r="2885" spans="1:1" x14ac:dyDescent="0.2">
      <c r="A2885" s="42"/>
    </row>
    <row r="2886" spans="1:1" x14ac:dyDescent="0.2">
      <c r="A2886" s="42"/>
    </row>
    <row r="2887" spans="1:1" x14ac:dyDescent="0.2">
      <c r="A2887" s="42"/>
    </row>
    <row r="2888" spans="1:1" x14ac:dyDescent="0.2">
      <c r="A2888" s="42"/>
    </row>
    <row r="2889" spans="1:1" x14ac:dyDescent="0.2">
      <c r="A2889" s="42"/>
    </row>
    <row r="2890" spans="1:1" x14ac:dyDescent="0.2">
      <c r="A2890" s="42"/>
    </row>
    <row r="2891" spans="1:1" x14ac:dyDescent="0.2">
      <c r="A2891" s="42"/>
    </row>
    <row r="2892" spans="1:1" x14ac:dyDescent="0.2">
      <c r="A2892" s="42"/>
    </row>
    <row r="2893" spans="1:1" x14ac:dyDescent="0.2">
      <c r="A2893" s="42"/>
    </row>
    <row r="2894" spans="1:1" x14ac:dyDescent="0.2">
      <c r="A2894" s="42"/>
    </row>
    <row r="2895" spans="1:1" x14ac:dyDescent="0.2">
      <c r="A2895" s="42"/>
    </row>
    <row r="2896" spans="1:1" x14ac:dyDescent="0.2">
      <c r="A2896" s="42"/>
    </row>
    <row r="2897" spans="1:1" x14ac:dyDescent="0.2">
      <c r="A2897" s="42"/>
    </row>
    <row r="2898" spans="1:1" x14ac:dyDescent="0.2">
      <c r="A2898" s="42"/>
    </row>
    <row r="2899" spans="1:1" x14ac:dyDescent="0.2">
      <c r="A2899" s="42"/>
    </row>
    <row r="2900" spans="1:1" x14ac:dyDescent="0.2">
      <c r="A2900" s="42"/>
    </row>
    <row r="2901" spans="1:1" x14ac:dyDescent="0.2">
      <c r="A2901" s="42"/>
    </row>
    <row r="2902" spans="1:1" x14ac:dyDescent="0.2">
      <c r="A2902" s="42"/>
    </row>
    <row r="2903" spans="1:1" x14ac:dyDescent="0.2">
      <c r="A2903" s="42"/>
    </row>
    <row r="2904" spans="1:1" x14ac:dyDescent="0.2">
      <c r="A2904" s="42"/>
    </row>
    <row r="2905" spans="1:1" x14ac:dyDescent="0.2">
      <c r="A2905" s="42"/>
    </row>
    <row r="2906" spans="1:1" x14ac:dyDescent="0.2">
      <c r="A2906" s="42"/>
    </row>
    <row r="2907" spans="1:1" x14ac:dyDescent="0.2">
      <c r="A2907" s="42"/>
    </row>
    <row r="2908" spans="1:1" x14ac:dyDescent="0.2">
      <c r="A2908" s="42"/>
    </row>
    <row r="2909" spans="1:1" x14ac:dyDescent="0.2">
      <c r="A2909" s="42"/>
    </row>
    <row r="2910" spans="1:1" x14ac:dyDescent="0.2">
      <c r="A2910" s="42"/>
    </row>
    <row r="2911" spans="1:1" x14ac:dyDescent="0.2">
      <c r="A2911" s="42"/>
    </row>
    <row r="2912" spans="1:1" x14ac:dyDescent="0.2">
      <c r="A2912" s="42"/>
    </row>
    <row r="2913" spans="1:1" x14ac:dyDescent="0.2">
      <c r="A2913" s="42"/>
    </row>
    <row r="2914" spans="1:1" x14ac:dyDescent="0.2">
      <c r="A2914" s="42"/>
    </row>
    <row r="2915" spans="1:1" x14ac:dyDescent="0.2">
      <c r="A2915" s="42"/>
    </row>
    <row r="2916" spans="1:1" x14ac:dyDescent="0.2">
      <c r="A2916" s="42"/>
    </row>
    <row r="2917" spans="1:1" x14ac:dyDescent="0.2">
      <c r="A2917" s="42"/>
    </row>
    <row r="2918" spans="1:1" x14ac:dyDescent="0.2">
      <c r="A2918" s="42"/>
    </row>
    <row r="2919" spans="1:1" x14ac:dyDescent="0.2">
      <c r="A2919" s="42"/>
    </row>
    <row r="2920" spans="1:1" x14ac:dyDescent="0.2">
      <c r="A2920" s="42"/>
    </row>
    <row r="2921" spans="1:1" x14ac:dyDescent="0.2">
      <c r="A2921" s="42"/>
    </row>
    <row r="2922" spans="1:1" x14ac:dyDescent="0.2">
      <c r="A2922" s="42"/>
    </row>
    <row r="2923" spans="1:1" x14ac:dyDescent="0.2">
      <c r="A2923" s="42"/>
    </row>
    <row r="2924" spans="1:1" x14ac:dyDescent="0.2">
      <c r="A2924" s="42"/>
    </row>
    <row r="2925" spans="1:1" x14ac:dyDescent="0.2">
      <c r="A2925" s="42"/>
    </row>
    <row r="2926" spans="1:1" x14ac:dyDescent="0.2">
      <c r="A2926" s="42"/>
    </row>
    <row r="2927" spans="1:1" x14ac:dyDescent="0.2">
      <c r="A2927" s="42"/>
    </row>
    <row r="2928" spans="1:1" x14ac:dyDescent="0.2">
      <c r="A2928" s="42"/>
    </row>
    <row r="2929" spans="1:1" x14ac:dyDescent="0.2">
      <c r="A2929" s="42"/>
    </row>
    <row r="2930" spans="1:1" x14ac:dyDescent="0.2">
      <c r="A2930" s="42"/>
    </row>
    <row r="2931" spans="1:1" x14ac:dyDescent="0.2">
      <c r="A2931" s="42"/>
    </row>
    <row r="2932" spans="1:1" x14ac:dyDescent="0.2">
      <c r="A2932" s="42"/>
    </row>
    <row r="2933" spans="1:1" x14ac:dyDescent="0.2">
      <c r="A2933" s="42"/>
    </row>
    <row r="2934" spans="1:1" x14ac:dyDescent="0.2">
      <c r="A2934" s="42"/>
    </row>
    <row r="2935" spans="1:1" x14ac:dyDescent="0.2">
      <c r="A2935" s="42"/>
    </row>
    <row r="2936" spans="1:1" x14ac:dyDescent="0.2">
      <c r="A2936" s="42"/>
    </row>
    <row r="2937" spans="1:1" x14ac:dyDescent="0.2">
      <c r="A2937" s="42"/>
    </row>
    <row r="2938" spans="1:1" x14ac:dyDescent="0.2">
      <c r="A2938" s="42"/>
    </row>
    <row r="2939" spans="1:1" x14ac:dyDescent="0.2">
      <c r="A2939" s="42"/>
    </row>
    <row r="2940" spans="1:1" x14ac:dyDescent="0.2">
      <c r="A2940" s="42"/>
    </row>
    <row r="2941" spans="1:1" x14ac:dyDescent="0.2">
      <c r="A2941" s="42"/>
    </row>
    <row r="2942" spans="1:1" x14ac:dyDescent="0.2">
      <c r="A2942" s="42"/>
    </row>
    <row r="2943" spans="1:1" x14ac:dyDescent="0.2">
      <c r="A2943" s="42"/>
    </row>
    <row r="2944" spans="1:1" x14ac:dyDescent="0.2">
      <c r="A2944" s="42"/>
    </row>
    <row r="2945" spans="1:1" x14ac:dyDescent="0.2">
      <c r="A2945" s="42"/>
    </row>
    <row r="2946" spans="1:1" x14ac:dyDescent="0.2">
      <c r="A2946" s="42"/>
    </row>
    <row r="2947" spans="1:1" x14ac:dyDescent="0.2">
      <c r="A2947" s="42"/>
    </row>
    <row r="2948" spans="1:1" x14ac:dyDescent="0.2">
      <c r="A2948" s="42"/>
    </row>
    <row r="2949" spans="1:1" x14ac:dyDescent="0.2">
      <c r="A2949" s="42"/>
    </row>
    <row r="2950" spans="1:1" x14ac:dyDescent="0.2">
      <c r="A2950" s="42"/>
    </row>
    <row r="2951" spans="1:1" x14ac:dyDescent="0.2">
      <c r="A2951" s="42"/>
    </row>
    <row r="2952" spans="1:1" x14ac:dyDescent="0.2">
      <c r="A2952" s="42"/>
    </row>
    <row r="2953" spans="1:1" x14ac:dyDescent="0.2">
      <c r="A2953" s="42"/>
    </row>
    <row r="2954" spans="1:1" x14ac:dyDescent="0.2">
      <c r="A2954" s="42"/>
    </row>
    <row r="2955" spans="1:1" x14ac:dyDescent="0.2">
      <c r="A2955" s="42"/>
    </row>
    <row r="2956" spans="1:1" x14ac:dyDescent="0.2">
      <c r="A2956" s="42"/>
    </row>
    <row r="2957" spans="1:1" x14ac:dyDescent="0.2">
      <c r="A2957" s="42"/>
    </row>
    <row r="2958" spans="1:1" x14ac:dyDescent="0.2">
      <c r="A2958" s="42"/>
    </row>
    <row r="2959" spans="1:1" x14ac:dyDescent="0.2">
      <c r="A2959" s="42"/>
    </row>
    <row r="2960" spans="1:1" x14ac:dyDescent="0.2">
      <c r="A2960" s="42"/>
    </row>
    <row r="2961" spans="1:1" x14ac:dyDescent="0.2">
      <c r="A2961" s="42"/>
    </row>
    <row r="2962" spans="1:1" x14ac:dyDescent="0.2">
      <c r="A2962" s="42"/>
    </row>
    <row r="2963" spans="1:1" x14ac:dyDescent="0.2">
      <c r="A2963" s="42"/>
    </row>
    <row r="2964" spans="1:1" x14ac:dyDescent="0.2">
      <c r="A2964" s="42"/>
    </row>
    <row r="2965" spans="1:1" x14ac:dyDescent="0.2">
      <c r="A2965" s="42"/>
    </row>
    <row r="2966" spans="1:1" x14ac:dyDescent="0.2">
      <c r="A2966" s="42"/>
    </row>
    <row r="2967" spans="1:1" x14ac:dyDescent="0.2">
      <c r="A2967" s="42"/>
    </row>
    <row r="2968" spans="1:1" x14ac:dyDescent="0.2">
      <c r="A2968" s="42"/>
    </row>
    <row r="2969" spans="1:1" x14ac:dyDescent="0.2">
      <c r="A2969" s="42"/>
    </row>
    <row r="2970" spans="1:1" x14ac:dyDescent="0.2">
      <c r="A2970" s="42"/>
    </row>
    <row r="2971" spans="1:1" x14ac:dyDescent="0.2">
      <c r="A2971" s="42"/>
    </row>
    <row r="2972" spans="1:1" x14ac:dyDescent="0.2">
      <c r="A2972" s="42"/>
    </row>
    <row r="2973" spans="1:1" x14ac:dyDescent="0.2">
      <c r="A2973" s="42"/>
    </row>
    <row r="2974" spans="1:1" x14ac:dyDescent="0.2">
      <c r="A2974" s="42"/>
    </row>
    <row r="2975" spans="1:1" x14ac:dyDescent="0.2">
      <c r="A2975" s="42"/>
    </row>
    <row r="2976" spans="1:1" x14ac:dyDescent="0.2">
      <c r="A2976" s="42"/>
    </row>
    <row r="2977" spans="1:1" x14ac:dyDescent="0.2">
      <c r="A2977" s="42"/>
    </row>
    <row r="2978" spans="1:1" x14ac:dyDescent="0.2">
      <c r="A2978" s="42"/>
    </row>
    <row r="2979" spans="1:1" x14ac:dyDescent="0.2">
      <c r="A2979" s="42"/>
    </row>
    <row r="2980" spans="1:1" x14ac:dyDescent="0.2">
      <c r="A2980" s="42"/>
    </row>
    <row r="2981" spans="1:1" x14ac:dyDescent="0.2">
      <c r="A2981" s="42"/>
    </row>
    <row r="2982" spans="1:1" x14ac:dyDescent="0.2">
      <c r="A2982" s="42"/>
    </row>
    <row r="2983" spans="1:1" x14ac:dyDescent="0.2">
      <c r="A2983" s="42"/>
    </row>
    <row r="2984" spans="1:1" x14ac:dyDescent="0.2">
      <c r="A2984" s="42"/>
    </row>
    <row r="2985" spans="1:1" x14ac:dyDescent="0.2">
      <c r="A2985" s="42"/>
    </row>
    <row r="2986" spans="1:1" x14ac:dyDescent="0.2">
      <c r="A2986" s="42"/>
    </row>
    <row r="2987" spans="1:1" x14ac:dyDescent="0.2">
      <c r="A2987" s="42"/>
    </row>
    <row r="2988" spans="1:1" x14ac:dyDescent="0.2">
      <c r="A2988" s="42"/>
    </row>
    <row r="2989" spans="1:1" x14ac:dyDescent="0.2">
      <c r="A2989" s="42"/>
    </row>
    <row r="2990" spans="1:1" x14ac:dyDescent="0.2">
      <c r="A2990" s="42"/>
    </row>
    <row r="2991" spans="1:1" x14ac:dyDescent="0.2">
      <c r="A2991" s="42"/>
    </row>
    <row r="2992" spans="1:1" x14ac:dyDescent="0.2">
      <c r="A2992" s="42"/>
    </row>
    <row r="2993" spans="1:1" x14ac:dyDescent="0.2">
      <c r="A2993" s="42"/>
    </row>
    <row r="2994" spans="1:1" x14ac:dyDescent="0.2">
      <c r="A2994" s="42"/>
    </row>
    <row r="2995" spans="1:1" x14ac:dyDescent="0.2">
      <c r="A2995" s="42"/>
    </row>
    <row r="2996" spans="1:1" x14ac:dyDescent="0.2">
      <c r="A2996" s="42"/>
    </row>
    <row r="2997" spans="1:1" x14ac:dyDescent="0.2">
      <c r="A2997" s="42"/>
    </row>
    <row r="2998" spans="1:1" x14ac:dyDescent="0.2">
      <c r="A2998" s="42"/>
    </row>
    <row r="2999" spans="1:1" x14ac:dyDescent="0.2">
      <c r="A2999" s="42"/>
    </row>
    <row r="3000" spans="1:1" x14ac:dyDescent="0.2">
      <c r="A3000" s="42"/>
    </row>
    <row r="3001" spans="1:1" x14ac:dyDescent="0.2">
      <c r="A3001" s="42"/>
    </row>
    <row r="3002" spans="1:1" x14ac:dyDescent="0.2">
      <c r="A3002" s="42"/>
    </row>
    <row r="3003" spans="1:1" x14ac:dyDescent="0.2">
      <c r="A3003" s="42"/>
    </row>
    <row r="3004" spans="1:1" x14ac:dyDescent="0.2">
      <c r="A3004" s="42"/>
    </row>
    <row r="3005" spans="1:1" x14ac:dyDescent="0.2">
      <c r="A3005" s="42"/>
    </row>
    <row r="3006" spans="1:1" x14ac:dyDescent="0.2">
      <c r="A3006" s="42"/>
    </row>
    <row r="3007" spans="1:1" x14ac:dyDescent="0.2">
      <c r="A3007" s="42"/>
    </row>
    <row r="3008" spans="1:1" x14ac:dyDescent="0.2">
      <c r="A3008" s="42"/>
    </row>
    <row r="3009" spans="1:1" x14ac:dyDescent="0.2">
      <c r="A3009" s="42"/>
    </row>
    <row r="3010" spans="1:1" x14ac:dyDescent="0.2">
      <c r="A3010" s="42"/>
    </row>
    <row r="3011" spans="1:1" x14ac:dyDescent="0.2">
      <c r="A3011" s="42"/>
    </row>
    <row r="3012" spans="1:1" x14ac:dyDescent="0.2">
      <c r="A3012" s="42"/>
    </row>
    <row r="3013" spans="1:1" x14ac:dyDescent="0.2">
      <c r="A3013" s="42"/>
    </row>
    <row r="3014" spans="1:1" x14ac:dyDescent="0.2">
      <c r="A3014" s="42"/>
    </row>
    <row r="3015" spans="1:1" x14ac:dyDescent="0.2">
      <c r="A3015" s="42"/>
    </row>
    <row r="3016" spans="1:1" x14ac:dyDescent="0.2">
      <c r="A3016" s="42"/>
    </row>
    <row r="3017" spans="1:1" x14ac:dyDescent="0.2">
      <c r="A3017" s="42"/>
    </row>
    <row r="3018" spans="1:1" x14ac:dyDescent="0.2">
      <c r="A3018" s="42"/>
    </row>
    <row r="3019" spans="1:1" x14ac:dyDescent="0.2">
      <c r="A3019" s="42"/>
    </row>
    <row r="3020" spans="1:1" x14ac:dyDescent="0.2">
      <c r="A3020" s="42"/>
    </row>
    <row r="3021" spans="1:1" x14ac:dyDescent="0.2">
      <c r="A3021" s="42"/>
    </row>
    <row r="3022" spans="1:1" x14ac:dyDescent="0.2">
      <c r="A3022" s="42"/>
    </row>
    <row r="3023" spans="1:1" x14ac:dyDescent="0.2">
      <c r="A3023" s="42"/>
    </row>
    <row r="3024" spans="1:1" x14ac:dyDescent="0.2">
      <c r="A3024" s="42"/>
    </row>
    <row r="3025" spans="1:1" x14ac:dyDescent="0.2">
      <c r="A3025" s="42"/>
    </row>
    <row r="3026" spans="1:1" x14ac:dyDescent="0.2">
      <c r="A3026" s="42"/>
    </row>
    <row r="3027" spans="1:1" x14ac:dyDescent="0.2">
      <c r="A3027" s="42"/>
    </row>
    <row r="3028" spans="1:1" x14ac:dyDescent="0.2">
      <c r="A3028" s="42"/>
    </row>
    <row r="3029" spans="1:1" x14ac:dyDescent="0.2">
      <c r="A3029" s="42"/>
    </row>
    <row r="3030" spans="1:1" x14ac:dyDescent="0.2">
      <c r="A3030" s="42"/>
    </row>
    <row r="3031" spans="1:1" x14ac:dyDescent="0.2">
      <c r="A3031" s="42"/>
    </row>
    <row r="3032" spans="1:1" x14ac:dyDescent="0.2">
      <c r="A3032" s="42"/>
    </row>
    <row r="3033" spans="1:1" x14ac:dyDescent="0.2">
      <c r="A3033" s="42"/>
    </row>
    <row r="3034" spans="1:1" x14ac:dyDescent="0.2">
      <c r="A3034" s="42"/>
    </row>
    <row r="3035" spans="1:1" x14ac:dyDescent="0.2">
      <c r="A3035" s="42"/>
    </row>
    <row r="3036" spans="1:1" x14ac:dyDescent="0.2">
      <c r="A3036" s="42"/>
    </row>
    <row r="3037" spans="1:1" x14ac:dyDescent="0.2">
      <c r="A3037" s="42"/>
    </row>
    <row r="3038" spans="1:1" x14ac:dyDescent="0.2">
      <c r="A3038" s="42"/>
    </row>
    <row r="3039" spans="1:1" x14ac:dyDescent="0.2">
      <c r="A3039" s="42"/>
    </row>
    <row r="3040" spans="1:1" x14ac:dyDescent="0.2">
      <c r="A3040" s="42"/>
    </row>
    <row r="3041" spans="1:1" x14ac:dyDescent="0.2">
      <c r="A3041" s="42"/>
    </row>
    <row r="3042" spans="1:1" x14ac:dyDescent="0.2">
      <c r="A3042" s="42"/>
    </row>
    <row r="3043" spans="1:1" x14ac:dyDescent="0.2">
      <c r="A3043" s="42"/>
    </row>
    <row r="3044" spans="1:1" x14ac:dyDescent="0.2">
      <c r="A3044" s="42"/>
    </row>
    <row r="3045" spans="1:1" x14ac:dyDescent="0.2">
      <c r="A3045" s="42"/>
    </row>
    <row r="3046" spans="1:1" x14ac:dyDescent="0.2">
      <c r="A3046" s="42"/>
    </row>
    <row r="3047" spans="1:1" x14ac:dyDescent="0.2">
      <c r="A3047" s="42"/>
    </row>
    <row r="3048" spans="1:1" x14ac:dyDescent="0.2">
      <c r="A3048" s="42"/>
    </row>
    <row r="3049" spans="1:1" x14ac:dyDescent="0.2">
      <c r="A3049" s="42"/>
    </row>
    <row r="3050" spans="1:1" x14ac:dyDescent="0.2">
      <c r="A3050" s="42"/>
    </row>
    <row r="3051" spans="1:1" x14ac:dyDescent="0.2">
      <c r="A3051" s="42"/>
    </row>
    <row r="3052" spans="1:1" x14ac:dyDescent="0.2">
      <c r="A3052" s="42"/>
    </row>
    <row r="3053" spans="1:1" x14ac:dyDescent="0.2">
      <c r="A3053" s="42"/>
    </row>
    <row r="3054" spans="1:1" x14ac:dyDescent="0.2">
      <c r="A3054" s="42"/>
    </row>
    <row r="3055" spans="1:1" x14ac:dyDescent="0.2">
      <c r="A3055" s="42"/>
    </row>
    <row r="3056" spans="1:1" x14ac:dyDescent="0.2">
      <c r="A3056" s="42"/>
    </row>
    <row r="3057" spans="1:1" x14ac:dyDescent="0.2">
      <c r="A3057" s="42"/>
    </row>
    <row r="3058" spans="1:1" x14ac:dyDescent="0.2">
      <c r="A3058" s="42"/>
    </row>
    <row r="3059" spans="1:1" x14ac:dyDescent="0.2">
      <c r="A3059" s="42"/>
    </row>
    <row r="3060" spans="1:1" x14ac:dyDescent="0.2">
      <c r="A3060" s="42"/>
    </row>
    <row r="3061" spans="1:1" x14ac:dyDescent="0.2">
      <c r="A3061" s="42"/>
    </row>
    <row r="3062" spans="1:1" x14ac:dyDescent="0.2">
      <c r="A3062" s="42"/>
    </row>
    <row r="3063" spans="1:1" x14ac:dyDescent="0.2">
      <c r="A3063" s="42"/>
    </row>
    <row r="3064" spans="1:1" x14ac:dyDescent="0.2">
      <c r="A3064" s="42"/>
    </row>
    <row r="3065" spans="1:1" x14ac:dyDescent="0.2">
      <c r="A3065" s="42"/>
    </row>
    <row r="3066" spans="1:1" x14ac:dyDescent="0.2">
      <c r="A3066" s="42"/>
    </row>
    <row r="3067" spans="1:1" x14ac:dyDescent="0.2">
      <c r="A3067" s="42"/>
    </row>
    <row r="3068" spans="1:1" x14ac:dyDescent="0.2">
      <c r="A3068" s="42"/>
    </row>
    <row r="3069" spans="1:1" x14ac:dyDescent="0.2">
      <c r="A3069" s="42"/>
    </row>
    <row r="3070" spans="1:1" x14ac:dyDescent="0.2">
      <c r="A3070" s="42"/>
    </row>
    <row r="3071" spans="1:1" x14ac:dyDescent="0.2">
      <c r="A3071" s="42"/>
    </row>
    <row r="3072" spans="1:1" x14ac:dyDescent="0.2">
      <c r="A3072" s="42"/>
    </row>
    <row r="3073" spans="1:1" x14ac:dyDescent="0.2">
      <c r="A3073" s="42"/>
    </row>
    <row r="3074" spans="1:1" x14ac:dyDescent="0.2">
      <c r="A3074" s="42"/>
    </row>
    <row r="3075" spans="1:1" x14ac:dyDescent="0.2">
      <c r="A3075" s="42"/>
    </row>
    <row r="3076" spans="1:1" x14ac:dyDescent="0.2">
      <c r="A3076" s="42"/>
    </row>
    <row r="3077" spans="1:1" x14ac:dyDescent="0.2">
      <c r="A3077" s="42"/>
    </row>
    <row r="3078" spans="1:1" x14ac:dyDescent="0.2">
      <c r="A3078" s="42"/>
    </row>
    <row r="3079" spans="1:1" x14ac:dyDescent="0.2">
      <c r="A3079" s="42"/>
    </row>
    <row r="3080" spans="1:1" x14ac:dyDescent="0.2">
      <c r="A3080" s="42"/>
    </row>
    <row r="3081" spans="1:1" x14ac:dyDescent="0.2">
      <c r="A3081" s="42"/>
    </row>
    <row r="3082" spans="1:1" x14ac:dyDescent="0.2">
      <c r="A3082" s="42"/>
    </row>
    <row r="3083" spans="1:1" x14ac:dyDescent="0.2">
      <c r="A3083" s="42"/>
    </row>
    <row r="3084" spans="1:1" x14ac:dyDescent="0.2">
      <c r="A3084" s="42"/>
    </row>
    <row r="3085" spans="1:1" x14ac:dyDescent="0.2">
      <c r="A3085" s="42"/>
    </row>
    <row r="3086" spans="1:1" x14ac:dyDescent="0.2">
      <c r="A3086" s="42"/>
    </row>
    <row r="3087" spans="1:1" x14ac:dyDescent="0.2">
      <c r="A3087" s="42"/>
    </row>
    <row r="3088" spans="1:1" x14ac:dyDescent="0.2">
      <c r="A3088" s="42"/>
    </row>
    <row r="3089" spans="1:1" x14ac:dyDescent="0.2">
      <c r="A3089" s="42"/>
    </row>
    <row r="3090" spans="1:1" x14ac:dyDescent="0.2">
      <c r="A3090" s="42"/>
    </row>
    <row r="3091" spans="1:1" x14ac:dyDescent="0.2">
      <c r="A3091" s="42"/>
    </row>
    <row r="3092" spans="1:1" x14ac:dyDescent="0.2">
      <c r="A3092" s="42"/>
    </row>
    <row r="3093" spans="1:1" x14ac:dyDescent="0.2">
      <c r="A3093" s="42"/>
    </row>
    <row r="3094" spans="1:1" x14ac:dyDescent="0.2">
      <c r="A3094" s="42"/>
    </row>
    <row r="3095" spans="1:1" x14ac:dyDescent="0.2">
      <c r="A3095" s="42"/>
    </row>
    <row r="3096" spans="1:1" x14ac:dyDescent="0.2">
      <c r="A3096" s="42"/>
    </row>
    <row r="3097" spans="1:1" x14ac:dyDescent="0.2">
      <c r="A3097" s="42"/>
    </row>
    <row r="3098" spans="1:1" x14ac:dyDescent="0.2">
      <c r="A3098" s="42"/>
    </row>
    <row r="3099" spans="1:1" x14ac:dyDescent="0.2">
      <c r="A3099" s="42"/>
    </row>
    <row r="3100" spans="1:1" x14ac:dyDescent="0.2">
      <c r="A3100" s="42"/>
    </row>
    <row r="3101" spans="1:1" x14ac:dyDescent="0.2">
      <c r="A3101" s="42"/>
    </row>
    <row r="3102" spans="1:1" x14ac:dyDescent="0.2">
      <c r="A3102" s="42"/>
    </row>
    <row r="3103" spans="1:1" x14ac:dyDescent="0.2">
      <c r="A3103" s="42"/>
    </row>
    <row r="3104" spans="1:1" x14ac:dyDescent="0.2">
      <c r="A3104" s="42"/>
    </row>
    <row r="3105" spans="1:1" x14ac:dyDescent="0.2">
      <c r="A3105" s="42"/>
    </row>
    <row r="3106" spans="1:1" x14ac:dyDescent="0.2">
      <c r="A3106" s="42"/>
    </row>
    <row r="3107" spans="1:1" x14ac:dyDescent="0.2">
      <c r="A3107" s="42"/>
    </row>
    <row r="3108" spans="1:1" x14ac:dyDescent="0.2">
      <c r="A3108" s="42"/>
    </row>
    <row r="3109" spans="1:1" x14ac:dyDescent="0.2">
      <c r="A3109" s="42"/>
    </row>
    <row r="3110" spans="1:1" x14ac:dyDescent="0.2">
      <c r="A3110" s="42"/>
    </row>
    <row r="3111" spans="1:1" x14ac:dyDescent="0.2">
      <c r="A3111" s="42"/>
    </row>
    <row r="3112" spans="1:1" x14ac:dyDescent="0.2">
      <c r="A3112" s="42"/>
    </row>
    <row r="3113" spans="1:1" x14ac:dyDescent="0.2">
      <c r="A3113" s="42"/>
    </row>
    <row r="3114" spans="1:1" x14ac:dyDescent="0.2">
      <c r="A3114" s="42"/>
    </row>
    <row r="3115" spans="1:1" x14ac:dyDescent="0.2">
      <c r="A3115" s="42"/>
    </row>
    <row r="3116" spans="1:1" x14ac:dyDescent="0.2">
      <c r="A3116" s="42"/>
    </row>
    <row r="3117" spans="1:1" x14ac:dyDescent="0.2">
      <c r="A3117" s="42"/>
    </row>
    <row r="3118" spans="1:1" x14ac:dyDescent="0.2">
      <c r="A3118" s="42"/>
    </row>
    <row r="3119" spans="1:1" x14ac:dyDescent="0.2">
      <c r="A3119" s="42"/>
    </row>
    <row r="3120" spans="1:1" x14ac:dyDescent="0.2">
      <c r="A3120" s="42"/>
    </row>
    <row r="3121" spans="1:1" x14ac:dyDescent="0.2">
      <c r="A3121" s="42"/>
    </row>
    <row r="3122" spans="1:1" x14ac:dyDescent="0.2">
      <c r="A3122" s="42"/>
    </row>
    <row r="3123" spans="1:1" x14ac:dyDescent="0.2">
      <c r="A3123" s="42"/>
    </row>
    <row r="3124" spans="1:1" x14ac:dyDescent="0.2">
      <c r="A3124" s="42"/>
    </row>
    <row r="3125" spans="1:1" x14ac:dyDescent="0.2">
      <c r="A3125" s="42"/>
    </row>
    <row r="3126" spans="1:1" x14ac:dyDescent="0.2">
      <c r="A3126" s="42"/>
    </row>
    <row r="3127" spans="1:1" x14ac:dyDescent="0.2">
      <c r="A3127" s="42"/>
    </row>
    <row r="3128" spans="1:1" x14ac:dyDescent="0.2">
      <c r="A3128" s="42"/>
    </row>
    <row r="3129" spans="1:1" x14ac:dyDescent="0.2">
      <c r="A3129" s="42"/>
    </row>
    <row r="3130" spans="1:1" x14ac:dyDescent="0.2">
      <c r="A3130" s="42"/>
    </row>
    <row r="3131" spans="1:1" x14ac:dyDescent="0.2">
      <c r="A3131" s="42"/>
    </row>
    <row r="3132" spans="1:1" x14ac:dyDescent="0.2">
      <c r="A3132" s="42"/>
    </row>
    <row r="3133" spans="1:1" x14ac:dyDescent="0.2">
      <c r="A3133" s="42"/>
    </row>
    <row r="3134" spans="1:1" x14ac:dyDescent="0.2">
      <c r="A3134" s="42"/>
    </row>
    <row r="3135" spans="1:1" x14ac:dyDescent="0.2">
      <c r="A3135" s="42"/>
    </row>
    <row r="3136" spans="1:1" x14ac:dyDescent="0.2">
      <c r="A3136" s="42"/>
    </row>
    <row r="3137" spans="1:1" x14ac:dyDescent="0.2">
      <c r="A3137" s="42"/>
    </row>
    <row r="3138" spans="1:1" x14ac:dyDescent="0.2">
      <c r="A3138" s="42"/>
    </row>
    <row r="3139" spans="1:1" x14ac:dyDescent="0.2">
      <c r="A3139" s="42"/>
    </row>
    <row r="3140" spans="1:1" x14ac:dyDescent="0.2">
      <c r="A3140" s="42"/>
    </row>
    <row r="3141" spans="1:1" x14ac:dyDescent="0.2">
      <c r="A3141" s="42"/>
    </row>
    <row r="3142" spans="1:1" x14ac:dyDescent="0.2">
      <c r="A3142" s="42"/>
    </row>
    <row r="3143" spans="1:1" x14ac:dyDescent="0.2">
      <c r="A3143" s="42"/>
    </row>
    <row r="3144" spans="1:1" x14ac:dyDescent="0.2">
      <c r="A3144" s="42"/>
    </row>
    <row r="3145" spans="1:1" x14ac:dyDescent="0.2">
      <c r="A3145" s="42"/>
    </row>
    <row r="3146" spans="1:1" x14ac:dyDescent="0.2">
      <c r="A3146" s="42"/>
    </row>
    <row r="3147" spans="1:1" x14ac:dyDescent="0.2">
      <c r="A3147" s="42"/>
    </row>
    <row r="3148" spans="1:1" x14ac:dyDescent="0.2">
      <c r="A3148" s="42"/>
    </row>
    <row r="3149" spans="1:1" x14ac:dyDescent="0.2">
      <c r="A3149" s="42"/>
    </row>
    <row r="3150" spans="1:1" x14ac:dyDescent="0.2">
      <c r="A3150" s="42"/>
    </row>
    <row r="3151" spans="1:1" x14ac:dyDescent="0.2">
      <c r="A3151" s="42"/>
    </row>
    <row r="3152" spans="1:1" x14ac:dyDescent="0.2">
      <c r="A3152" s="42"/>
    </row>
    <row r="3153" spans="1:1" x14ac:dyDescent="0.2">
      <c r="A3153" s="42"/>
    </row>
    <row r="3154" spans="1:1" x14ac:dyDescent="0.2">
      <c r="A3154" s="42"/>
    </row>
    <row r="3155" spans="1:1" x14ac:dyDescent="0.2">
      <c r="A3155" s="42"/>
    </row>
    <row r="3156" spans="1:1" x14ac:dyDescent="0.2">
      <c r="A3156" s="42"/>
    </row>
    <row r="3157" spans="1:1" x14ac:dyDescent="0.2">
      <c r="A3157" s="42"/>
    </row>
    <row r="3158" spans="1:1" x14ac:dyDescent="0.2">
      <c r="A3158" s="42"/>
    </row>
    <row r="3159" spans="1:1" x14ac:dyDescent="0.2">
      <c r="A3159" s="42"/>
    </row>
    <row r="3160" spans="1:1" x14ac:dyDescent="0.2">
      <c r="A3160" s="42"/>
    </row>
    <row r="3161" spans="1:1" x14ac:dyDescent="0.2">
      <c r="A3161" s="42"/>
    </row>
    <row r="3162" spans="1:1" x14ac:dyDescent="0.2">
      <c r="A3162" s="42"/>
    </row>
    <row r="3163" spans="1:1" x14ac:dyDescent="0.2">
      <c r="A3163" s="42"/>
    </row>
    <row r="3164" spans="1:1" x14ac:dyDescent="0.2">
      <c r="A3164" s="42"/>
    </row>
    <row r="3165" spans="1:1" x14ac:dyDescent="0.2">
      <c r="A3165" s="42"/>
    </row>
    <row r="3166" spans="1:1" x14ac:dyDescent="0.2">
      <c r="A3166" s="42"/>
    </row>
    <row r="3167" spans="1:1" x14ac:dyDescent="0.2">
      <c r="A3167" s="42"/>
    </row>
    <row r="3168" spans="1:1" x14ac:dyDescent="0.2">
      <c r="A3168" s="42"/>
    </row>
    <row r="3169" spans="1:1" x14ac:dyDescent="0.2">
      <c r="A3169" s="42"/>
    </row>
    <row r="3170" spans="1:1" x14ac:dyDescent="0.2">
      <c r="A3170" s="42"/>
    </row>
    <row r="3171" spans="1:1" x14ac:dyDescent="0.2">
      <c r="A3171" s="42"/>
    </row>
    <row r="3172" spans="1:1" x14ac:dyDescent="0.2">
      <c r="A3172" s="42"/>
    </row>
    <row r="3173" spans="1:1" x14ac:dyDescent="0.2">
      <c r="A3173" s="42"/>
    </row>
    <row r="3174" spans="1:1" x14ac:dyDescent="0.2">
      <c r="A3174" s="42"/>
    </row>
    <row r="3175" spans="1:1" x14ac:dyDescent="0.2">
      <c r="A3175" s="42"/>
    </row>
    <row r="3176" spans="1:1" x14ac:dyDescent="0.2">
      <c r="A3176" s="42"/>
    </row>
    <row r="3177" spans="1:1" x14ac:dyDescent="0.2">
      <c r="A3177" s="42"/>
    </row>
    <row r="3178" spans="1:1" x14ac:dyDescent="0.2">
      <c r="A3178" s="42"/>
    </row>
    <row r="3179" spans="1:1" x14ac:dyDescent="0.2">
      <c r="A3179" s="42"/>
    </row>
    <row r="3180" spans="1:1" x14ac:dyDescent="0.2">
      <c r="A3180" s="42"/>
    </row>
    <row r="3181" spans="1:1" x14ac:dyDescent="0.2">
      <c r="A3181" s="42"/>
    </row>
    <row r="3182" spans="1:1" x14ac:dyDescent="0.2">
      <c r="A3182" s="42"/>
    </row>
    <row r="3183" spans="1:1" x14ac:dyDescent="0.2">
      <c r="A3183" s="42"/>
    </row>
    <row r="3184" spans="1:1" x14ac:dyDescent="0.2">
      <c r="A3184" s="42"/>
    </row>
    <row r="3185" spans="1:1" x14ac:dyDescent="0.2">
      <c r="A3185" s="42"/>
    </row>
    <row r="3186" spans="1:1" x14ac:dyDescent="0.2">
      <c r="A3186" s="42"/>
    </row>
    <row r="3187" spans="1:1" x14ac:dyDescent="0.2">
      <c r="A3187" s="42"/>
    </row>
    <row r="3188" spans="1:1" x14ac:dyDescent="0.2">
      <c r="A3188" s="42"/>
    </row>
    <row r="3189" spans="1:1" x14ac:dyDescent="0.2">
      <c r="A3189" s="42"/>
    </row>
    <row r="3190" spans="1:1" x14ac:dyDescent="0.2">
      <c r="A3190" s="42"/>
    </row>
    <row r="3191" spans="1:1" x14ac:dyDescent="0.2">
      <c r="A3191" s="42"/>
    </row>
    <row r="3192" spans="1:1" x14ac:dyDescent="0.2">
      <c r="A3192" s="42"/>
    </row>
    <row r="3193" spans="1:1" x14ac:dyDescent="0.2">
      <c r="A3193" s="42"/>
    </row>
    <row r="3194" spans="1:1" x14ac:dyDescent="0.2">
      <c r="A3194" s="42"/>
    </row>
    <row r="3195" spans="1:1" x14ac:dyDescent="0.2">
      <c r="A3195" s="42"/>
    </row>
    <row r="3196" spans="1:1" x14ac:dyDescent="0.2">
      <c r="A3196" s="42"/>
    </row>
    <row r="3197" spans="1:1" x14ac:dyDescent="0.2">
      <c r="A3197" s="42"/>
    </row>
    <row r="3198" spans="1:1" x14ac:dyDescent="0.2">
      <c r="A3198" s="42"/>
    </row>
    <row r="3199" spans="1:1" x14ac:dyDescent="0.2">
      <c r="A3199" s="42"/>
    </row>
    <row r="3200" spans="1:1" x14ac:dyDescent="0.2">
      <c r="A3200" s="42"/>
    </row>
    <row r="3201" spans="1:1" x14ac:dyDescent="0.2">
      <c r="A3201" s="42"/>
    </row>
    <row r="3202" spans="1:1" x14ac:dyDescent="0.2">
      <c r="A3202" s="42"/>
    </row>
    <row r="3203" spans="1:1" x14ac:dyDescent="0.2">
      <c r="A3203" s="42"/>
    </row>
    <row r="3204" spans="1:1" x14ac:dyDescent="0.2">
      <c r="A3204" s="42"/>
    </row>
    <row r="3205" spans="1:1" x14ac:dyDescent="0.2">
      <c r="A3205" s="42"/>
    </row>
    <row r="3206" spans="1:1" x14ac:dyDescent="0.2">
      <c r="A3206" s="42"/>
    </row>
    <row r="3207" spans="1:1" x14ac:dyDescent="0.2">
      <c r="A3207" s="42"/>
    </row>
    <row r="3208" spans="1:1" x14ac:dyDescent="0.2">
      <c r="A3208" s="42"/>
    </row>
    <row r="3209" spans="1:1" x14ac:dyDescent="0.2">
      <c r="A3209" s="42"/>
    </row>
    <row r="3210" spans="1:1" x14ac:dyDescent="0.2">
      <c r="A3210" s="42"/>
    </row>
    <row r="3211" spans="1:1" x14ac:dyDescent="0.2">
      <c r="A3211" s="42"/>
    </row>
    <row r="3212" spans="1:1" x14ac:dyDescent="0.2">
      <c r="A3212" s="42"/>
    </row>
    <row r="3213" spans="1:1" x14ac:dyDescent="0.2">
      <c r="A3213" s="42"/>
    </row>
    <row r="3214" spans="1:1" x14ac:dyDescent="0.2">
      <c r="A3214" s="42"/>
    </row>
    <row r="3215" spans="1:1" x14ac:dyDescent="0.2">
      <c r="A3215" s="42"/>
    </row>
    <row r="3216" spans="1:1" x14ac:dyDescent="0.2">
      <c r="A3216" s="42"/>
    </row>
    <row r="3217" spans="1:1" x14ac:dyDescent="0.2">
      <c r="A3217" s="42"/>
    </row>
    <row r="3218" spans="1:1" x14ac:dyDescent="0.2">
      <c r="A3218" s="42"/>
    </row>
    <row r="3219" spans="1:1" x14ac:dyDescent="0.2">
      <c r="A3219" s="42"/>
    </row>
    <row r="3220" spans="1:1" x14ac:dyDescent="0.2">
      <c r="A3220" s="42"/>
    </row>
    <row r="3221" spans="1:1" x14ac:dyDescent="0.2">
      <c r="A3221" s="42"/>
    </row>
    <row r="3222" spans="1:1" x14ac:dyDescent="0.2">
      <c r="A3222" s="42"/>
    </row>
    <row r="3223" spans="1:1" x14ac:dyDescent="0.2">
      <c r="A3223" s="42"/>
    </row>
    <row r="3224" spans="1:1" x14ac:dyDescent="0.2">
      <c r="A3224" s="42"/>
    </row>
    <row r="3225" spans="1:1" x14ac:dyDescent="0.2">
      <c r="A3225" s="42"/>
    </row>
    <row r="3226" spans="1:1" x14ac:dyDescent="0.2">
      <c r="A3226" s="42"/>
    </row>
    <row r="3227" spans="1:1" x14ac:dyDescent="0.2">
      <c r="A3227" s="42"/>
    </row>
    <row r="3228" spans="1:1" x14ac:dyDescent="0.2">
      <c r="A3228" s="42"/>
    </row>
    <row r="3229" spans="1:1" x14ac:dyDescent="0.2">
      <c r="A3229" s="42"/>
    </row>
    <row r="3230" spans="1:1" x14ac:dyDescent="0.2">
      <c r="A3230" s="42"/>
    </row>
    <row r="3231" spans="1:1" x14ac:dyDescent="0.2">
      <c r="A3231" s="42"/>
    </row>
    <row r="3232" spans="1:1" x14ac:dyDescent="0.2">
      <c r="A3232" s="42"/>
    </row>
    <row r="3233" spans="1:1" x14ac:dyDescent="0.2">
      <c r="A3233" s="42"/>
    </row>
    <row r="3234" spans="1:1" x14ac:dyDescent="0.2">
      <c r="A3234" s="42"/>
    </row>
    <row r="3235" spans="1:1" x14ac:dyDescent="0.2">
      <c r="A3235" s="42"/>
    </row>
    <row r="3236" spans="1:1" x14ac:dyDescent="0.2">
      <c r="A3236" s="42"/>
    </row>
    <row r="3237" spans="1:1" x14ac:dyDescent="0.2">
      <c r="A3237" s="42"/>
    </row>
    <row r="3238" spans="1:1" x14ac:dyDescent="0.2">
      <c r="A3238" s="42"/>
    </row>
    <row r="3239" spans="1:1" x14ac:dyDescent="0.2">
      <c r="A3239" s="42"/>
    </row>
    <row r="3240" spans="1:1" x14ac:dyDescent="0.2">
      <c r="A3240" s="42"/>
    </row>
    <row r="3241" spans="1:1" x14ac:dyDescent="0.2">
      <c r="A3241" s="42"/>
    </row>
    <row r="3242" spans="1:1" x14ac:dyDescent="0.2">
      <c r="A3242" s="42"/>
    </row>
    <row r="3243" spans="1:1" x14ac:dyDescent="0.2">
      <c r="A3243" s="42"/>
    </row>
    <row r="3244" spans="1:1" x14ac:dyDescent="0.2">
      <c r="A3244" s="42"/>
    </row>
    <row r="3245" spans="1:1" x14ac:dyDescent="0.2">
      <c r="A3245" s="42"/>
    </row>
    <row r="3246" spans="1:1" x14ac:dyDescent="0.2">
      <c r="A3246" s="42"/>
    </row>
    <row r="3247" spans="1:1" x14ac:dyDescent="0.2">
      <c r="A3247" s="42"/>
    </row>
    <row r="3248" spans="1:1" x14ac:dyDescent="0.2">
      <c r="A3248" s="42"/>
    </row>
    <row r="3249" spans="1:1" x14ac:dyDescent="0.2">
      <c r="A3249" s="42"/>
    </row>
    <row r="3250" spans="1:1" x14ac:dyDescent="0.2">
      <c r="A3250" s="42"/>
    </row>
    <row r="3251" spans="1:1" x14ac:dyDescent="0.2">
      <c r="A3251" s="42"/>
    </row>
    <row r="3252" spans="1:1" x14ac:dyDescent="0.2">
      <c r="A3252" s="42"/>
    </row>
    <row r="3253" spans="1:1" x14ac:dyDescent="0.2">
      <c r="A3253" s="42"/>
    </row>
    <row r="3254" spans="1:1" x14ac:dyDescent="0.2">
      <c r="A3254" s="42"/>
    </row>
    <row r="3255" spans="1:1" x14ac:dyDescent="0.2">
      <c r="A3255" s="42"/>
    </row>
    <row r="3256" spans="1:1" x14ac:dyDescent="0.2">
      <c r="A3256" s="42"/>
    </row>
    <row r="3257" spans="1:1" x14ac:dyDescent="0.2">
      <c r="A3257" s="42"/>
    </row>
    <row r="3258" spans="1:1" x14ac:dyDescent="0.2">
      <c r="A3258" s="42"/>
    </row>
    <row r="3259" spans="1:1" x14ac:dyDescent="0.2">
      <c r="A3259" s="42"/>
    </row>
    <row r="3260" spans="1:1" x14ac:dyDescent="0.2">
      <c r="A3260" s="42"/>
    </row>
    <row r="3261" spans="1:1" x14ac:dyDescent="0.2">
      <c r="A3261" s="42"/>
    </row>
    <row r="3262" spans="1:1" x14ac:dyDescent="0.2">
      <c r="A3262" s="42"/>
    </row>
    <row r="3263" spans="1:1" x14ac:dyDescent="0.2">
      <c r="A3263" s="42"/>
    </row>
    <row r="3264" spans="1:1" x14ac:dyDescent="0.2">
      <c r="A3264" s="42"/>
    </row>
    <row r="3265" spans="1:1" x14ac:dyDescent="0.2">
      <c r="A3265" s="42"/>
    </row>
    <row r="3266" spans="1:1" x14ac:dyDescent="0.2">
      <c r="A3266" s="42"/>
    </row>
    <row r="3267" spans="1:1" x14ac:dyDescent="0.2">
      <c r="A3267" s="42"/>
    </row>
    <row r="3268" spans="1:1" x14ac:dyDescent="0.2">
      <c r="A3268" s="42"/>
    </row>
    <row r="3269" spans="1:1" x14ac:dyDescent="0.2">
      <c r="A3269" s="42"/>
    </row>
    <row r="3270" spans="1:1" x14ac:dyDescent="0.2">
      <c r="A3270" s="42"/>
    </row>
    <row r="3271" spans="1:1" x14ac:dyDescent="0.2">
      <c r="A3271" s="42"/>
    </row>
    <row r="3272" spans="1:1" x14ac:dyDescent="0.2">
      <c r="A3272" s="42"/>
    </row>
    <row r="3273" spans="1:1" x14ac:dyDescent="0.2">
      <c r="A3273" s="42"/>
    </row>
    <row r="3274" spans="1:1" x14ac:dyDescent="0.2">
      <c r="A3274" s="42"/>
    </row>
    <row r="3275" spans="1:1" x14ac:dyDescent="0.2">
      <c r="A3275" s="42"/>
    </row>
    <row r="3276" spans="1:1" x14ac:dyDescent="0.2">
      <c r="A3276" s="42"/>
    </row>
    <row r="3277" spans="1:1" x14ac:dyDescent="0.2">
      <c r="A3277" s="42"/>
    </row>
    <row r="3278" spans="1:1" x14ac:dyDescent="0.2">
      <c r="A3278" s="42"/>
    </row>
    <row r="3279" spans="1:1" x14ac:dyDescent="0.2">
      <c r="A3279" s="42"/>
    </row>
    <row r="3280" spans="1:1" x14ac:dyDescent="0.2">
      <c r="A3280" s="42"/>
    </row>
    <row r="3281" spans="1:1" x14ac:dyDescent="0.2">
      <c r="A3281" s="42"/>
    </row>
    <row r="3282" spans="1:1" x14ac:dyDescent="0.2">
      <c r="A3282" s="42"/>
    </row>
    <row r="3283" spans="1:1" x14ac:dyDescent="0.2">
      <c r="A3283" s="42"/>
    </row>
    <row r="3284" spans="1:1" x14ac:dyDescent="0.2">
      <c r="A3284" s="42"/>
    </row>
    <row r="3285" spans="1:1" x14ac:dyDescent="0.2">
      <c r="A3285" s="42"/>
    </row>
    <row r="3286" spans="1:1" x14ac:dyDescent="0.2">
      <c r="A3286" s="42"/>
    </row>
    <row r="3287" spans="1:1" x14ac:dyDescent="0.2">
      <c r="A3287" s="42"/>
    </row>
    <row r="3288" spans="1:1" x14ac:dyDescent="0.2">
      <c r="A3288" s="42"/>
    </row>
    <row r="3289" spans="1:1" x14ac:dyDescent="0.2">
      <c r="A3289" s="42"/>
    </row>
    <row r="3290" spans="1:1" x14ac:dyDescent="0.2">
      <c r="A3290" s="42"/>
    </row>
    <row r="3291" spans="1:1" x14ac:dyDescent="0.2">
      <c r="A3291" s="42"/>
    </row>
    <row r="3292" spans="1:1" x14ac:dyDescent="0.2">
      <c r="A3292" s="42"/>
    </row>
    <row r="3293" spans="1:1" x14ac:dyDescent="0.2">
      <c r="A3293" s="42"/>
    </row>
    <row r="3294" spans="1:1" x14ac:dyDescent="0.2">
      <c r="A3294" s="42"/>
    </row>
    <row r="3295" spans="1:1" x14ac:dyDescent="0.2">
      <c r="A3295" s="42"/>
    </row>
    <row r="3296" spans="1:1" x14ac:dyDescent="0.2">
      <c r="A3296" s="42"/>
    </row>
    <row r="3297" spans="1:1" x14ac:dyDescent="0.2">
      <c r="A3297" s="42"/>
    </row>
    <row r="3298" spans="1:1" x14ac:dyDescent="0.2">
      <c r="A3298" s="42"/>
    </row>
    <row r="3299" spans="1:1" x14ac:dyDescent="0.2">
      <c r="A3299" s="42"/>
    </row>
    <row r="3300" spans="1:1" x14ac:dyDescent="0.2">
      <c r="A3300" s="42"/>
    </row>
    <row r="3301" spans="1:1" x14ac:dyDescent="0.2">
      <c r="A3301" s="42"/>
    </row>
    <row r="3302" spans="1:1" x14ac:dyDescent="0.2">
      <c r="A3302" s="42"/>
    </row>
    <row r="3303" spans="1:1" x14ac:dyDescent="0.2">
      <c r="A3303" s="42"/>
    </row>
    <row r="3304" spans="1:1" x14ac:dyDescent="0.2">
      <c r="A3304" s="42"/>
    </row>
    <row r="3305" spans="1:1" x14ac:dyDescent="0.2">
      <c r="A3305" s="42"/>
    </row>
    <row r="3306" spans="1:1" x14ac:dyDescent="0.2">
      <c r="A3306" s="42"/>
    </row>
    <row r="3307" spans="1:1" x14ac:dyDescent="0.2">
      <c r="A3307" s="42"/>
    </row>
    <row r="3308" spans="1:1" x14ac:dyDescent="0.2">
      <c r="A3308" s="42"/>
    </row>
    <row r="3309" spans="1:1" x14ac:dyDescent="0.2">
      <c r="A3309" s="42"/>
    </row>
    <row r="3310" spans="1:1" x14ac:dyDescent="0.2">
      <c r="A3310" s="42"/>
    </row>
    <row r="3311" spans="1:1" x14ac:dyDescent="0.2">
      <c r="A3311" s="42"/>
    </row>
    <row r="3312" spans="1:1" x14ac:dyDescent="0.2">
      <c r="A3312" s="42"/>
    </row>
    <row r="3313" spans="1:1" x14ac:dyDescent="0.2">
      <c r="A3313" s="42"/>
    </row>
    <row r="3314" spans="1:1" x14ac:dyDescent="0.2">
      <c r="A3314" s="42"/>
    </row>
    <row r="3315" spans="1:1" x14ac:dyDescent="0.2">
      <c r="A3315" s="42"/>
    </row>
    <row r="3316" spans="1:1" x14ac:dyDescent="0.2">
      <c r="A3316" s="42"/>
    </row>
    <row r="3317" spans="1:1" x14ac:dyDescent="0.2">
      <c r="A3317" s="42"/>
    </row>
    <row r="3318" spans="1:1" x14ac:dyDescent="0.2">
      <c r="A3318" s="42"/>
    </row>
    <row r="3319" spans="1:1" x14ac:dyDescent="0.2">
      <c r="A3319" s="42"/>
    </row>
    <row r="3320" spans="1:1" x14ac:dyDescent="0.2">
      <c r="A3320" s="42"/>
    </row>
    <row r="3321" spans="1:1" x14ac:dyDescent="0.2">
      <c r="A3321" s="42"/>
    </row>
    <row r="3322" spans="1:1" x14ac:dyDescent="0.2">
      <c r="A3322" s="42"/>
    </row>
    <row r="3323" spans="1:1" x14ac:dyDescent="0.2">
      <c r="A3323" s="42"/>
    </row>
    <row r="3324" spans="1:1" x14ac:dyDescent="0.2">
      <c r="A3324" s="42"/>
    </row>
    <row r="3325" spans="1:1" x14ac:dyDescent="0.2">
      <c r="A3325" s="42"/>
    </row>
    <row r="3326" spans="1:1" x14ac:dyDescent="0.2">
      <c r="A3326" s="42"/>
    </row>
    <row r="3327" spans="1:1" x14ac:dyDescent="0.2">
      <c r="A3327" s="42"/>
    </row>
    <row r="3328" spans="1:1" x14ac:dyDescent="0.2">
      <c r="A3328" s="42"/>
    </row>
    <row r="3329" spans="1:1" x14ac:dyDescent="0.2">
      <c r="A3329" s="42"/>
    </row>
    <row r="3330" spans="1:1" x14ac:dyDescent="0.2">
      <c r="A3330" s="42"/>
    </row>
    <row r="3331" spans="1:1" x14ac:dyDescent="0.2">
      <c r="A3331" s="42"/>
    </row>
    <row r="3332" spans="1:1" x14ac:dyDescent="0.2">
      <c r="A3332" s="42"/>
    </row>
    <row r="3333" spans="1:1" x14ac:dyDescent="0.2">
      <c r="A3333" s="42"/>
    </row>
    <row r="3334" spans="1:1" x14ac:dyDescent="0.2">
      <c r="A3334" s="42"/>
    </row>
    <row r="3335" spans="1:1" x14ac:dyDescent="0.2">
      <c r="A3335" s="42"/>
    </row>
    <row r="3336" spans="1:1" x14ac:dyDescent="0.2">
      <c r="A3336" s="42"/>
    </row>
    <row r="3337" spans="1:1" x14ac:dyDescent="0.2">
      <c r="A3337" s="42"/>
    </row>
    <row r="3338" spans="1:1" x14ac:dyDescent="0.2">
      <c r="A3338" s="42"/>
    </row>
    <row r="3339" spans="1:1" x14ac:dyDescent="0.2">
      <c r="A3339" s="42"/>
    </row>
    <row r="3340" spans="1:1" x14ac:dyDescent="0.2">
      <c r="A3340" s="42"/>
    </row>
    <row r="3341" spans="1:1" x14ac:dyDescent="0.2">
      <c r="A3341" s="42"/>
    </row>
    <row r="3342" spans="1:1" x14ac:dyDescent="0.2">
      <c r="A3342" s="42"/>
    </row>
    <row r="3343" spans="1:1" x14ac:dyDescent="0.2">
      <c r="A3343" s="42"/>
    </row>
    <row r="3344" spans="1:1" x14ac:dyDescent="0.2">
      <c r="A3344" s="42"/>
    </row>
    <row r="3345" spans="1:1" x14ac:dyDescent="0.2">
      <c r="A3345" s="42"/>
    </row>
    <row r="3346" spans="1:1" x14ac:dyDescent="0.2">
      <c r="A3346" s="42"/>
    </row>
    <row r="3347" spans="1:1" x14ac:dyDescent="0.2">
      <c r="A3347" s="42"/>
    </row>
    <row r="3348" spans="1:1" x14ac:dyDescent="0.2">
      <c r="A3348" s="42"/>
    </row>
    <row r="3349" spans="1:1" x14ac:dyDescent="0.2">
      <c r="A3349" s="42"/>
    </row>
    <row r="3350" spans="1:1" x14ac:dyDescent="0.2">
      <c r="A3350" s="42"/>
    </row>
    <row r="3351" spans="1:1" x14ac:dyDescent="0.2">
      <c r="A3351" s="42"/>
    </row>
    <row r="3352" spans="1:1" x14ac:dyDescent="0.2">
      <c r="A3352" s="42"/>
    </row>
    <row r="3353" spans="1:1" x14ac:dyDescent="0.2">
      <c r="A3353" s="42"/>
    </row>
    <row r="3354" spans="1:1" x14ac:dyDescent="0.2">
      <c r="A3354" s="42"/>
    </row>
    <row r="3355" spans="1:1" x14ac:dyDescent="0.2">
      <c r="A3355" s="42"/>
    </row>
    <row r="3356" spans="1:1" x14ac:dyDescent="0.2">
      <c r="A3356" s="42"/>
    </row>
    <row r="3357" spans="1:1" x14ac:dyDescent="0.2">
      <c r="A3357" s="42"/>
    </row>
    <row r="3358" spans="1:1" x14ac:dyDescent="0.2">
      <c r="A3358" s="42"/>
    </row>
    <row r="3359" spans="1:1" x14ac:dyDescent="0.2">
      <c r="A3359" s="42"/>
    </row>
    <row r="3360" spans="1:1" x14ac:dyDescent="0.2">
      <c r="A3360" s="42"/>
    </row>
    <row r="3361" spans="1:1" x14ac:dyDescent="0.2">
      <c r="A3361" s="42"/>
    </row>
    <row r="3362" spans="1:1" x14ac:dyDescent="0.2">
      <c r="A3362" s="42"/>
    </row>
    <row r="3363" spans="1:1" x14ac:dyDescent="0.2">
      <c r="A3363" s="42"/>
    </row>
    <row r="3364" spans="1:1" x14ac:dyDescent="0.2">
      <c r="A3364" s="42"/>
    </row>
    <row r="3365" spans="1:1" x14ac:dyDescent="0.2">
      <c r="A3365" s="42"/>
    </row>
    <row r="3366" spans="1:1" x14ac:dyDescent="0.2">
      <c r="A3366" s="42"/>
    </row>
    <row r="3367" spans="1:1" x14ac:dyDescent="0.2">
      <c r="A3367" s="42"/>
    </row>
    <row r="3368" spans="1:1" x14ac:dyDescent="0.2">
      <c r="A3368" s="42"/>
    </row>
    <row r="3369" spans="1:1" x14ac:dyDescent="0.2">
      <c r="A3369" s="42"/>
    </row>
    <row r="3370" spans="1:1" x14ac:dyDescent="0.2">
      <c r="A3370" s="42"/>
    </row>
    <row r="3371" spans="1:1" x14ac:dyDescent="0.2">
      <c r="A3371" s="42"/>
    </row>
    <row r="3372" spans="1:1" x14ac:dyDescent="0.2">
      <c r="A3372" s="42"/>
    </row>
    <row r="3373" spans="1:1" x14ac:dyDescent="0.2">
      <c r="A3373" s="42"/>
    </row>
    <row r="3374" spans="1:1" x14ac:dyDescent="0.2">
      <c r="A3374" s="42"/>
    </row>
    <row r="3375" spans="1:1" x14ac:dyDescent="0.2">
      <c r="A3375" s="42"/>
    </row>
    <row r="3376" spans="1:1" x14ac:dyDescent="0.2">
      <c r="A3376" s="42"/>
    </row>
    <row r="3377" spans="1:1" x14ac:dyDescent="0.2">
      <c r="A3377" s="42"/>
    </row>
    <row r="3378" spans="1:1" x14ac:dyDescent="0.2">
      <c r="A3378" s="42"/>
    </row>
    <row r="3379" spans="1:1" x14ac:dyDescent="0.2">
      <c r="A3379" s="42"/>
    </row>
    <row r="3380" spans="1:1" x14ac:dyDescent="0.2">
      <c r="A3380" s="42"/>
    </row>
    <row r="3381" spans="1:1" x14ac:dyDescent="0.2">
      <c r="A3381" s="42"/>
    </row>
    <row r="3382" spans="1:1" x14ac:dyDescent="0.2">
      <c r="A3382" s="42"/>
    </row>
    <row r="3383" spans="1:1" x14ac:dyDescent="0.2">
      <c r="A3383" s="42"/>
    </row>
    <row r="3384" spans="1:1" x14ac:dyDescent="0.2">
      <c r="A3384" s="42"/>
    </row>
    <row r="3385" spans="1:1" x14ac:dyDescent="0.2">
      <c r="A3385" s="42"/>
    </row>
    <row r="3386" spans="1:1" x14ac:dyDescent="0.2">
      <c r="A3386" s="42"/>
    </row>
    <row r="3387" spans="1:1" x14ac:dyDescent="0.2">
      <c r="A3387" s="42"/>
    </row>
    <row r="3388" spans="1:1" x14ac:dyDescent="0.2">
      <c r="A3388" s="42"/>
    </row>
    <row r="3389" spans="1:1" x14ac:dyDescent="0.2">
      <c r="A3389" s="42"/>
    </row>
    <row r="3390" spans="1:1" x14ac:dyDescent="0.2">
      <c r="A3390" s="42"/>
    </row>
    <row r="3391" spans="1:1" x14ac:dyDescent="0.2">
      <c r="A3391" s="42"/>
    </row>
    <row r="3392" spans="1:1" x14ac:dyDescent="0.2">
      <c r="A3392" s="42"/>
    </row>
    <row r="3393" spans="1:1" x14ac:dyDescent="0.2">
      <c r="A3393" s="42"/>
    </row>
    <row r="3394" spans="1:1" x14ac:dyDescent="0.2">
      <c r="A3394" s="42"/>
    </row>
    <row r="3395" spans="1:1" x14ac:dyDescent="0.2">
      <c r="A3395" s="42"/>
    </row>
    <row r="3396" spans="1:1" x14ac:dyDescent="0.2">
      <c r="A3396" s="42"/>
    </row>
    <row r="3397" spans="1:1" x14ac:dyDescent="0.2">
      <c r="A3397" s="42"/>
    </row>
    <row r="3398" spans="1:1" x14ac:dyDescent="0.2">
      <c r="A3398" s="42"/>
    </row>
    <row r="3399" spans="1:1" x14ac:dyDescent="0.2">
      <c r="A3399" s="42"/>
    </row>
    <row r="3400" spans="1:1" x14ac:dyDescent="0.2">
      <c r="A3400" s="42"/>
    </row>
    <row r="3401" spans="1:1" x14ac:dyDescent="0.2">
      <c r="A3401" s="42"/>
    </row>
    <row r="3402" spans="1:1" x14ac:dyDescent="0.2">
      <c r="A3402" s="42"/>
    </row>
    <row r="3403" spans="1:1" x14ac:dyDescent="0.2">
      <c r="A3403" s="42"/>
    </row>
    <row r="3404" spans="1:1" x14ac:dyDescent="0.2">
      <c r="A3404" s="42"/>
    </row>
    <row r="3405" spans="1:1" x14ac:dyDescent="0.2">
      <c r="A3405" s="42"/>
    </row>
    <row r="3406" spans="1:1" x14ac:dyDescent="0.2">
      <c r="A3406" s="42"/>
    </row>
    <row r="3407" spans="1:1" x14ac:dyDescent="0.2">
      <c r="A3407" s="42"/>
    </row>
    <row r="3408" spans="1:1" x14ac:dyDescent="0.2">
      <c r="A3408" s="42"/>
    </row>
    <row r="3409" spans="1:1" x14ac:dyDescent="0.2">
      <c r="A3409" s="42"/>
    </row>
    <row r="3410" spans="1:1" x14ac:dyDescent="0.2">
      <c r="A3410" s="42"/>
    </row>
    <row r="3411" spans="1:1" x14ac:dyDescent="0.2">
      <c r="A3411" s="42"/>
    </row>
    <row r="3412" spans="1:1" x14ac:dyDescent="0.2">
      <c r="A3412" s="42"/>
    </row>
    <row r="3413" spans="1:1" x14ac:dyDescent="0.2">
      <c r="A3413" s="42"/>
    </row>
    <row r="3414" spans="1:1" x14ac:dyDescent="0.2">
      <c r="A3414" s="42"/>
    </row>
    <row r="3415" spans="1:1" x14ac:dyDescent="0.2">
      <c r="A3415" s="42"/>
    </row>
    <row r="3416" spans="1:1" x14ac:dyDescent="0.2">
      <c r="A3416" s="42"/>
    </row>
    <row r="3417" spans="1:1" x14ac:dyDescent="0.2">
      <c r="A3417" s="42"/>
    </row>
    <row r="3418" spans="1:1" x14ac:dyDescent="0.2">
      <c r="A3418" s="42"/>
    </row>
    <row r="3419" spans="1:1" x14ac:dyDescent="0.2">
      <c r="A3419" s="42"/>
    </row>
    <row r="3420" spans="1:1" x14ac:dyDescent="0.2">
      <c r="A3420" s="42"/>
    </row>
    <row r="3421" spans="1:1" x14ac:dyDescent="0.2">
      <c r="A3421" s="42"/>
    </row>
    <row r="3422" spans="1:1" x14ac:dyDescent="0.2">
      <c r="A3422" s="42"/>
    </row>
    <row r="3423" spans="1:1" x14ac:dyDescent="0.2">
      <c r="A3423" s="42"/>
    </row>
    <row r="3424" spans="1:1" x14ac:dyDescent="0.2">
      <c r="A3424" s="42"/>
    </row>
    <row r="3425" spans="1:1" x14ac:dyDescent="0.2">
      <c r="A3425" s="42"/>
    </row>
    <row r="3426" spans="1:1" x14ac:dyDescent="0.2">
      <c r="A3426" s="42"/>
    </row>
    <row r="3427" spans="1:1" x14ac:dyDescent="0.2">
      <c r="A3427" s="42"/>
    </row>
    <row r="3428" spans="1:1" x14ac:dyDescent="0.2">
      <c r="A3428" s="42"/>
    </row>
    <row r="3429" spans="1:1" x14ac:dyDescent="0.2">
      <c r="A3429" s="42"/>
    </row>
    <row r="3430" spans="1:1" x14ac:dyDescent="0.2">
      <c r="A3430" s="42"/>
    </row>
    <row r="3431" spans="1:1" x14ac:dyDescent="0.2">
      <c r="A3431" s="42"/>
    </row>
    <row r="3432" spans="1:1" x14ac:dyDescent="0.2">
      <c r="A3432" s="42"/>
    </row>
    <row r="3433" spans="1:1" x14ac:dyDescent="0.2">
      <c r="A3433" s="42"/>
    </row>
    <row r="3434" spans="1:1" x14ac:dyDescent="0.2">
      <c r="A3434" s="42"/>
    </row>
    <row r="3435" spans="1:1" x14ac:dyDescent="0.2">
      <c r="A3435" s="42"/>
    </row>
    <row r="3436" spans="1:1" x14ac:dyDescent="0.2">
      <c r="A3436" s="42"/>
    </row>
    <row r="3437" spans="1:1" x14ac:dyDescent="0.2">
      <c r="A3437" s="42"/>
    </row>
    <row r="3438" spans="1:1" x14ac:dyDescent="0.2">
      <c r="A3438" s="42"/>
    </row>
    <row r="3439" spans="1:1" x14ac:dyDescent="0.2">
      <c r="A3439" s="42"/>
    </row>
    <row r="3440" spans="1:1" x14ac:dyDescent="0.2">
      <c r="A3440" s="42"/>
    </row>
    <row r="3441" spans="1:1" x14ac:dyDescent="0.2">
      <c r="A3441" s="42"/>
    </row>
    <row r="3442" spans="1:1" x14ac:dyDescent="0.2">
      <c r="A3442" s="42"/>
    </row>
    <row r="3443" spans="1:1" x14ac:dyDescent="0.2">
      <c r="A3443" s="42"/>
    </row>
    <row r="3444" spans="1:1" x14ac:dyDescent="0.2">
      <c r="A3444" s="42"/>
    </row>
    <row r="3445" spans="1:1" x14ac:dyDescent="0.2">
      <c r="A3445" s="42"/>
    </row>
    <row r="3446" spans="1:1" x14ac:dyDescent="0.2">
      <c r="A3446" s="42"/>
    </row>
    <row r="3447" spans="1:1" x14ac:dyDescent="0.2">
      <c r="A3447" s="42"/>
    </row>
    <row r="3448" spans="1:1" x14ac:dyDescent="0.2">
      <c r="A3448" s="42"/>
    </row>
    <row r="3449" spans="1:1" x14ac:dyDescent="0.2">
      <c r="A3449" s="42"/>
    </row>
    <row r="3450" spans="1:1" x14ac:dyDescent="0.2">
      <c r="A3450" s="42"/>
    </row>
    <row r="3451" spans="1:1" x14ac:dyDescent="0.2">
      <c r="A3451" s="42"/>
    </row>
    <row r="3452" spans="1:1" x14ac:dyDescent="0.2">
      <c r="A3452" s="42"/>
    </row>
    <row r="3453" spans="1:1" x14ac:dyDescent="0.2">
      <c r="A3453" s="42"/>
    </row>
    <row r="3454" spans="1:1" x14ac:dyDescent="0.2">
      <c r="A3454" s="42"/>
    </row>
    <row r="3455" spans="1:1" x14ac:dyDescent="0.2">
      <c r="A3455" s="42"/>
    </row>
    <row r="3456" spans="1:1" x14ac:dyDescent="0.2">
      <c r="A3456" s="42"/>
    </row>
    <row r="3457" spans="1:1" x14ac:dyDescent="0.2">
      <c r="A3457" s="42"/>
    </row>
    <row r="3458" spans="1:1" x14ac:dyDescent="0.2">
      <c r="A3458" s="42"/>
    </row>
    <row r="3459" spans="1:1" x14ac:dyDescent="0.2">
      <c r="A3459" s="42"/>
    </row>
    <row r="3460" spans="1:1" x14ac:dyDescent="0.2">
      <c r="A3460" s="42"/>
    </row>
    <row r="3461" spans="1:1" x14ac:dyDescent="0.2">
      <c r="A3461" s="42"/>
    </row>
    <row r="3462" spans="1:1" x14ac:dyDescent="0.2">
      <c r="A3462" s="42"/>
    </row>
    <row r="3463" spans="1:1" x14ac:dyDescent="0.2">
      <c r="A3463" s="42"/>
    </row>
    <row r="3464" spans="1:1" x14ac:dyDescent="0.2">
      <c r="A3464" s="42"/>
    </row>
    <row r="3465" spans="1:1" x14ac:dyDescent="0.2">
      <c r="A3465" s="42"/>
    </row>
    <row r="3466" spans="1:1" x14ac:dyDescent="0.2">
      <c r="A3466" s="42"/>
    </row>
    <row r="3467" spans="1:1" x14ac:dyDescent="0.2">
      <c r="A3467" s="42"/>
    </row>
    <row r="3468" spans="1:1" x14ac:dyDescent="0.2">
      <c r="A3468" s="42"/>
    </row>
    <row r="3469" spans="1:1" x14ac:dyDescent="0.2">
      <c r="A3469" s="42"/>
    </row>
    <row r="3470" spans="1:1" x14ac:dyDescent="0.2">
      <c r="A3470" s="42"/>
    </row>
    <row r="3471" spans="1:1" x14ac:dyDescent="0.2">
      <c r="A3471" s="42"/>
    </row>
    <row r="3472" spans="1:1" x14ac:dyDescent="0.2">
      <c r="A3472" s="42"/>
    </row>
    <row r="3473" spans="1:1" x14ac:dyDescent="0.2">
      <c r="A3473" s="42"/>
    </row>
    <row r="3474" spans="1:1" x14ac:dyDescent="0.2">
      <c r="A3474" s="42"/>
    </row>
    <row r="3475" spans="1:1" x14ac:dyDescent="0.2">
      <c r="A3475" s="42"/>
    </row>
    <row r="3476" spans="1:1" x14ac:dyDescent="0.2">
      <c r="A3476" s="42"/>
    </row>
    <row r="3477" spans="1:1" x14ac:dyDescent="0.2">
      <c r="A3477" s="42"/>
    </row>
    <row r="3478" spans="1:1" x14ac:dyDescent="0.2">
      <c r="A3478" s="42"/>
    </row>
    <row r="3479" spans="1:1" x14ac:dyDescent="0.2">
      <c r="A3479" s="42"/>
    </row>
    <row r="3480" spans="1:1" x14ac:dyDescent="0.2">
      <c r="A3480" s="42"/>
    </row>
    <row r="3481" spans="1:1" x14ac:dyDescent="0.2">
      <c r="A3481" s="42"/>
    </row>
    <row r="3482" spans="1:1" x14ac:dyDescent="0.2">
      <c r="A3482" s="42"/>
    </row>
    <row r="3483" spans="1:1" x14ac:dyDescent="0.2">
      <c r="A3483" s="42"/>
    </row>
    <row r="3484" spans="1:1" x14ac:dyDescent="0.2">
      <c r="A3484" s="42"/>
    </row>
    <row r="3485" spans="1:1" x14ac:dyDescent="0.2">
      <c r="A3485" s="42"/>
    </row>
    <row r="3486" spans="1:1" x14ac:dyDescent="0.2">
      <c r="A3486" s="42"/>
    </row>
    <row r="3487" spans="1:1" x14ac:dyDescent="0.2">
      <c r="A3487" s="42"/>
    </row>
    <row r="3488" spans="1:1" x14ac:dyDescent="0.2">
      <c r="A3488" s="42"/>
    </row>
    <row r="3489" spans="1:1" x14ac:dyDescent="0.2">
      <c r="A3489" s="42"/>
    </row>
    <row r="3490" spans="1:1" x14ac:dyDescent="0.2">
      <c r="A3490" s="42"/>
    </row>
    <row r="3491" spans="1:1" x14ac:dyDescent="0.2">
      <c r="A3491" s="42"/>
    </row>
    <row r="3492" spans="1:1" x14ac:dyDescent="0.2">
      <c r="A3492" s="42"/>
    </row>
    <row r="3493" spans="1:1" x14ac:dyDescent="0.2">
      <c r="A3493" s="42"/>
    </row>
    <row r="3494" spans="1:1" x14ac:dyDescent="0.2">
      <c r="A3494" s="42"/>
    </row>
    <row r="3495" spans="1:1" x14ac:dyDescent="0.2">
      <c r="A3495" s="42"/>
    </row>
    <row r="3496" spans="1:1" x14ac:dyDescent="0.2">
      <c r="A3496" s="42"/>
    </row>
    <row r="3497" spans="1:1" x14ac:dyDescent="0.2">
      <c r="A3497" s="42"/>
    </row>
    <row r="3498" spans="1:1" x14ac:dyDescent="0.2">
      <c r="A3498" s="42"/>
    </row>
    <row r="3499" spans="1:1" x14ac:dyDescent="0.2">
      <c r="A3499" s="42"/>
    </row>
    <row r="3500" spans="1:1" x14ac:dyDescent="0.2">
      <c r="A3500" s="42"/>
    </row>
    <row r="3501" spans="1:1" x14ac:dyDescent="0.2">
      <c r="A3501" s="42"/>
    </row>
    <row r="3502" spans="1:1" x14ac:dyDescent="0.2">
      <c r="A3502" s="42"/>
    </row>
    <row r="3503" spans="1:1" x14ac:dyDescent="0.2">
      <c r="A3503" s="42"/>
    </row>
    <row r="3504" spans="1:1" x14ac:dyDescent="0.2">
      <c r="A3504" s="42"/>
    </row>
    <row r="3505" spans="1:1" x14ac:dyDescent="0.2">
      <c r="A3505" s="42"/>
    </row>
    <row r="3506" spans="1:1" x14ac:dyDescent="0.2">
      <c r="A3506" s="42"/>
    </row>
    <row r="3507" spans="1:1" x14ac:dyDescent="0.2">
      <c r="A3507" s="42"/>
    </row>
    <row r="3508" spans="1:1" x14ac:dyDescent="0.2">
      <c r="A3508" s="42"/>
    </row>
    <row r="3509" spans="1:1" x14ac:dyDescent="0.2">
      <c r="A3509" s="42"/>
    </row>
    <row r="3510" spans="1:1" x14ac:dyDescent="0.2">
      <c r="A3510" s="42"/>
    </row>
    <row r="3511" spans="1:1" x14ac:dyDescent="0.2">
      <c r="A3511" s="42"/>
    </row>
    <row r="3512" spans="1:1" x14ac:dyDescent="0.2">
      <c r="A3512" s="42"/>
    </row>
    <row r="3513" spans="1:1" x14ac:dyDescent="0.2">
      <c r="A3513" s="42"/>
    </row>
    <row r="3514" spans="1:1" x14ac:dyDescent="0.2">
      <c r="A3514" s="42"/>
    </row>
    <row r="3515" spans="1:1" x14ac:dyDescent="0.2">
      <c r="A3515" s="42"/>
    </row>
    <row r="3516" spans="1:1" x14ac:dyDescent="0.2">
      <c r="A3516" s="42"/>
    </row>
    <row r="3517" spans="1:1" x14ac:dyDescent="0.2">
      <c r="A3517" s="42"/>
    </row>
    <row r="3518" spans="1:1" x14ac:dyDescent="0.2">
      <c r="A3518" s="42"/>
    </row>
    <row r="3519" spans="1:1" x14ac:dyDescent="0.2">
      <c r="A3519" s="42"/>
    </row>
    <row r="3520" spans="1:1" x14ac:dyDescent="0.2">
      <c r="A3520" s="42"/>
    </row>
    <row r="3521" spans="1:1" x14ac:dyDescent="0.2">
      <c r="A3521" s="42"/>
    </row>
    <row r="3522" spans="1:1" x14ac:dyDescent="0.2">
      <c r="A3522" s="42"/>
    </row>
    <row r="3523" spans="1:1" x14ac:dyDescent="0.2">
      <c r="A3523" s="42"/>
    </row>
    <row r="3524" spans="1:1" x14ac:dyDescent="0.2">
      <c r="A3524" s="42"/>
    </row>
    <row r="3525" spans="1:1" x14ac:dyDescent="0.2">
      <c r="A3525" s="42"/>
    </row>
    <row r="3526" spans="1:1" x14ac:dyDescent="0.2">
      <c r="A3526" s="42"/>
    </row>
    <row r="3527" spans="1:1" x14ac:dyDescent="0.2">
      <c r="A3527" s="42"/>
    </row>
    <row r="3528" spans="1:1" x14ac:dyDescent="0.2">
      <c r="A3528" s="42"/>
    </row>
    <row r="3529" spans="1:1" x14ac:dyDescent="0.2">
      <c r="A3529" s="42"/>
    </row>
    <row r="3530" spans="1:1" x14ac:dyDescent="0.2">
      <c r="A3530" s="42"/>
    </row>
    <row r="3531" spans="1:1" x14ac:dyDescent="0.2">
      <c r="A3531" s="42"/>
    </row>
    <row r="3532" spans="1:1" x14ac:dyDescent="0.2">
      <c r="A3532" s="42"/>
    </row>
    <row r="3533" spans="1:1" x14ac:dyDescent="0.2">
      <c r="A3533" s="42"/>
    </row>
    <row r="3534" spans="1:1" x14ac:dyDescent="0.2">
      <c r="A3534" s="42"/>
    </row>
    <row r="3535" spans="1:1" x14ac:dyDescent="0.2">
      <c r="A3535" s="42"/>
    </row>
    <row r="3536" spans="1:1" x14ac:dyDescent="0.2">
      <c r="A3536" s="42"/>
    </row>
    <row r="3537" spans="1:1" x14ac:dyDescent="0.2">
      <c r="A3537" s="42"/>
    </row>
    <row r="3538" spans="1:1" x14ac:dyDescent="0.2">
      <c r="A3538" s="42"/>
    </row>
    <row r="3539" spans="1:1" x14ac:dyDescent="0.2">
      <c r="A3539" s="42"/>
    </row>
    <row r="3540" spans="1:1" x14ac:dyDescent="0.2">
      <c r="A3540" s="42"/>
    </row>
    <row r="3541" spans="1:1" x14ac:dyDescent="0.2">
      <c r="A3541" s="42"/>
    </row>
    <row r="3542" spans="1:1" x14ac:dyDescent="0.2">
      <c r="A3542" s="42"/>
    </row>
    <row r="3543" spans="1:1" x14ac:dyDescent="0.2">
      <c r="A3543" s="42"/>
    </row>
    <row r="3544" spans="1:1" x14ac:dyDescent="0.2">
      <c r="A3544" s="42"/>
    </row>
    <row r="3545" spans="1:1" x14ac:dyDescent="0.2">
      <c r="A3545" s="42"/>
    </row>
    <row r="3546" spans="1:1" x14ac:dyDescent="0.2">
      <c r="A3546" s="42"/>
    </row>
    <row r="3547" spans="1:1" x14ac:dyDescent="0.2">
      <c r="A3547" s="42"/>
    </row>
    <row r="3548" spans="1:1" x14ac:dyDescent="0.2">
      <c r="A3548" s="42"/>
    </row>
    <row r="3549" spans="1:1" x14ac:dyDescent="0.2">
      <c r="A3549" s="42"/>
    </row>
    <row r="3550" spans="1:1" x14ac:dyDescent="0.2">
      <c r="A3550" s="42"/>
    </row>
    <row r="3551" spans="1:1" x14ac:dyDescent="0.2">
      <c r="A3551" s="42"/>
    </row>
    <row r="3552" spans="1:1" x14ac:dyDescent="0.2">
      <c r="A3552" s="42"/>
    </row>
    <row r="3553" spans="1:1" x14ac:dyDescent="0.2">
      <c r="A3553" s="42"/>
    </row>
    <row r="3554" spans="1:1" x14ac:dyDescent="0.2">
      <c r="A3554" s="42"/>
    </row>
    <row r="3555" spans="1:1" x14ac:dyDescent="0.2">
      <c r="A3555" s="42"/>
    </row>
    <row r="3556" spans="1:1" x14ac:dyDescent="0.2">
      <c r="A3556" s="42"/>
    </row>
    <row r="3557" spans="1:1" x14ac:dyDescent="0.2">
      <c r="A3557" s="42"/>
    </row>
    <row r="3558" spans="1:1" x14ac:dyDescent="0.2">
      <c r="A3558" s="42"/>
    </row>
    <row r="3559" spans="1:1" x14ac:dyDescent="0.2">
      <c r="A3559" s="42"/>
    </row>
    <row r="3560" spans="1:1" x14ac:dyDescent="0.2">
      <c r="A3560" s="42"/>
    </row>
    <row r="3561" spans="1:1" x14ac:dyDescent="0.2">
      <c r="A3561" s="42"/>
    </row>
    <row r="3562" spans="1:1" x14ac:dyDescent="0.2">
      <c r="A3562" s="42"/>
    </row>
    <row r="3563" spans="1:1" x14ac:dyDescent="0.2">
      <c r="A3563" s="42"/>
    </row>
    <row r="3564" spans="1:1" x14ac:dyDescent="0.2">
      <c r="A3564" s="42"/>
    </row>
    <row r="3565" spans="1:1" x14ac:dyDescent="0.2">
      <c r="A3565" s="42"/>
    </row>
    <row r="3566" spans="1:1" x14ac:dyDescent="0.2">
      <c r="A3566" s="42"/>
    </row>
    <row r="3567" spans="1:1" x14ac:dyDescent="0.2">
      <c r="A3567" s="42"/>
    </row>
    <row r="3568" spans="1:1" x14ac:dyDescent="0.2">
      <c r="A3568" s="42"/>
    </row>
    <row r="3569" spans="1:1" x14ac:dyDescent="0.2">
      <c r="A3569" s="42"/>
    </row>
    <row r="3570" spans="1:1" x14ac:dyDescent="0.2">
      <c r="A3570" s="42"/>
    </row>
    <row r="3571" spans="1:1" x14ac:dyDescent="0.2">
      <c r="A3571" s="42"/>
    </row>
    <row r="3572" spans="1:1" x14ac:dyDescent="0.2">
      <c r="A3572" s="42"/>
    </row>
    <row r="3573" spans="1:1" x14ac:dyDescent="0.2">
      <c r="A3573" s="42"/>
    </row>
    <row r="3574" spans="1:1" x14ac:dyDescent="0.2">
      <c r="A3574" s="42"/>
    </row>
    <row r="3575" spans="1:1" x14ac:dyDescent="0.2">
      <c r="A3575" s="42"/>
    </row>
    <row r="3576" spans="1:1" x14ac:dyDescent="0.2">
      <c r="A3576" s="42"/>
    </row>
    <row r="3577" spans="1:1" x14ac:dyDescent="0.2">
      <c r="A3577" s="42"/>
    </row>
    <row r="3578" spans="1:1" x14ac:dyDescent="0.2">
      <c r="A3578" s="42"/>
    </row>
    <row r="3579" spans="1:1" x14ac:dyDescent="0.2">
      <c r="A3579" s="42"/>
    </row>
    <row r="3580" spans="1:1" x14ac:dyDescent="0.2">
      <c r="A3580" s="42"/>
    </row>
    <row r="3581" spans="1:1" x14ac:dyDescent="0.2">
      <c r="A3581" s="42"/>
    </row>
    <row r="3582" spans="1:1" x14ac:dyDescent="0.2">
      <c r="A3582" s="42"/>
    </row>
    <row r="3583" spans="1:1" x14ac:dyDescent="0.2">
      <c r="A3583" s="42"/>
    </row>
    <row r="3584" spans="1:1" x14ac:dyDescent="0.2">
      <c r="A3584" s="42"/>
    </row>
    <row r="3585" spans="1:1" x14ac:dyDescent="0.2">
      <c r="A3585" s="42"/>
    </row>
    <row r="3586" spans="1:1" x14ac:dyDescent="0.2">
      <c r="A3586" s="42"/>
    </row>
    <row r="3587" spans="1:1" x14ac:dyDescent="0.2">
      <c r="A3587" s="42"/>
    </row>
    <row r="3588" spans="1:1" x14ac:dyDescent="0.2">
      <c r="A3588" s="42"/>
    </row>
    <row r="3589" spans="1:1" x14ac:dyDescent="0.2">
      <c r="A3589" s="42"/>
    </row>
    <row r="3590" spans="1:1" x14ac:dyDescent="0.2">
      <c r="A3590" s="42"/>
    </row>
    <row r="3591" spans="1:1" x14ac:dyDescent="0.2">
      <c r="A3591" s="42"/>
    </row>
    <row r="3592" spans="1:1" x14ac:dyDescent="0.2">
      <c r="A3592" s="42"/>
    </row>
    <row r="3593" spans="1:1" x14ac:dyDescent="0.2">
      <c r="A3593" s="42"/>
    </row>
    <row r="3594" spans="1:1" x14ac:dyDescent="0.2">
      <c r="A3594" s="42"/>
    </row>
    <row r="3595" spans="1:1" x14ac:dyDescent="0.2">
      <c r="A3595" s="42"/>
    </row>
    <row r="3596" spans="1:1" x14ac:dyDescent="0.2">
      <c r="A3596" s="42"/>
    </row>
    <row r="3597" spans="1:1" x14ac:dyDescent="0.2">
      <c r="A3597" s="42"/>
    </row>
    <row r="3598" spans="1:1" x14ac:dyDescent="0.2">
      <c r="A3598" s="42"/>
    </row>
    <row r="3599" spans="1:1" x14ac:dyDescent="0.2">
      <c r="A3599" s="42"/>
    </row>
    <row r="3600" spans="1:1" x14ac:dyDescent="0.2">
      <c r="A3600" s="42"/>
    </row>
    <row r="3601" spans="1:1" x14ac:dyDescent="0.2">
      <c r="A3601" s="42"/>
    </row>
    <row r="3602" spans="1:1" x14ac:dyDescent="0.2">
      <c r="A3602" s="42"/>
    </row>
    <row r="3603" spans="1:1" x14ac:dyDescent="0.2">
      <c r="A3603" s="42"/>
    </row>
    <row r="3604" spans="1:1" x14ac:dyDescent="0.2">
      <c r="A3604" s="42"/>
    </row>
    <row r="3605" spans="1:1" x14ac:dyDescent="0.2">
      <c r="A3605" s="42"/>
    </row>
    <row r="3606" spans="1:1" x14ac:dyDescent="0.2">
      <c r="A3606" s="42"/>
    </row>
    <row r="3607" spans="1:1" x14ac:dyDescent="0.2">
      <c r="A3607" s="42"/>
    </row>
    <row r="3608" spans="1:1" x14ac:dyDescent="0.2">
      <c r="A3608" s="42"/>
    </row>
    <row r="3609" spans="1:1" x14ac:dyDescent="0.2">
      <c r="A3609" s="42"/>
    </row>
    <row r="3610" spans="1:1" x14ac:dyDescent="0.2">
      <c r="A3610" s="42"/>
    </row>
    <row r="3611" spans="1:1" x14ac:dyDescent="0.2">
      <c r="A3611" s="42"/>
    </row>
    <row r="3612" spans="1:1" x14ac:dyDescent="0.2">
      <c r="A3612" s="42"/>
    </row>
    <row r="3613" spans="1:1" x14ac:dyDescent="0.2">
      <c r="A3613" s="42"/>
    </row>
    <row r="3614" spans="1:1" x14ac:dyDescent="0.2">
      <c r="A3614" s="42"/>
    </row>
    <row r="3615" spans="1:1" x14ac:dyDescent="0.2">
      <c r="A3615" s="42"/>
    </row>
    <row r="3616" spans="1:1" x14ac:dyDescent="0.2">
      <c r="A3616" s="42"/>
    </row>
    <row r="3617" spans="1:1" x14ac:dyDescent="0.2">
      <c r="A3617" s="42"/>
    </row>
    <row r="3618" spans="1:1" x14ac:dyDescent="0.2">
      <c r="A3618" s="42"/>
    </row>
    <row r="3619" spans="1:1" x14ac:dyDescent="0.2">
      <c r="A3619" s="42"/>
    </row>
    <row r="3620" spans="1:1" x14ac:dyDescent="0.2">
      <c r="A3620" s="42"/>
    </row>
    <row r="3621" spans="1:1" x14ac:dyDescent="0.2">
      <c r="A3621" s="42"/>
    </row>
    <row r="3622" spans="1:1" x14ac:dyDescent="0.2">
      <c r="A3622" s="42"/>
    </row>
    <row r="3623" spans="1:1" x14ac:dyDescent="0.2">
      <c r="A3623" s="42"/>
    </row>
    <row r="3624" spans="1:1" x14ac:dyDescent="0.2">
      <c r="A3624" s="42"/>
    </row>
    <row r="3625" spans="1:1" x14ac:dyDescent="0.2">
      <c r="A3625" s="42"/>
    </row>
    <row r="3626" spans="1:1" x14ac:dyDescent="0.2">
      <c r="A3626" s="42"/>
    </row>
    <row r="3627" spans="1:1" x14ac:dyDescent="0.2">
      <c r="A3627" s="42"/>
    </row>
    <row r="3628" spans="1:1" x14ac:dyDescent="0.2">
      <c r="A3628" s="42"/>
    </row>
    <row r="3629" spans="1:1" x14ac:dyDescent="0.2">
      <c r="A3629" s="42"/>
    </row>
    <row r="3630" spans="1:1" x14ac:dyDescent="0.2">
      <c r="A3630" s="42"/>
    </row>
    <row r="3631" spans="1:1" x14ac:dyDescent="0.2">
      <c r="A3631" s="42"/>
    </row>
    <row r="3632" spans="1:1" x14ac:dyDescent="0.2">
      <c r="A3632" s="42"/>
    </row>
    <row r="3633" spans="1:1" x14ac:dyDescent="0.2">
      <c r="A3633" s="42"/>
    </row>
    <row r="3634" spans="1:1" x14ac:dyDescent="0.2">
      <c r="A3634" s="42"/>
    </row>
    <row r="3635" spans="1:1" x14ac:dyDescent="0.2">
      <c r="A3635" s="42"/>
    </row>
    <row r="3636" spans="1:1" x14ac:dyDescent="0.2">
      <c r="A3636" s="42"/>
    </row>
    <row r="3637" spans="1:1" x14ac:dyDescent="0.2">
      <c r="A3637" s="42"/>
    </row>
    <row r="3638" spans="1:1" x14ac:dyDescent="0.2">
      <c r="A3638" s="42"/>
    </row>
    <row r="3639" spans="1:1" x14ac:dyDescent="0.2">
      <c r="A3639" s="42"/>
    </row>
    <row r="3640" spans="1:1" x14ac:dyDescent="0.2">
      <c r="A3640" s="42"/>
    </row>
    <row r="3641" spans="1:1" x14ac:dyDescent="0.2">
      <c r="A3641" s="42"/>
    </row>
    <row r="3642" spans="1:1" x14ac:dyDescent="0.2">
      <c r="A3642" s="42"/>
    </row>
    <row r="3643" spans="1:1" x14ac:dyDescent="0.2">
      <c r="A3643" s="42"/>
    </row>
    <row r="3644" spans="1:1" x14ac:dyDescent="0.2">
      <c r="A3644" s="42"/>
    </row>
    <row r="3645" spans="1:1" x14ac:dyDescent="0.2">
      <c r="A3645" s="42"/>
    </row>
    <row r="3646" spans="1:1" x14ac:dyDescent="0.2">
      <c r="A3646" s="42"/>
    </row>
    <row r="3647" spans="1:1" x14ac:dyDescent="0.2">
      <c r="A3647" s="42"/>
    </row>
    <row r="3648" spans="1:1" x14ac:dyDescent="0.2">
      <c r="A3648" s="42"/>
    </row>
    <row r="3649" spans="1:1" x14ac:dyDescent="0.2">
      <c r="A3649" s="42"/>
    </row>
    <row r="3650" spans="1:1" x14ac:dyDescent="0.2">
      <c r="A3650" s="42"/>
    </row>
    <row r="3651" spans="1:1" x14ac:dyDescent="0.2">
      <c r="A3651" s="42"/>
    </row>
    <row r="3652" spans="1:1" x14ac:dyDescent="0.2">
      <c r="A3652" s="42"/>
    </row>
    <row r="3653" spans="1:1" x14ac:dyDescent="0.2">
      <c r="A3653" s="42"/>
    </row>
    <row r="3654" spans="1:1" x14ac:dyDescent="0.2">
      <c r="A3654" s="42"/>
    </row>
    <row r="3655" spans="1:1" x14ac:dyDescent="0.2">
      <c r="A3655" s="42"/>
    </row>
    <row r="3656" spans="1:1" x14ac:dyDescent="0.2">
      <c r="A3656" s="42"/>
    </row>
    <row r="3657" spans="1:1" x14ac:dyDescent="0.2">
      <c r="A3657" s="42"/>
    </row>
    <row r="3658" spans="1:1" x14ac:dyDescent="0.2">
      <c r="A3658" s="42"/>
    </row>
    <row r="3659" spans="1:1" x14ac:dyDescent="0.2">
      <c r="A3659" s="42"/>
    </row>
    <row r="3660" spans="1:1" x14ac:dyDescent="0.2">
      <c r="A3660" s="42"/>
    </row>
    <row r="3661" spans="1:1" x14ac:dyDescent="0.2">
      <c r="A3661" s="42"/>
    </row>
    <row r="3662" spans="1:1" x14ac:dyDescent="0.2">
      <c r="A3662" s="42"/>
    </row>
    <row r="3663" spans="1:1" x14ac:dyDescent="0.2">
      <c r="A3663" s="42"/>
    </row>
    <row r="3664" spans="1:1" x14ac:dyDescent="0.2">
      <c r="A3664" s="42"/>
    </row>
    <row r="3665" spans="1:1" x14ac:dyDescent="0.2">
      <c r="A3665" s="42"/>
    </row>
    <row r="3666" spans="1:1" x14ac:dyDescent="0.2">
      <c r="A3666" s="42"/>
    </row>
    <row r="3667" spans="1:1" x14ac:dyDescent="0.2">
      <c r="A3667" s="42"/>
    </row>
    <row r="3668" spans="1:1" x14ac:dyDescent="0.2">
      <c r="A3668" s="42"/>
    </row>
    <row r="3669" spans="1:1" x14ac:dyDescent="0.2">
      <c r="A3669" s="42"/>
    </row>
    <row r="3670" spans="1:1" x14ac:dyDescent="0.2">
      <c r="A3670" s="42"/>
    </row>
    <row r="3671" spans="1:1" x14ac:dyDescent="0.2">
      <c r="A3671" s="42"/>
    </row>
    <row r="3672" spans="1:1" x14ac:dyDescent="0.2">
      <c r="A3672" s="42"/>
    </row>
    <row r="3673" spans="1:1" x14ac:dyDescent="0.2">
      <c r="A3673" s="42"/>
    </row>
    <row r="3674" spans="1:1" x14ac:dyDescent="0.2">
      <c r="A3674" s="42"/>
    </row>
    <row r="3675" spans="1:1" x14ac:dyDescent="0.2">
      <c r="A3675" s="42"/>
    </row>
    <row r="3676" spans="1:1" x14ac:dyDescent="0.2">
      <c r="A3676" s="42"/>
    </row>
    <row r="3677" spans="1:1" x14ac:dyDescent="0.2">
      <c r="A3677" s="42"/>
    </row>
    <row r="3678" spans="1:1" x14ac:dyDescent="0.2">
      <c r="A3678" s="42"/>
    </row>
    <row r="3679" spans="1:1" x14ac:dyDescent="0.2">
      <c r="A3679" s="42"/>
    </row>
    <row r="3680" spans="1:1" x14ac:dyDescent="0.2">
      <c r="A3680" s="42"/>
    </row>
    <row r="3681" spans="1:1" x14ac:dyDescent="0.2">
      <c r="A3681" s="42"/>
    </row>
    <row r="3682" spans="1:1" x14ac:dyDescent="0.2">
      <c r="A3682" s="42"/>
    </row>
    <row r="3683" spans="1:1" x14ac:dyDescent="0.2">
      <c r="A3683" s="42"/>
    </row>
    <row r="3684" spans="1:1" x14ac:dyDescent="0.2">
      <c r="A3684" s="42"/>
    </row>
    <row r="3685" spans="1:1" x14ac:dyDescent="0.2">
      <c r="A3685" s="42"/>
    </row>
    <row r="3686" spans="1:1" x14ac:dyDescent="0.2">
      <c r="A3686" s="42"/>
    </row>
    <row r="3687" spans="1:1" x14ac:dyDescent="0.2">
      <c r="A3687" s="42"/>
    </row>
    <row r="3688" spans="1:1" x14ac:dyDescent="0.2">
      <c r="A3688" s="42"/>
    </row>
    <row r="3689" spans="1:1" x14ac:dyDescent="0.2">
      <c r="A3689" s="42"/>
    </row>
    <row r="3690" spans="1:1" x14ac:dyDescent="0.2">
      <c r="A3690" s="42"/>
    </row>
    <row r="3691" spans="1:1" x14ac:dyDescent="0.2">
      <c r="A3691" s="42"/>
    </row>
    <row r="3692" spans="1:1" x14ac:dyDescent="0.2">
      <c r="A3692" s="42"/>
    </row>
    <row r="3693" spans="1:1" x14ac:dyDescent="0.2">
      <c r="A3693" s="42"/>
    </row>
    <row r="3694" spans="1:1" x14ac:dyDescent="0.2">
      <c r="A3694" s="42"/>
    </row>
    <row r="3695" spans="1:1" x14ac:dyDescent="0.2">
      <c r="A3695" s="42"/>
    </row>
    <row r="3696" spans="1:1" x14ac:dyDescent="0.2">
      <c r="A3696" s="42"/>
    </row>
    <row r="3697" spans="1:1" x14ac:dyDescent="0.2">
      <c r="A3697" s="42"/>
    </row>
    <row r="3698" spans="1:1" x14ac:dyDescent="0.2">
      <c r="A3698" s="42"/>
    </row>
    <row r="3699" spans="1:1" x14ac:dyDescent="0.2">
      <c r="A3699" s="42"/>
    </row>
    <row r="3700" spans="1:1" x14ac:dyDescent="0.2">
      <c r="A3700" s="42"/>
    </row>
    <row r="3701" spans="1:1" x14ac:dyDescent="0.2">
      <c r="A3701" s="42"/>
    </row>
    <row r="3702" spans="1:1" x14ac:dyDescent="0.2">
      <c r="A3702" s="42"/>
    </row>
    <row r="3703" spans="1:1" x14ac:dyDescent="0.2">
      <c r="A3703" s="42"/>
    </row>
    <row r="3704" spans="1:1" x14ac:dyDescent="0.2">
      <c r="A3704" s="42"/>
    </row>
    <row r="3705" spans="1:1" x14ac:dyDescent="0.2">
      <c r="A3705" s="42"/>
    </row>
    <row r="3706" spans="1:1" x14ac:dyDescent="0.2">
      <c r="A3706" s="42"/>
    </row>
    <row r="3707" spans="1:1" x14ac:dyDescent="0.2">
      <c r="A3707" s="42"/>
    </row>
    <row r="3708" spans="1:1" x14ac:dyDescent="0.2">
      <c r="A3708" s="42"/>
    </row>
    <row r="3709" spans="1:1" x14ac:dyDescent="0.2">
      <c r="A3709" s="42"/>
    </row>
    <row r="3710" spans="1:1" x14ac:dyDescent="0.2">
      <c r="A3710" s="42"/>
    </row>
    <row r="3711" spans="1:1" x14ac:dyDescent="0.2">
      <c r="A3711" s="42"/>
    </row>
    <row r="3712" spans="1:1" x14ac:dyDescent="0.2">
      <c r="A3712" s="42"/>
    </row>
    <row r="3713" spans="1:1" x14ac:dyDescent="0.2">
      <c r="A3713" s="42"/>
    </row>
    <row r="3714" spans="1:1" x14ac:dyDescent="0.2">
      <c r="A3714" s="42"/>
    </row>
    <row r="3715" spans="1:1" x14ac:dyDescent="0.2">
      <c r="A3715" s="42"/>
    </row>
    <row r="3716" spans="1:1" x14ac:dyDescent="0.2">
      <c r="A3716" s="42"/>
    </row>
    <row r="3717" spans="1:1" x14ac:dyDescent="0.2">
      <c r="A3717" s="42"/>
    </row>
    <row r="3718" spans="1:1" x14ac:dyDescent="0.2">
      <c r="A3718" s="42"/>
    </row>
    <row r="3719" spans="1:1" x14ac:dyDescent="0.2">
      <c r="A3719" s="42"/>
    </row>
    <row r="3720" spans="1:1" x14ac:dyDescent="0.2">
      <c r="A3720" s="42"/>
    </row>
    <row r="3721" spans="1:1" x14ac:dyDescent="0.2">
      <c r="A3721" s="42"/>
    </row>
    <row r="3722" spans="1:1" x14ac:dyDescent="0.2">
      <c r="A3722" s="42"/>
    </row>
    <row r="3723" spans="1:1" x14ac:dyDescent="0.2">
      <c r="A3723" s="42"/>
    </row>
    <row r="3724" spans="1:1" x14ac:dyDescent="0.2">
      <c r="A3724" s="42"/>
    </row>
    <row r="3725" spans="1:1" x14ac:dyDescent="0.2">
      <c r="A3725" s="42"/>
    </row>
    <row r="3726" spans="1:1" x14ac:dyDescent="0.2">
      <c r="A3726" s="42"/>
    </row>
    <row r="3727" spans="1:1" x14ac:dyDescent="0.2">
      <c r="A3727" s="42"/>
    </row>
    <row r="3728" spans="1:1" x14ac:dyDescent="0.2">
      <c r="A3728" s="42"/>
    </row>
    <row r="3729" spans="1:1" x14ac:dyDescent="0.2">
      <c r="A3729" s="42"/>
    </row>
    <row r="3730" spans="1:1" x14ac:dyDescent="0.2">
      <c r="A3730" s="42"/>
    </row>
    <row r="3731" spans="1:1" x14ac:dyDescent="0.2">
      <c r="A3731" s="42"/>
    </row>
    <row r="3732" spans="1:1" x14ac:dyDescent="0.2">
      <c r="A3732" s="42"/>
    </row>
    <row r="3733" spans="1:1" x14ac:dyDescent="0.2">
      <c r="A3733" s="42"/>
    </row>
    <row r="3734" spans="1:1" x14ac:dyDescent="0.2">
      <c r="A3734" s="42"/>
    </row>
    <row r="3735" spans="1:1" x14ac:dyDescent="0.2">
      <c r="A3735" s="42"/>
    </row>
    <row r="3736" spans="1:1" x14ac:dyDescent="0.2">
      <c r="A3736" s="42"/>
    </row>
    <row r="3737" spans="1:1" x14ac:dyDescent="0.2">
      <c r="A3737" s="42"/>
    </row>
    <row r="3738" spans="1:1" x14ac:dyDescent="0.2">
      <c r="A3738" s="42"/>
    </row>
    <row r="3739" spans="1:1" x14ac:dyDescent="0.2">
      <c r="A3739" s="42"/>
    </row>
    <row r="3740" spans="1:1" x14ac:dyDescent="0.2">
      <c r="A3740" s="42"/>
    </row>
    <row r="3741" spans="1:1" x14ac:dyDescent="0.2">
      <c r="A3741" s="42"/>
    </row>
    <row r="3742" spans="1:1" x14ac:dyDescent="0.2">
      <c r="A3742" s="42"/>
    </row>
    <row r="3743" spans="1:1" x14ac:dyDescent="0.2">
      <c r="A3743" s="42"/>
    </row>
    <row r="3744" spans="1:1" x14ac:dyDescent="0.2">
      <c r="A3744" s="42"/>
    </row>
    <row r="3745" spans="1:1" x14ac:dyDescent="0.2">
      <c r="A3745" s="42"/>
    </row>
    <row r="3746" spans="1:1" x14ac:dyDescent="0.2">
      <c r="A3746" s="42"/>
    </row>
    <row r="3747" spans="1:1" x14ac:dyDescent="0.2">
      <c r="A3747" s="42"/>
    </row>
    <row r="3748" spans="1:1" x14ac:dyDescent="0.2">
      <c r="A3748" s="42"/>
    </row>
    <row r="3749" spans="1:1" x14ac:dyDescent="0.2">
      <c r="A3749" s="42"/>
    </row>
    <row r="3750" spans="1:1" x14ac:dyDescent="0.2">
      <c r="A3750" s="42"/>
    </row>
    <row r="3751" spans="1:1" x14ac:dyDescent="0.2">
      <c r="A3751" s="42"/>
    </row>
    <row r="3752" spans="1:1" x14ac:dyDescent="0.2">
      <c r="A3752" s="42"/>
    </row>
    <row r="3753" spans="1:1" x14ac:dyDescent="0.2">
      <c r="A3753" s="42"/>
    </row>
    <row r="3754" spans="1:1" x14ac:dyDescent="0.2">
      <c r="A3754" s="42"/>
    </row>
    <row r="3755" spans="1:1" x14ac:dyDescent="0.2">
      <c r="A3755" s="42"/>
    </row>
    <row r="3756" spans="1:1" x14ac:dyDescent="0.2">
      <c r="A3756" s="42"/>
    </row>
    <row r="3757" spans="1:1" x14ac:dyDescent="0.2">
      <c r="A3757" s="42"/>
    </row>
    <row r="3758" spans="1:1" x14ac:dyDescent="0.2">
      <c r="A3758" s="42"/>
    </row>
    <row r="3759" spans="1:1" x14ac:dyDescent="0.2">
      <c r="A3759" s="42"/>
    </row>
    <row r="3760" spans="1:1" x14ac:dyDescent="0.2">
      <c r="A3760" s="42"/>
    </row>
    <row r="3761" spans="1:1" x14ac:dyDescent="0.2">
      <c r="A3761" s="42"/>
    </row>
    <row r="3762" spans="1:1" x14ac:dyDescent="0.2">
      <c r="A3762" s="42"/>
    </row>
    <row r="3763" spans="1:1" x14ac:dyDescent="0.2">
      <c r="A3763" s="42"/>
    </row>
    <row r="3764" spans="1:1" x14ac:dyDescent="0.2">
      <c r="A3764" s="42"/>
    </row>
    <row r="3765" spans="1:1" x14ac:dyDescent="0.2">
      <c r="A3765" s="42"/>
    </row>
    <row r="3766" spans="1:1" x14ac:dyDescent="0.2">
      <c r="A3766" s="42"/>
    </row>
    <row r="3767" spans="1:1" x14ac:dyDescent="0.2">
      <c r="A3767" s="42"/>
    </row>
    <row r="3768" spans="1:1" x14ac:dyDescent="0.2">
      <c r="A3768" s="42"/>
    </row>
    <row r="3769" spans="1:1" x14ac:dyDescent="0.2">
      <c r="A3769" s="42"/>
    </row>
    <row r="3770" spans="1:1" x14ac:dyDescent="0.2">
      <c r="A3770" s="42"/>
    </row>
    <row r="3771" spans="1:1" x14ac:dyDescent="0.2">
      <c r="A3771" s="42"/>
    </row>
    <row r="3772" spans="1:1" x14ac:dyDescent="0.2">
      <c r="A3772" s="42"/>
    </row>
    <row r="3773" spans="1:1" x14ac:dyDescent="0.2">
      <c r="A3773" s="42"/>
    </row>
    <row r="3774" spans="1:1" x14ac:dyDescent="0.2">
      <c r="A3774" s="42"/>
    </row>
    <row r="3775" spans="1:1" x14ac:dyDescent="0.2">
      <c r="A3775" s="42"/>
    </row>
    <row r="3776" spans="1:1" x14ac:dyDescent="0.2">
      <c r="A3776" s="42"/>
    </row>
    <row r="3777" spans="1:1" x14ac:dyDescent="0.2">
      <c r="A3777" s="42"/>
    </row>
    <row r="3778" spans="1:1" x14ac:dyDescent="0.2">
      <c r="A3778" s="42"/>
    </row>
    <row r="3779" spans="1:1" x14ac:dyDescent="0.2">
      <c r="A3779" s="42"/>
    </row>
    <row r="3780" spans="1:1" x14ac:dyDescent="0.2">
      <c r="A3780" s="42"/>
    </row>
    <row r="3781" spans="1:1" x14ac:dyDescent="0.2">
      <c r="A3781" s="42"/>
    </row>
    <row r="3782" spans="1:1" x14ac:dyDescent="0.2">
      <c r="A3782" s="42"/>
    </row>
    <row r="3783" spans="1:1" x14ac:dyDescent="0.2">
      <c r="A3783" s="42"/>
    </row>
    <row r="3784" spans="1:1" x14ac:dyDescent="0.2">
      <c r="A3784" s="42"/>
    </row>
    <row r="3785" spans="1:1" x14ac:dyDescent="0.2">
      <c r="A3785" s="42"/>
    </row>
    <row r="3786" spans="1:1" x14ac:dyDescent="0.2">
      <c r="A3786" s="42"/>
    </row>
    <row r="3787" spans="1:1" x14ac:dyDescent="0.2">
      <c r="A3787" s="42"/>
    </row>
    <row r="3788" spans="1:1" x14ac:dyDescent="0.2">
      <c r="A3788" s="42"/>
    </row>
    <row r="3789" spans="1:1" x14ac:dyDescent="0.2">
      <c r="A3789" s="42"/>
    </row>
    <row r="3790" spans="1:1" x14ac:dyDescent="0.2">
      <c r="A3790" s="42"/>
    </row>
    <row r="3791" spans="1:1" x14ac:dyDescent="0.2">
      <c r="A3791" s="42"/>
    </row>
    <row r="3792" spans="1:1" x14ac:dyDescent="0.2">
      <c r="A3792" s="42"/>
    </row>
    <row r="3793" spans="1:1" x14ac:dyDescent="0.2">
      <c r="A3793" s="42"/>
    </row>
    <row r="3794" spans="1:1" x14ac:dyDescent="0.2">
      <c r="A3794" s="42"/>
    </row>
    <row r="3795" spans="1:1" x14ac:dyDescent="0.2">
      <c r="A3795" s="42"/>
    </row>
    <row r="3796" spans="1:1" x14ac:dyDescent="0.2">
      <c r="A3796" s="42"/>
    </row>
    <row r="3797" spans="1:1" x14ac:dyDescent="0.2">
      <c r="A3797" s="42"/>
    </row>
    <row r="3798" spans="1:1" x14ac:dyDescent="0.2">
      <c r="A3798" s="42"/>
    </row>
    <row r="3799" spans="1:1" x14ac:dyDescent="0.2">
      <c r="A3799" s="42"/>
    </row>
    <row r="3800" spans="1:1" x14ac:dyDescent="0.2">
      <c r="A3800" s="42"/>
    </row>
    <row r="3801" spans="1:1" x14ac:dyDescent="0.2">
      <c r="A3801" s="42"/>
    </row>
    <row r="3802" spans="1:1" x14ac:dyDescent="0.2">
      <c r="A3802" s="42"/>
    </row>
    <row r="3803" spans="1:1" x14ac:dyDescent="0.2">
      <c r="A3803" s="42"/>
    </row>
    <row r="3804" spans="1:1" x14ac:dyDescent="0.2">
      <c r="A3804" s="42"/>
    </row>
    <row r="3805" spans="1:1" x14ac:dyDescent="0.2">
      <c r="A3805" s="42"/>
    </row>
    <row r="3806" spans="1:1" x14ac:dyDescent="0.2">
      <c r="A3806" s="42"/>
    </row>
    <row r="3807" spans="1:1" x14ac:dyDescent="0.2">
      <c r="A3807" s="42"/>
    </row>
    <row r="3808" spans="1:1" x14ac:dyDescent="0.2">
      <c r="A3808" s="42"/>
    </row>
    <row r="3809" spans="1:1" x14ac:dyDescent="0.2">
      <c r="A3809" s="42"/>
    </row>
    <row r="3810" spans="1:1" x14ac:dyDescent="0.2">
      <c r="A3810" s="42"/>
    </row>
    <row r="3811" spans="1:1" x14ac:dyDescent="0.2">
      <c r="A3811" s="42"/>
    </row>
    <row r="3812" spans="1:1" x14ac:dyDescent="0.2">
      <c r="A3812" s="42"/>
    </row>
    <row r="3813" spans="1:1" x14ac:dyDescent="0.2">
      <c r="A3813" s="42"/>
    </row>
    <row r="3814" spans="1:1" x14ac:dyDescent="0.2">
      <c r="A3814" s="42"/>
    </row>
    <row r="3815" spans="1:1" x14ac:dyDescent="0.2">
      <c r="A3815" s="42"/>
    </row>
    <row r="3816" spans="1:1" x14ac:dyDescent="0.2">
      <c r="A3816" s="42"/>
    </row>
    <row r="3817" spans="1:1" x14ac:dyDescent="0.2">
      <c r="A3817" s="42"/>
    </row>
    <row r="3818" spans="1:1" x14ac:dyDescent="0.2">
      <c r="A3818" s="42"/>
    </row>
    <row r="3819" spans="1:1" x14ac:dyDescent="0.2">
      <c r="A3819" s="42"/>
    </row>
    <row r="3820" spans="1:1" x14ac:dyDescent="0.2">
      <c r="A3820" s="42"/>
    </row>
    <row r="3821" spans="1:1" x14ac:dyDescent="0.2">
      <c r="A3821" s="42"/>
    </row>
    <row r="3822" spans="1:1" x14ac:dyDescent="0.2">
      <c r="A3822" s="42"/>
    </row>
    <row r="3823" spans="1:1" x14ac:dyDescent="0.2">
      <c r="A3823" s="42"/>
    </row>
    <row r="3824" spans="1:1" x14ac:dyDescent="0.2">
      <c r="A3824" s="42"/>
    </row>
    <row r="3825" spans="1:1" x14ac:dyDescent="0.2">
      <c r="A3825" s="42"/>
    </row>
    <row r="3826" spans="1:1" x14ac:dyDescent="0.2">
      <c r="A3826" s="42"/>
    </row>
    <row r="3827" spans="1:1" x14ac:dyDescent="0.2">
      <c r="A3827" s="42"/>
    </row>
    <row r="3828" spans="1:1" x14ac:dyDescent="0.2">
      <c r="A3828" s="42"/>
    </row>
    <row r="3829" spans="1:1" x14ac:dyDescent="0.2">
      <c r="A3829" s="42"/>
    </row>
    <row r="3830" spans="1:1" x14ac:dyDescent="0.2">
      <c r="A3830" s="42"/>
    </row>
    <row r="3831" spans="1:1" x14ac:dyDescent="0.2">
      <c r="A3831" s="42"/>
    </row>
    <row r="3832" spans="1:1" x14ac:dyDescent="0.2">
      <c r="A3832" s="42"/>
    </row>
    <row r="3833" spans="1:1" x14ac:dyDescent="0.2">
      <c r="A3833" s="42"/>
    </row>
    <row r="3834" spans="1:1" x14ac:dyDescent="0.2">
      <c r="A3834" s="42"/>
    </row>
    <row r="3835" spans="1:1" x14ac:dyDescent="0.2">
      <c r="A3835" s="42"/>
    </row>
    <row r="3836" spans="1:1" x14ac:dyDescent="0.2">
      <c r="A3836" s="42"/>
    </row>
    <row r="3837" spans="1:1" x14ac:dyDescent="0.2">
      <c r="A3837" s="42"/>
    </row>
    <row r="3838" spans="1:1" x14ac:dyDescent="0.2">
      <c r="A3838" s="42"/>
    </row>
    <row r="3839" spans="1:1" x14ac:dyDescent="0.2">
      <c r="A3839" s="42"/>
    </row>
    <row r="3840" spans="1:1" x14ac:dyDescent="0.2">
      <c r="A3840" s="42"/>
    </row>
    <row r="3841" spans="1:1" x14ac:dyDescent="0.2">
      <c r="A3841" s="42"/>
    </row>
    <row r="3842" spans="1:1" x14ac:dyDescent="0.2">
      <c r="A3842" s="42"/>
    </row>
    <row r="3843" spans="1:1" x14ac:dyDescent="0.2">
      <c r="A3843" s="42"/>
    </row>
    <row r="3844" spans="1:1" x14ac:dyDescent="0.2">
      <c r="A3844" s="42"/>
    </row>
    <row r="3845" spans="1:1" x14ac:dyDescent="0.2">
      <c r="A3845" s="42"/>
    </row>
    <row r="3846" spans="1:1" x14ac:dyDescent="0.2">
      <c r="A3846" s="42"/>
    </row>
    <row r="3847" spans="1:1" x14ac:dyDescent="0.2">
      <c r="A3847" s="42"/>
    </row>
    <row r="3848" spans="1:1" x14ac:dyDescent="0.2">
      <c r="A3848" s="42"/>
    </row>
    <row r="3849" spans="1:1" x14ac:dyDescent="0.2">
      <c r="A3849" s="42"/>
    </row>
    <row r="3850" spans="1:1" x14ac:dyDescent="0.2">
      <c r="A3850" s="42"/>
    </row>
    <row r="3851" spans="1:1" x14ac:dyDescent="0.2">
      <c r="A3851" s="42"/>
    </row>
    <row r="3852" spans="1:1" x14ac:dyDescent="0.2">
      <c r="A3852" s="42"/>
    </row>
    <row r="3853" spans="1:1" x14ac:dyDescent="0.2">
      <c r="A3853" s="42"/>
    </row>
    <row r="3854" spans="1:1" x14ac:dyDescent="0.2">
      <c r="A3854" s="42"/>
    </row>
    <row r="3855" spans="1:1" x14ac:dyDescent="0.2">
      <c r="A3855" s="42"/>
    </row>
    <row r="3856" spans="1:1" x14ac:dyDescent="0.2">
      <c r="A3856" s="42"/>
    </row>
    <row r="3857" spans="1:1" x14ac:dyDescent="0.2">
      <c r="A3857" s="42"/>
    </row>
    <row r="3858" spans="1:1" x14ac:dyDescent="0.2">
      <c r="A3858" s="42"/>
    </row>
    <row r="3859" spans="1:1" x14ac:dyDescent="0.2">
      <c r="A3859" s="42"/>
    </row>
    <row r="3860" spans="1:1" x14ac:dyDescent="0.2">
      <c r="A3860" s="42"/>
    </row>
    <row r="3861" spans="1:1" x14ac:dyDescent="0.2">
      <c r="A3861" s="42"/>
    </row>
    <row r="3862" spans="1:1" x14ac:dyDescent="0.2">
      <c r="A3862" s="42"/>
    </row>
    <row r="3863" spans="1:1" x14ac:dyDescent="0.2">
      <c r="A3863" s="42"/>
    </row>
    <row r="3864" spans="1:1" x14ac:dyDescent="0.2">
      <c r="A3864" s="42"/>
    </row>
    <row r="3865" spans="1:1" x14ac:dyDescent="0.2">
      <c r="A3865" s="42"/>
    </row>
    <row r="3866" spans="1:1" x14ac:dyDescent="0.2">
      <c r="A3866" s="42"/>
    </row>
    <row r="3867" spans="1:1" x14ac:dyDescent="0.2">
      <c r="A3867" s="42"/>
    </row>
    <row r="3868" spans="1:1" x14ac:dyDescent="0.2">
      <c r="A3868" s="42"/>
    </row>
    <row r="3869" spans="1:1" x14ac:dyDescent="0.2">
      <c r="A3869" s="42"/>
    </row>
    <row r="3870" spans="1:1" x14ac:dyDescent="0.2">
      <c r="A3870" s="42"/>
    </row>
    <row r="3871" spans="1:1" x14ac:dyDescent="0.2">
      <c r="A3871" s="42"/>
    </row>
    <row r="3872" spans="1:1" x14ac:dyDescent="0.2">
      <c r="A3872" s="42"/>
    </row>
    <row r="3873" spans="1:1" x14ac:dyDescent="0.2">
      <c r="A3873" s="42"/>
    </row>
    <row r="3874" spans="1:1" x14ac:dyDescent="0.2">
      <c r="A3874" s="42"/>
    </row>
    <row r="3875" spans="1:1" x14ac:dyDescent="0.2">
      <c r="A3875" s="42"/>
    </row>
    <row r="3876" spans="1:1" x14ac:dyDescent="0.2">
      <c r="A3876" s="42"/>
    </row>
    <row r="3877" spans="1:1" x14ac:dyDescent="0.2">
      <c r="A3877" s="42"/>
    </row>
    <row r="3878" spans="1:1" x14ac:dyDescent="0.2">
      <c r="A3878" s="42"/>
    </row>
    <row r="3879" spans="1:1" x14ac:dyDescent="0.2">
      <c r="A3879" s="42"/>
    </row>
    <row r="3880" spans="1:1" x14ac:dyDescent="0.2">
      <c r="A3880" s="42"/>
    </row>
    <row r="3881" spans="1:1" x14ac:dyDescent="0.2">
      <c r="A3881" s="42"/>
    </row>
    <row r="3882" spans="1:1" x14ac:dyDescent="0.2">
      <c r="A3882" s="42"/>
    </row>
    <row r="3883" spans="1:1" x14ac:dyDescent="0.2">
      <c r="A3883" s="42"/>
    </row>
    <row r="3884" spans="1:1" x14ac:dyDescent="0.2">
      <c r="A3884" s="42"/>
    </row>
    <row r="3885" spans="1:1" x14ac:dyDescent="0.2">
      <c r="A3885" s="42"/>
    </row>
    <row r="3886" spans="1:1" x14ac:dyDescent="0.2">
      <c r="A3886" s="42"/>
    </row>
    <row r="3887" spans="1:1" x14ac:dyDescent="0.2">
      <c r="A3887" s="42"/>
    </row>
    <row r="3888" spans="1:1" x14ac:dyDescent="0.2">
      <c r="A3888" s="42"/>
    </row>
    <row r="3889" spans="1:1" x14ac:dyDescent="0.2">
      <c r="A3889" s="42"/>
    </row>
    <row r="3890" spans="1:1" x14ac:dyDescent="0.2">
      <c r="A3890" s="42"/>
    </row>
    <row r="3891" spans="1:1" x14ac:dyDescent="0.2">
      <c r="A3891" s="42"/>
    </row>
    <row r="3892" spans="1:1" x14ac:dyDescent="0.2">
      <c r="A3892" s="42"/>
    </row>
    <row r="3893" spans="1:1" x14ac:dyDescent="0.2">
      <c r="A3893" s="42"/>
    </row>
    <row r="3894" spans="1:1" x14ac:dyDescent="0.2">
      <c r="A3894" s="42"/>
    </row>
    <row r="3895" spans="1:1" x14ac:dyDescent="0.2">
      <c r="A3895" s="42"/>
    </row>
    <row r="3896" spans="1:1" x14ac:dyDescent="0.2">
      <c r="A3896" s="42"/>
    </row>
    <row r="3897" spans="1:1" x14ac:dyDescent="0.2">
      <c r="A3897" s="42"/>
    </row>
    <row r="3898" spans="1:1" x14ac:dyDescent="0.2">
      <c r="A3898" s="42"/>
    </row>
    <row r="3899" spans="1:1" x14ac:dyDescent="0.2">
      <c r="A3899" s="42"/>
    </row>
    <row r="3900" spans="1:1" x14ac:dyDescent="0.2">
      <c r="A3900" s="42"/>
    </row>
    <row r="3901" spans="1:1" x14ac:dyDescent="0.2">
      <c r="A3901" s="42"/>
    </row>
    <row r="3902" spans="1:1" x14ac:dyDescent="0.2">
      <c r="A3902" s="42"/>
    </row>
    <row r="3903" spans="1:1" x14ac:dyDescent="0.2">
      <c r="A3903" s="42"/>
    </row>
    <row r="3904" spans="1:1" x14ac:dyDescent="0.2">
      <c r="A3904" s="42"/>
    </row>
    <row r="3905" spans="1:1" x14ac:dyDescent="0.2">
      <c r="A3905" s="42"/>
    </row>
    <row r="3906" spans="1:1" x14ac:dyDescent="0.2">
      <c r="A3906" s="42"/>
    </row>
    <row r="3907" spans="1:1" x14ac:dyDescent="0.2">
      <c r="A3907" s="42"/>
    </row>
    <row r="3908" spans="1:1" x14ac:dyDescent="0.2">
      <c r="A3908" s="42"/>
    </row>
    <row r="3909" spans="1:1" x14ac:dyDescent="0.2">
      <c r="A3909" s="42"/>
    </row>
    <row r="3910" spans="1:1" x14ac:dyDescent="0.2">
      <c r="A3910" s="42"/>
    </row>
    <row r="3911" spans="1:1" x14ac:dyDescent="0.2">
      <c r="A3911" s="42"/>
    </row>
    <row r="3912" spans="1:1" x14ac:dyDescent="0.2">
      <c r="A3912" s="42"/>
    </row>
    <row r="3913" spans="1:1" x14ac:dyDescent="0.2">
      <c r="A3913" s="42"/>
    </row>
    <row r="3914" spans="1:1" x14ac:dyDescent="0.2">
      <c r="A3914" s="42"/>
    </row>
    <row r="3915" spans="1:1" x14ac:dyDescent="0.2">
      <c r="A3915" s="42"/>
    </row>
    <row r="3916" spans="1:1" x14ac:dyDescent="0.2">
      <c r="A3916" s="42"/>
    </row>
    <row r="3917" spans="1:1" x14ac:dyDescent="0.2">
      <c r="A3917" s="42"/>
    </row>
    <row r="3918" spans="1:1" x14ac:dyDescent="0.2">
      <c r="A3918" s="42"/>
    </row>
    <row r="3919" spans="1:1" x14ac:dyDescent="0.2">
      <c r="A3919" s="42"/>
    </row>
    <row r="3920" spans="1:1" x14ac:dyDescent="0.2">
      <c r="A3920" s="42"/>
    </row>
    <row r="3921" spans="1:1" x14ac:dyDescent="0.2">
      <c r="A3921" s="42"/>
    </row>
    <row r="3922" spans="1:1" x14ac:dyDescent="0.2">
      <c r="A3922" s="42"/>
    </row>
    <row r="3923" spans="1:1" x14ac:dyDescent="0.2">
      <c r="A3923" s="42"/>
    </row>
    <row r="3924" spans="1:1" x14ac:dyDescent="0.2">
      <c r="A3924" s="42"/>
    </row>
    <row r="3925" spans="1:1" x14ac:dyDescent="0.2">
      <c r="A3925" s="42"/>
    </row>
    <row r="3926" spans="1:1" x14ac:dyDescent="0.2">
      <c r="A3926" s="42"/>
    </row>
    <row r="3927" spans="1:1" x14ac:dyDescent="0.2">
      <c r="A3927" s="42"/>
    </row>
    <row r="3928" spans="1:1" x14ac:dyDescent="0.2">
      <c r="A3928" s="42"/>
    </row>
    <row r="3929" spans="1:1" x14ac:dyDescent="0.2">
      <c r="A3929" s="42"/>
    </row>
    <row r="3930" spans="1:1" x14ac:dyDescent="0.2">
      <c r="A3930" s="42"/>
    </row>
    <row r="3931" spans="1:1" x14ac:dyDescent="0.2">
      <c r="A3931" s="42"/>
    </row>
    <row r="3932" spans="1:1" x14ac:dyDescent="0.2">
      <c r="A3932" s="42"/>
    </row>
    <row r="3933" spans="1:1" x14ac:dyDescent="0.2">
      <c r="A3933" s="42"/>
    </row>
    <row r="3934" spans="1:1" x14ac:dyDescent="0.2">
      <c r="A3934" s="42"/>
    </row>
    <row r="3935" spans="1:1" x14ac:dyDescent="0.2">
      <c r="A3935" s="42"/>
    </row>
    <row r="3936" spans="1:1" x14ac:dyDescent="0.2">
      <c r="A3936" s="42"/>
    </row>
    <row r="3937" spans="1:1" x14ac:dyDescent="0.2">
      <c r="A3937" s="42"/>
    </row>
    <row r="3938" spans="1:1" x14ac:dyDescent="0.2">
      <c r="A3938" s="42"/>
    </row>
    <row r="3939" spans="1:1" x14ac:dyDescent="0.2">
      <c r="A3939" s="42"/>
    </row>
    <row r="3940" spans="1:1" x14ac:dyDescent="0.2">
      <c r="A3940" s="42"/>
    </row>
    <row r="3941" spans="1:1" x14ac:dyDescent="0.2">
      <c r="A3941" s="42"/>
    </row>
    <row r="3942" spans="1:1" x14ac:dyDescent="0.2">
      <c r="A3942" s="42"/>
    </row>
    <row r="3943" spans="1:1" x14ac:dyDescent="0.2">
      <c r="A3943" s="42"/>
    </row>
    <row r="3944" spans="1:1" x14ac:dyDescent="0.2">
      <c r="A3944" s="42"/>
    </row>
    <row r="3945" spans="1:1" x14ac:dyDescent="0.2">
      <c r="A3945" s="42"/>
    </row>
    <row r="3946" spans="1:1" x14ac:dyDescent="0.2">
      <c r="A3946" s="42"/>
    </row>
    <row r="3947" spans="1:1" x14ac:dyDescent="0.2">
      <c r="A3947" s="42"/>
    </row>
    <row r="3948" spans="1:1" x14ac:dyDescent="0.2">
      <c r="A3948" s="42"/>
    </row>
    <row r="3949" spans="1:1" x14ac:dyDescent="0.2">
      <c r="A3949" s="42"/>
    </row>
    <row r="3950" spans="1:1" x14ac:dyDescent="0.2">
      <c r="A3950" s="42"/>
    </row>
    <row r="3951" spans="1:1" x14ac:dyDescent="0.2">
      <c r="A3951" s="42"/>
    </row>
    <row r="3952" spans="1:1" x14ac:dyDescent="0.2">
      <c r="A3952" s="42"/>
    </row>
    <row r="3953" spans="1:1" x14ac:dyDescent="0.2">
      <c r="A3953" s="42"/>
    </row>
    <row r="3954" spans="1:1" x14ac:dyDescent="0.2">
      <c r="A3954" s="42"/>
    </row>
    <row r="3955" spans="1:1" x14ac:dyDescent="0.2">
      <c r="A3955" s="42"/>
    </row>
    <row r="3956" spans="1:1" x14ac:dyDescent="0.2">
      <c r="A3956" s="42"/>
    </row>
    <row r="3957" spans="1:1" x14ac:dyDescent="0.2">
      <c r="A3957" s="42"/>
    </row>
    <row r="3958" spans="1:1" x14ac:dyDescent="0.2">
      <c r="A3958" s="42"/>
    </row>
    <row r="3959" spans="1:1" x14ac:dyDescent="0.2">
      <c r="A3959" s="42"/>
    </row>
    <row r="3960" spans="1:1" x14ac:dyDescent="0.2">
      <c r="A3960" s="42"/>
    </row>
    <row r="3961" spans="1:1" x14ac:dyDescent="0.2">
      <c r="A3961" s="42"/>
    </row>
    <row r="3962" spans="1:1" x14ac:dyDescent="0.2">
      <c r="A3962" s="42"/>
    </row>
    <row r="3963" spans="1:1" x14ac:dyDescent="0.2">
      <c r="A3963" s="42"/>
    </row>
    <row r="3964" spans="1:1" x14ac:dyDescent="0.2">
      <c r="A3964" s="42"/>
    </row>
    <row r="3965" spans="1:1" x14ac:dyDescent="0.2">
      <c r="A3965" s="42"/>
    </row>
    <row r="3966" spans="1:1" x14ac:dyDescent="0.2">
      <c r="A3966" s="42"/>
    </row>
    <row r="3967" spans="1:1" x14ac:dyDescent="0.2">
      <c r="A3967" s="42"/>
    </row>
    <row r="3968" spans="1:1" x14ac:dyDescent="0.2">
      <c r="A3968" s="42"/>
    </row>
    <row r="3969" spans="1:1" x14ac:dyDescent="0.2">
      <c r="A3969" s="42"/>
    </row>
    <row r="3970" spans="1:1" x14ac:dyDescent="0.2">
      <c r="A3970" s="42"/>
    </row>
    <row r="3971" spans="1:1" x14ac:dyDescent="0.2">
      <c r="A3971" s="42"/>
    </row>
    <row r="3972" spans="1:1" x14ac:dyDescent="0.2">
      <c r="A3972" s="42"/>
    </row>
    <row r="3973" spans="1:1" x14ac:dyDescent="0.2">
      <c r="A3973" s="42"/>
    </row>
    <row r="3974" spans="1:1" x14ac:dyDescent="0.2">
      <c r="A3974" s="42"/>
    </row>
    <row r="3975" spans="1:1" x14ac:dyDescent="0.2">
      <c r="A3975" s="42"/>
    </row>
    <row r="3976" spans="1:1" x14ac:dyDescent="0.2">
      <c r="A3976" s="42"/>
    </row>
    <row r="3977" spans="1:1" x14ac:dyDescent="0.2">
      <c r="A3977" s="42"/>
    </row>
    <row r="3978" spans="1:1" x14ac:dyDescent="0.2">
      <c r="A3978" s="42"/>
    </row>
    <row r="3979" spans="1:1" x14ac:dyDescent="0.2">
      <c r="A3979" s="42"/>
    </row>
    <row r="3980" spans="1:1" x14ac:dyDescent="0.2">
      <c r="A3980" s="42"/>
    </row>
    <row r="3981" spans="1:1" x14ac:dyDescent="0.2">
      <c r="A3981" s="42"/>
    </row>
    <row r="3982" spans="1:1" x14ac:dyDescent="0.2">
      <c r="A3982" s="42"/>
    </row>
    <row r="3983" spans="1:1" x14ac:dyDescent="0.2">
      <c r="A3983" s="42"/>
    </row>
    <row r="3984" spans="1:1" x14ac:dyDescent="0.2">
      <c r="A3984" s="42"/>
    </row>
    <row r="3985" spans="1:1" x14ac:dyDescent="0.2">
      <c r="A3985" s="42"/>
    </row>
    <row r="3986" spans="1:1" x14ac:dyDescent="0.2">
      <c r="A3986" s="42"/>
    </row>
    <row r="3987" spans="1:1" x14ac:dyDescent="0.2">
      <c r="A3987" s="42"/>
    </row>
    <row r="3988" spans="1:1" x14ac:dyDescent="0.2">
      <c r="A3988" s="42"/>
    </row>
    <row r="3989" spans="1:1" x14ac:dyDescent="0.2">
      <c r="A3989" s="42"/>
    </row>
    <row r="3990" spans="1:1" x14ac:dyDescent="0.2">
      <c r="A3990" s="42"/>
    </row>
    <row r="3991" spans="1:1" x14ac:dyDescent="0.2">
      <c r="A3991" s="42"/>
    </row>
    <row r="3992" spans="1:1" x14ac:dyDescent="0.2">
      <c r="A3992" s="42"/>
    </row>
    <row r="3993" spans="1:1" x14ac:dyDescent="0.2">
      <c r="A3993" s="42"/>
    </row>
    <row r="3994" spans="1:1" x14ac:dyDescent="0.2">
      <c r="A3994" s="42"/>
    </row>
    <row r="3995" spans="1:1" x14ac:dyDescent="0.2">
      <c r="A3995" s="42"/>
    </row>
    <row r="3996" spans="1:1" x14ac:dyDescent="0.2">
      <c r="A3996" s="42"/>
    </row>
    <row r="3997" spans="1:1" x14ac:dyDescent="0.2">
      <c r="A3997" s="42"/>
    </row>
    <row r="3998" spans="1:1" x14ac:dyDescent="0.2">
      <c r="A3998" s="42"/>
    </row>
    <row r="3999" spans="1:1" x14ac:dyDescent="0.2">
      <c r="A3999" s="42"/>
    </row>
    <row r="4000" spans="1:1" x14ac:dyDescent="0.2">
      <c r="A4000" s="42"/>
    </row>
  </sheetData>
  <mergeCells count="1"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b054a4-dd31-4e65-954f-c1858aefac91">VKQAY4435H2F-958265358-85076</_dlc_DocId>
    <lcf76f155ced4ddcb4097134ff3c332f xmlns="eae66c7d-7964-403c-9854-2a658bf7851b">
      <Terms xmlns="http://schemas.microsoft.com/office/infopath/2007/PartnerControls"/>
    </lcf76f155ced4ddcb4097134ff3c332f>
    <TaxCatchAll xmlns="b7b054a4-dd31-4e65-954f-c1858aefac91" xsi:nil="true"/>
    <_dlc_DocIdUrl xmlns="b7b054a4-dd31-4e65-954f-c1858aefac91">
      <Url>https://ainsp.sharepoint.com/sites/TodoNYCE/nycecolombia/_layouts/15/DocIdRedir.aspx?ID=VKQAY4435H2F-958265358-85076</Url>
      <Description>VKQAY4435H2F-958265358-85076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29C7FF7E53174CAE0F7E7164F57B41" ma:contentTypeVersion="28" ma:contentTypeDescription="Crear nuevo documento." ma:contentTypeScope="" ma:versionID="8d5ba27610829428d48fc9a331e78bec">
  <xsd:schema xmlns:xsd="http://www.w3.org/2001/XMLSchema" xmlns:xs="http://www.w3.org/2001/XMLSchema" xmlns:p="http://schemas.microsoft.com/office/2006/metadata/properties" xmlns:ns2="b7b054a4-dd31-4e65-954f-c1858aefac91" xmlns:ns3="eae66c7d-7964-403c-9854-2a658bf7851b" xmlns:ns4="27dbd028-21f4-488b-a712-80beb6535a3a" targetNamespace="http://schemas.microsoft.com/office/2006/metadata/properties" ma:root="true" ma:fieldsID="59aac76b35c35970d58eb21e33312620" ns2:_="" ns3:_="" ns4:_="">
    <xsd:import namespace="b7b054a4-dd31-4e65-954f-c1858aefac91"/>
    <xsd:import namespace="eae66c7d-7964-403c-9854-2a658bf7851b"/>
    <xsd:import namespace="27dbd028-21f4-488b-a712-80beb6535a3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054a4-dd31-4e65-954f-c1858aefac91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5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4" nillable="true" ma:displayName="Taxonomy Catch All Column" ma:hidden="true" ma:list="{3ec72af6-f2f2-488a-93ab-d1ca47ca6d7f}" ma:internalName="TaxCatchAll" ma:showField="CatchAllData" ma:web="b7b054a4-dd31-4e65-954f-c1858aefac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66c7d-7964-403c-9854-2a658bf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41e27af5-8340-4858-8828-7e0bddc75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bd028-21f4-488b-a712-80beb6535a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8ADE91-5F9F-47C2-9F07-9B3A7FF3AA1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EBE848B-0410-4C0D-AA1F-14AB224EA30F}">
  <ds:schemaRefs>
    <ds:schemaRef ds:uri="http://schemas.microsoft.com/office/2006/metadata/properties"/>
    <ds:schemaRef ds:uri="http://schemas.microsoft.com/office/infopath/2007/PartnerControls"/>
    <ds:schemaRef ds:uri="b7b054a4-dd31-4e65-954f-c1858aefac91"/>
    <ds:schemaRef ds:uri="eae66c7d-7964-403c-9854-2a658bf7851b"/>
  </ds:schemaRefs>
</ds:datastoreItem>
</file>

<file path=customXml/itemProps3.xml><?xml version="1.0" encoding="utf-8"?>
<ds:datastoreItem xmlns:ds="http://schemas.openxmlformats.org/officeDocument/2006/customXml" ds:itemID="{AB15BEC1-39F8-4E94-8BD2-0CBFEFC00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b054a4-dd31-4e65-954f-c1858aefac91"/>
    <ds:schemaRef ds:uri="eae66c7d-7964-403c-9854-2a658bf7851b"/>
    <ds:schemaRef ds:uri="27dbd028-21f4-488b-a712-80beb6535a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5F39BA8-D108-49FD-A1A7-7D69A0FB52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REMISIÓN 2024</vt:lpstr>
      <vt:lpstr>Hoja2</vt:lpstr>
      <vt:lpstr>Hoja1</vt:lpstr>
      <vt:lpstr>CONTROL_MUESTRAS_2026</vt:lpstr>
      <vt:lpstr>REMISIÓN 2026</vt:lpstr>
      <vt:lpstr>REMISIÓN 2025 (2)</vt:lpstr>
      <vt:lpstr>Acta_Destrucción 2024</vt:lpstr>
      <vt:lpstr>DATOS</vt:lpstr>
      <vt:lpstr>'REMISIÓN 2024'!Área_de_impresión</vt:lpstr>
      <vt:lpstr>'REMISIÓN 2025 (2)'!Área_de_impresión</vt:lpstr>
      <vt:lpstr>'REMISIÓN 2026'!Área_de_impresión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Carvajal</dc:creator>
  <cp:keywords/>
  <dc:description/>
  <cp:lastModifiedBy>Brandon Yesid Trujillo Vargas</cp:lastModifiedBy>
  <cp:revision/>
  <dcterms:created xsi:type="dcterms:W3CDTF">2024-05-16T22:49:24Z</dcterms:created>
  <dcterms:modified xsi:type="dcterms:W3CDTF">2026-07-14T21:18:12Z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0x010100F929C7FF7E53174CAE0F7E7164F57B41</vt:lpwstr>
  </property>
  <property fmtid="{D5CDD505-2E9C-101B-9397-08002B2CF9AE}" pid="4" name="_dlc_DocIdItemGuid">
    <vt:lpwstr>34336858-a30b-4b0a-9896-2963a3631f0f</vt:lpwstr>
  </property>
</Properties>
</file>